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oftware\CaptureDoc Suite\capture-flow\test\AlexBank\"/>
    </mc:Choice>
  </mc:AlternateContent>
  <xr:revisionPtr revIDLastSave="0" documentId="13_ncr:1_{3586C579-3A76-4614-AE57-DD75E1455A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0th" sheetId="2" r:id="rId1"/>
    <sheet name="Gomherya" sheetId="1" r:id="rId2"/>
  </sheets>
  <definedNames>
    <definedName name="_xlnm._FilterDatabase" localSheetId="0" hidden="1">'10th'!$A$1:$AP$80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0" i="2" l="1"/>
  <c r="J80" i="2"/>
  <c r="N80" i="2"/>
  <c r="S80" i="2"/>
  <c r="AA80" i="2"/>
  <c r="AL80" i="2"/>
  <c r="AO80" i="2"/>
  <c r="H80" i="2" l="1"/>
  <c r="AE3" i="2" l="1"/>
  <c r="AF3" i="2" s="1"/>
  <c r="AE4" i="2"/>
  <c r="AF4" i="2" s="1"/>
  <c r="AE5" i="2"/>
  <c r="AF5" i="2" s="1"/>
  <c r="AE6" i="2"/>
  <c r="AF6" i="2" s="1"/>
  <c r="AE7" i="2"/>
  <c r="AF7" i="2" s="1"/>
  <c r="AE8" i="2"/>
  <c r="AF8" i="2" s="1"/>
  <c r="AE9" i="2"/>
  <c r="AF9" i="2" s="1"/>
  <c r="AE10" i="2"/>
  <c r="AF10" i="2" s="1"/>
  <c r="AE11" i="2"/>
  <c r="AF11" i="2" s="1"/>
  <c r="AE12" i="2"/>
  <c r="AF12" i="2" s="1"/>
  <c r="AE13" i="2"/>
  <c r="AF13" i="2" s="1"/>
  <c r="AE14" i="2"/>
  <c r="AF14" i="2" s="1"/>
  <c r="AE15" i="2"/>
  <c r="AF15" i="2" s="1"/>
  <c r="AE16" i="2"/>
  <c r="AF16" i="2" s="1"/>
  <c r="AE17" i="2"/>
  <c r="AF17" i="2" s="1"/>
  <c r="AE18" i="2"/>
  <c r="AF18" i="2" s="1"/>
  <c r="AE19" i="2"/>
  <c r="AF19" i="2" s="1"/>
  <c r="AE20" i="2"/>
  <c r="AF20" i="2" s="1"/>
  <c r="AE21" i="2"/>
  <c r="AF21" i="2" s="1"/>
  <c r="AE22" i="2"/>
  <c r="AF22" i="2" s="1"/>
  <c r="AE23" i="2"/>
  <c r="AF23" i="2" s="1"/>
  <c r="AE24" i="2"/>
  <c r="AF24" i="2" s="1"/>
  <c r="AE25" i="2"/>
  <c r="AF25" i="2" s="1"/>
  <c r="AE26" i="2"/>
  <c r="AF26" i="2" s="1"/>
  <c r="AE27" i="2"/>
  <c r="AF27" i="2" s="1"/>
  <c r="AE28" i="2"/>
  <c r="AF28" i="2" s="1"/>
  <c r="AE29" i="2"/>
  <c r="AF29" i="2" s="1"/>
  <c r="AE30" i="2"/>
  <c r="AF30" i="2" s="1"/>
  <c r="AE31" i="2"/>
  <c r="AF31" i="2" s="1"/>
  <c r="AE32" i="2"/>
  <c r="AF32" i="2" s="1"/>
  <c r="AE33" i="2"/>
  <c r="AF33" i="2" s="1"/>
  <c r="AE34" i="2"/>
  <c r="AF34" i="2" s="1"/>
  <c r="AE35" i="2"/>
  <c r="AF35" i="2" s="1"/>
  <c r="AE36" i="2"/>
  <c r="AF36" i="2" s="1"/>
  <c r="AE37" i="2"/>
  <c r="AF37" i="2" s="1"/>
  <c r="AE38" i="2"/>
  <c r="AF38" i="2" s="1"/>
  <c r="AE39" i="2"/>
  <c r="AF39" i="2" s="1"/>
  <c r="AE40" i="2"/>
  <c r="AF40" i="2" s="1"/>
  <c r="AE41" i="2"/>
  <c r="AF41" i="2" s="1"/>
  <c r="AE42" i="2"/>
  <c r="AF42" i="2" s="1"/>
  <c r="AE43" i="2"/>
  <c r="AF43" i="2" s="1"/>
  <c r="AE44" i="2"/>
  <c r="AF44" i="2" s="1"/>
  <c r="AE45" i="2"/>
  <c r="AF45" i="2" s="1"/>
  <c r="AE46" i="2"/>
  <c r="AF46" i="2" s="1"/>
  <c r="AE47" i="2"/>
  <c r="AF47" i="2" s="1"/>
  <c r="AE48" i="2"/>
  <c r="AF48" i="2" s="1"/>
  <c r="AE49" i="2"/>
  <c r="AF49" i="2" s="1"/>
  <c r="AE50" i="2"/>
  <c r="AF50" i="2" s="1"/>
  <c r="AE51" i="2"/>
  <c r="AF51" i="2" s="1"/>
  <c r="AE52" i="2"/>
  <c r="AF52" i="2" s="1"/>
  <c r="AE53" i="2"/>
  <c r="AF53" i="2" s="1"/>
  <c r="AE54" i="2"/>
  <c r="AF54" i="2" s="1"/>
  <c r="AE55" i="2"/>
  <c r="AF55" i="2" s="1"/>
  <c r="AE56" i="2"/>
  <c r="AF56" i="2" s="1"/>
  <c r="AE57" i="2"/>
  <c r="AF57" i="2" s="1"/>
  <c r="AE60" i="2"/>
  <c r="AF60" i="2" s="1"/>
  <c r="AE61" i="2"/>
  <c r="AF61" i="2" s="1"/>
  <c r="AE62" i="2"/>
  <c r="AF62" i="2" s="1"/>
  <c r="AE63" i="2"/>
  <c r="AF63" i="2" s="1"/>
  <c r="AE64" i="2"/>
  <c r="AF64" i="2" s="1"/>
  <c r="AE65" i="2"/>
  <c r="AF65" i="2" s="1"/>
  <c r="AE66" i="2"/>
  <c r="AF66" i="2" s="1"/>
  <c r="AE67" i="2"/>
  <c r="AF67" i="2" s="1"/>
  <c r="AE68" i="2"/>
  <c r="AF68" i="2" s="1"/>
  <c r="AE69" i="2"/>
  <c r="AF69" i="2" s="1"/>
  <c r="AE70" i="2"/>
  <c r="AF70" i="2" s="1"/>
  <c r="AE71" i="2"/>
  <c r="AF71" i="2" s="1"/>
  <c r="AE72" i="2"/>
  <c r="AF72" i="2" s="1"/>
  <c r="AE73" i="2"/>
  <c r="AF73" i="2" s="1"/>
  <c r="AE74" i="2"/>
  <c r="AF74" i="2" s="1"/>
  <c r="AE75" i="2"/>
  <c r="AF75" i="2" s="1"/>
  <c r="AE76" i="2"/>
  <c r="AF76" i="2" s="1"/>
  <c r="AN97" i="2" l="1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O97" i="2"/>
  <c r="X97" i="2" s="1"/>
  <c r="O98" i="2"/>
  <c r="X98" i="2" s="1"/>
  <c r="O99" i="2"/>
  <c r="Z99" i="2" s="1"/>
  <c r="O100" i="2"/>
  <c r="Z100" i="2" s="1"/>
  <c r="O101" i="2"/>
  <c r="R101" i="2" s="1"/>
  <c r="T101" i="2" s="1"/>
  <c r="O102" i="2"/>
  <c r="Z102" i="2" s="1"/>
  <c r="O103" i="2"/>
  <c r="R103" i="2" s="1"/>
  <c r="T103" i="2" s="1"/>
  <c r="O104" i="2"/>
  <c r="R104" i="2" s="1"/>
  <c r="T104" i="2" s="1"/>
  <c r="O105" i="2"/>
  <c r="X105" i="2" s="1"/>
  <c r="O106" i="2"/>
  <c r="X106" i="2" s="1"/>
  <c r="O107" i="2"/>
  <c r="X107" i="2" s="1"/>
  <c r="O108" i="2"/>
  <c r="X108" i="2" s="1"/>
  <c r="O109" i="2"/>
  <c r="X109" i="2" s="1"/>
  <c r="O110" i="2"/>
  <c r="X110" i="2" s="1"/>
  <c r="O111" i="2"/>
  <c r="Z111" i="2" s="1"/>
  <c r="O112" i="2"/>
  <c r="AB112" i="2" s="1"/>
  <c r="O113" i="2"/>
  <c r="R113" i="2" s="1"/>
  <c r="T113" i="2" s="1"/>
  <c r="O87" i="2"/>
  <c r="X87" i="2" s="1"/>
  <c r="O88" i="2"/>
  <c r="AB88" i="2" s="1"/>
  <c r="O89" i="2"/>
  <c r="AB89" i="2" s="1"/>
  <c r="O90" i="2"/>
  <c r="R90" i="2" s="1"/>
  <c r="T90" i="2" s="1"/>
  <c r="O91" i="2"/>
  <c r="R91" i="2" s="1"/>
  <c r="T91" i="2" s="1"/>
  <c r="O92" i="2"/>
  <c r="AB92" i="2" s="1"/>
  <c r="O93" i="2"/>
  <c r="AB93" i="2" s="1"/>
  <c r="O94" i="2"/>
  <c r="AB94" i="2" s="1"/>
  <c r="O95" i="2"/>
  <c r="AB95" i="2" s="1"/>
  <c r="O96" i="2"/>
  <c r="R96" i="2" s="1"/>
  <c r="T96" i="2" s="1"/>
  <c r="X100" i="2"/>
  <c r="X101" i="2"/>
  <c r="X102" i="2"/>
  <c r="X103" i="2"/>
  <c r="L114" i="2"/>
  <c r="P114" i="2" s="1"/>
  <c r="L115" i="2"/>
  <c r="L116" i="2"/>
  <c r="L97" i="2"/>
  <c r="P97" i="2" s="1"/>
  <c r="L98" i="2"/>
  <c r="L99" i="2"/>
  <c r="L100" i="2"/>
  <c r="L101" i="2"/>
  <c r="L102" i="2"/>
  <c r="P102" i="2" s="1"/>
  <c r="L103" i="2"/>
  <c r="P103" i="2" s="1"/>
  <c r="L104" i="2"/>
  <c r="P104" i="2" s="1"/>
  <c r="L105" i="2"/>
  <c r="P105" i="2" s="1"/>
  <c r="L106" i="2"/>
  <c r="P106" i="2" s="1"/>
  <c r="L107" i="2"/>
  <c r="P107" i="2" s="1"/>
  <c r="L108" i="2"/>
  <c r="P108" i="2" s="1"/>
  <c r="L109" i="2"/>
  <c r="P109" i="2" s="1"/>
  <c r="L110" i="2"/>
  <c r="P110" i="2" s="1"/>
  <c r="L111" i="2"/>
  <c r="P111" i="2" s="1"/>
  <c r="L112" i="2"/>
  <c r="L113" i="2"/>
  <c r="P113" i="2" s="1"/>
  <c r="L87" i="2"/>
  <c r="L88" i="2"/>
  <c r="L89" i="2"/>
  <c r="P89" i="2" s="1"/>
  <c r="L90" i="2"/>
  <c r="P90" i="2" s="1"/>
  <c r="L91" i="2"/>
  <c r="P91" i="2" s="1"/>
  <c r="L92" i="2"/>
  <c r="L93" i="2"/>
  <c r="P93" i="2" s="1"/>
  <c r="L94" i="2"/>
  <c r="L95" i="2"/>
  <c r="L96" i="2"/>
  <c r="AN77" i="2"/>
  <c r="O77" i="2"/>
  <c r="R77" i="2" s="1"/>
  <c r="M77" i="2"/>
  <c r="L77" i="2"/>
  <c r="V77" i="2" s="1"/>
  <c r="AD77" i="2" s="1"/>
  <c r="AO117" i="2"/>
  <c r="AL117" i="2"/>
  <c r="AG117" i="2"/>
  <c r="AE117" i="2"/>
  <c r="AA117" i="2"/>
  <c r="Y117" i="2"/>
  <c r="W117" i="2"/>
  <c r="U117" i="2"/>
  <c r="S117" i="2"/>
  <c r="N117" i="2"/>
  <c r="J117" i="2"/>
  <c r="I117" i="2"/>
  <c r="H117" i="2"/>
  <c r="AN116" i="2"/>
  <c r="AF116" i="2"/>
  <c r="O116" i="2"/>
  <c r="AB116" i="2" s="1"/>
  <c r="M116" i="2"/>
  <c r="AN115" i="2"/>
  <c r="AF115" i="2"/>
  <c r="O115" i="2"/>
  <c r="R115" i="2" s="1"/>
  <c r="T115" i="2" s="1"/>
  <c r="M115" i="2"/>
  <c r="AN114" i="2"/>
  <c r="AF114" i="2"/>
  <c r="O114" i="2"/>
  <c r="X114" i="2" s="1"/>
  <c r="M114" i="2"/>
  <c r="AN96" i="2"/>
  <c r="AF96" i="2"/>
  <c r="M96" i="2"/>
  <c r="AN95" i="2"/>
  <c r="AF95" i="2"/>
  <c r="M95" i="2"/>
  <c r="AN94" i="2"/>
  <c r="AF94" i="2"/>
  <c r="M94" i="2"/>
  <c r="AN93" i="2"/>
  <c r="AF93" i="2"/>
  <c r="M93" i="2"/>
  <c r="AN92" i="2"/>
  <c r="AF92" i="2"/>
  <c r="M92" i="2"/>
  <c r="AN91" i="2"/>
  <c r="AF91" i="2"/>
  <c r="M91" i="2"/>
  <c r="AN90" i="2"/>
  <c r="AF90" i="2"/>
  <c r="M90" i="2"/>
  <c r="AN89" i="2"/>
  <c r="AF89" i="2"/>
  <c r="M89" i="2"/>
  <c r="AN88" i="2"/>
  <c r="AF88" i="2"/>
  <c r="M88" i="2"/>
  <c r="AN87" i="2"/>
  <c r="AF87" i="2"/>
  <c r="M87" i="2"/>
  <c r="AN86" i="2"/>
  <c r="AF86" i="2"/>
  <c r="O86" i="2"/>
  <c r="M86" i="2"/>
  <c r="L86" i="2"/>
  <c r="P86" i="2" s="1"/>
  <c r="AN78" i="2"/>
  <c r="O78" i="2"/>
  <c r="X78" i="2" s="1"/>
  <c r="M78" i="2"/>
  <c r="L78" i="2"/>
  <c r="P78" i="2" s="1"/>
  <c r="AN76" i="2"/>
  <c r="O76" i="2"/>
  <c r="Z76" i="2" s="1"/>
  <c r="M76" i="2"/>
  <c r="L76" i="2"/>
  <c r="P76" i="2" s="1"/>
  <c r="AN75" i="2"/>
  <c r="O75" i="2"/>
  <c r="Z75" i="2" s="1"/>
  <c r="M75" i="2"/>
  <c r="L75" i="2"/>
  <c r="AN74" i="2"/>
  <c r="O74" i="2"/>
  <c r="Z74" i="2" s="1"/>
  <c r="M74" i="2"/>
  <c r="L74" i="2"/>
  <c r="O73" i="2"/>
  <c r="Z73" i="2" s="1"/>
  <c r="M73" i="2"/>
  <c r="L73" i="2"/>
  <c r="AN72" i="2"/>
  <c r="O72" i="2"/>
  <c r="R72" i="2" s="1"/>
  <c r="T72" i="2" s="1"/>
  <c r="M72" i="2"/>
  <c r="L72" i="2"/>
  <c r="P72" i="2" s="1"/>
  <c r="AN71" i="2"/>
  <c r="O71" i="2"/>
  <c r="R71" i="2" s="1"/>
  <c r="T71" i="2" s="1"/>
  <c r="M71" i="2"/>
  <c r="L71" i="2"/>
  <c r="P71" i="2" s="1"/>
  <c r="AN70" i="2"/>
  <c r="O70" i="2"/>
  <c r="Z70" i="2" s="1"/>
  <c r="M70" i="2"/>
  <c r="L70" i="2"/>
  <c r="P70" i="2" s="1"/>
  <c r="AN69" i="2"/>
  <c r="O69" i="2"/>
  <c r="Z69" i="2" s="1"/>
  <c r="M69" i="2"/>
  <c r="L69" i="2"/>
  <c r="P69" i="2" s="1"/>
  <c r="AN68" i="2"/>
  <c r="O68" i="2"/>
  <c r="Z68" i="2" s="1"/>
  <c r="M68" i="2"/>
  <c r="L68" i="2"/>
  <c r="P68" i="2" s="1"/>
  <c r="AN67" i="2"/>
  <c r="O67" i="2"/>
  <c r="Z67" i="2" s="1"/>
  <c r="M67" i="2"/>
  <c r="L67" i="2"/>
  <c r="P67" i="2" s="1"/>
  <c r="AN66" i="2"/>
  <c r="O66" i="2"/>
  <c r="AB66" i="2" s="1"/>
  <c r="M66" i="2"/>
  <c r="L66" i="2"/>
  <c r="AN65" i="2"/>
  <c r="O65" i="2"/>
  <c r="R65" i="2" s="1"/>
  <c r="T65" i="2" s="1"/>
  <c r="M65" i="2"/>
  <c r="L65" i="2"/>
  <c r="AN64" i="2"/>
  <c r="O64" i="2"/>
  <c r="R64" i="2" s="1"/>
  <c r="T64" i="2" s="1"/>
  <c r="M64" i="2"/>
  <c r="L64" i="2"/>
  <c r="P64" i="2" s="1"/>
  <c r="AN63" i="2"/>
  <c r="O63" i="2"/>
  <c r="Z63" i="2" s="1"/>
  <c r="M63" i="2"/>
  <c r="L63" i="2"/>
  <c r="P63" i="2" s="1"/>
  <c r="AN62" i="2"/>
  <c r="O62" i="2"/>
  <c r="Z62" i="2" s="1"/>
  <c r="M62" i="2"/>
  <c r="L62" i="2"/>
  <c r="AN61" i="2"/>
  <c r="O61" i="2"/>
  <c r="R61" i="2" s="1"/>
  <c r="T61" i="2" s="1"/>
  <c r="M61" i="2"/>
  <c r="L61" i="2"/>
  <c r="P61" i="2" s="1"/>
  <c r="AN60" i="2"/>
  <c r="O60" i="2"/>
  <c r="AB60" i="2" s="1"/>
  <c r="M60" i="2"/>
  <c r="L60" i="2"/>
  <c r="P60" i="2" s="1"/>
  <c r="AN59" i="2"/>
  <c r="O59" i="2"/>
  <c r="X59" i="2" s="1"/>
  <c r="M59" i="2"/>
  <c r="L59" i="2"/>
  <c r="P59" i="2" s="1"/>
  <c r="O58" i="2"/>
  <c r="X58" i="2" s="1"/>
  <c r="M58" i="2"/>
  <c r="L58" i="2"/>
  <c r="P58" i="2" s="1"/>
  <c r="O57" i="2"/>
  <c r="R57" i="2" s="1"/>
  <c r="T57" i="2" s="1"/>
  <c r="M57" i="2"/>
  <c r="L57" i="2"/>
  <c r="P57" i="2" s="1"/>
  <c r="AN56" i="2"/>
  <c r="O56" i="2"/>
  <c r="AB56" i="2" s="1"/>
  <c r="M56" i="2"/>
  <c r="L56" i="2"/>
  <c r="AN55" i="2"/>
  <c r="O55" i="2"/>
  <c r="AB55" i="2" s="1"/>
  <c r="M55" i="2"/>
  <c r="L55" i="2"/>
  <c r="P55" i="2" s="1"/>
  <c r="O54" i="2"/>
  <c r="R54" i="2" s="1"/>
  <c r="T54" i="2" s="1"/>
  <c r="M54" i="2"/>
  <c r="L54" i="2"/>
  <c r="P54" i="2" s="1"/>
  <c r="AN53" i="2"/>
  <c r="O53" i="2"/>
  <c r="AB53" i="2" s="1"/>
  <c r="M53" i="2"/>
  <c r="L53" i="2"/>
  <c r="AN52" i="2"/>
  <c r="O52" i="2"/>
  <c r="Z52" i="2" s="1"/>
  <c r="M52" i="2"/>
  <c r="L52" i="2"/>
  <c r="P52" i="2" s="1"/>
  <c r="AN51" i="2"/>
  <c r="O51" i="2"/>
  <c r="R51" i="2" s="1"/>
  <c r="T51" i="2" s="1"/>
  <c r="M51" i="2"/>
  <c r="L51" i="2"/>
  <c r="AN50" i="2"/>
  <c r="O50" i="2"/>
  <c r="Z50" i="2" s="1"/>
  <c r="M50" i="2"/>
  <c r="L50" i="2"/>
  <c r="P50" i="2" s="1"/>
  <c r="AN49" i="2"/>
  <c r="O49" i="2"/>
  <c r="Z49" i="2" s="1"/>
  <c r="M49" i="2"/>
  <c r="L49" i="2"/>
  <c r="P49" i="2" s="1"/>
  <c r="O48" i="2"/>
  <c r="X48" i="2" s="1"/>
  <c r="M48" i="2"/>
  <c r="L48" i="2"/>
  <c r="P48" i="2" s="1"/>
  <c r="AN47" i="2"/>
  <c r="O47" i="2"/>
  <c r="X47" i="2" s="1"/>
  <c r="M47" i="2"/>
  <c r="L47" i="2"/>
  <c r="AN46" i="2"/>
  <c r="O46" i="2"/>
  <c r="X46" i="2" s="1"/>
  <c r="M46" i="2"/>
  <c r="L46" i="2"/>
  <c r="P46" i="2" s="1"/>
  <c r="O45" i="2"/>
  <c r="X45" i="2" s="1"/>
  <c r="M45" i="2"/>
  <c r="L45" i="2"/>
  <c r="P45" i="2" s="1"/>
  <c r="O44" i="2"/>
  <c r="Z44" i="2" s="1"/>
  <c r="M44" i="2"/>
  <c r="L44" i="2"/>
  <c r="O43" i="2"/>
  <c r="Z43" i="2" s="1"/>
  <c r="M43" i="2"/>
  <c r="L43" i="2"/>
  <c r="P43" i="2" s="1"/>
  <c r="AN42" i="2"/>
  <c r="O42" i="2"/>
  <c r="Z42" i="2" s="1"/>
  <c r="M42" i="2"/>
  <c r="L42" i="2"/>
  <c r="P42" i="2" s="1"/>
  <c r="AN41" i="2"/>
  <c r="O41" i="2"/>
  <c r="R41" i="2" s="1"/>
  <c r="T41" i="2" s="1"/>
  <c r="M41" i="2"/>
  <c r="L41" i="2"/>
  <c r="AN40" i="2"/>
  <c r="O40" i="2"/>
  <c r="Z40" i="2" s="1"/>
  <c r="M40" i="2"/>
  <c r="L40" i="2"/>
  <c r="O39" i="2"/>
  <c r="R39" i="2" s="1"/>
  <c r="T39" i="2" s="1"/>
  <c r="M39" i="2"/>
  <c r="L39" i="2"/>
  <c r="P39" i="2" s="1"/>
  <c r="AN38" i="2"/>
  <c r="O38" i="2"/>
  <c r="Z38" i="2" s="1"/>
  <c r="M38" i="2"/>
  <c r="L38" i="2"/>
  <c r="AN37" i="2"/>
  <c r="O37" i="2"/>
  <c r="R37" i="2" s="1"/>
  <c r="T37" i="2" s="1"/>
  <c r="M37" i="2"/>
  <c r="L37" i="2"/>
  <c r="P37" i="2" s="1"/>
  <c r="AN36" i="2"/>
  <c r="O36" i="2"/>
  <c r="R36" i="2" s="1"/>
  <c r="T36" i="2" s="1"/>
  <c r="M36" i="2"/>
  <c r="L36" i="2"/>
  <c r="P36" i="2" s="1"/>
  <c r="O35" i="2"/>
  <c r="X35" i="2" s="1"/>
  <c r="M35" i="2"/>
  <c r="L35" i="2"/>
  <c r="P35" i="2" s="1"/>
  <c r="AN34" i="2"/>
  <c r="O34" i="2"/>
  <c r="AB34" i="2" s="1"/>
  <c r="M34" i="2"/>
  <c r="L34" i="2"/>
  <c r="AN33" i="2"/>
  <c r="O33" i="2"/>
  <c r="AB33" i="2" s="1"/>
  <c r="M33" i="2"/>
  <c r="L33" i="2"/>
  <c r="P33" i="2" s="1"/>
  <c r="AN32" i="2"/>
  <c r="O32" i="2"/>
  <c r="Z32" i="2" s="1"/>
  <c r="M32" i="2"/>
  <c r="L32" i="2"/>
  <c r="P32" i="2" s="1"/>
  <c r="AN31" i="2"/>
  <c r="O31" i="2"/>
  <c r="Z31" i="2" s="1"/>
  <c r="M31" i="2"/>
  <c r="L31" i="2"/>
  <c r="P31" i="2" s="1"/>
  <c r="AN30" i="2"/>
  <c r="O30" i="2"/>
  <c r="Z30" i="2" s="1"/>
  <c r="M30" i="2"/>
  <c r="L30" i="2"/>
  <c r="AN29" i="2"/>
  <c r="O29" i="2"/>
  <c r="R29" i="2" s="1"/>
  <c r="T29" i="2" s="1"/>
  <c r="M29" i="2"/>
  <c r="L29" i="2"/>
  <c r="P29" i="2" s="1"/>
  <c r="AN28" i="2"/>
  <c r="O28" i="2"/>
  <c r="AB28" i="2" s="1"/>
  <c r="M28" i="2"/>
  <c r="L28" i="2"/>
  <c r="P28" i="2" s="1"/>
  <c r="AN27" i="2"/>
  <c r="O27" i="2"/>
  <c r="Z27" i="2" s="1"/>
  <c r="M27" i="2"/>
  <c r="L27" i="2"/>
  <c r="O26" i="2"/>
  <c r="Z26" i="2" s="1"/>
  <c r="M26" i="2"/>
  <c r="L26" i="2"/>
  <c r="P26" i="2" s="1"/>
  <c r="O25" i="2"/>
  <c r="Z25" i="2" s="1"/>
  <c r="M25" i="2"/>
  <c r="L25" i="2"/>
  <c r="AN24" i="2"/>
  <c r="O24" i="2"/>
  <c r="X24" i="2" s="1"/>
  <c r="M24" i="2"/>
  <c r="L24" i="2"/>
  <c r="P24" i="2" s="1"/>
  <c r="AN23" i="2"/>
  <c r="O23" i="2"/>
  <c r="X23" i="2" s="1"/>
  <c r="M23" i="2"/>
  <c r="L23" i="2"/>
  <c r="P23" i="2" s="1"/>
  <c r="AN22" i="2"/>
  <c r="O22" i="2"/>
  <c r="Z22" i="2" s="1"/>
  <c r="M22" i="2"/>
  <c r="L22" i="2"/>
  <c r="P22" i="2" s="1"/>
  <c r="AN21" i="2"/>
  <c r="O21" i="2"/>
  <c r="Z21" i="2" s="1"/>
  <c r="M21" i="2"/>
  <c r="L21" i="2"/>
  <c r="P21" i="2" s="1"/>
  <c r="AN20" i="2"/>
  <c r="O20" i="2"/>
  <c r="X20" i="2" s="1"/>
  <c r="M20" i="2"/>
  <c r="L20" i="2"/>
  <c r="AN19" i="2"/>
  <c r="O19" i="2"/>
  <c r="AB19" i="2" s="1"/>
  <c r="M19" i="2"/>
  <c r="L19" i="2"/>
  <c r="P19" i="2" s="1"/>
  <c r="AN18" i="2"/>
  <c r="O18" i="2"/>
  <c r="Z18" i="2" s="1"/>
  <c r="M18" i="2"/>
  <c r="L18" i="2"/>
  <c r="P18" i="2" s="1"/>
  <c r="AN17" i="2"/>
  <c r="O17" i="2"/>
  <c r="Z17" i="2" s="1"/>
  <c r="M17" i="2"/>
  <c r="L17" i="2"/>
  <c r="AN16" i="2"/>
  <c r="O16" i="2"/>
  <c r="R16" i="2" s="1"/>
  <c r="T16" i="2" s="1"/>
  <c r="M16" i="2"/>
  <c r="L16" i="2"/>
  <c r="O15" i="2"/>
  <c r="Z15" i="2" s="1"/>
  <c r="M15" i="2"/>
  <c r="L15" i="2"/>
  <c r="AN14" i="2"/>
  <c r="O14" i="2"/>
  <c r="Z14" i="2" s="1"/>
  <c r="M14" i="2"/>
  <c r="L14" i="2"/>
  <c r="P14" i="2" s="1"/>
  <c r="O13" i="2"/>
  <c r="Z13" i="2" s="1"/>
  <c r="M13" i="2"/>
  <c r="L13" i="2"/>
  <c r="P13" i="2" s="1"/>
  <c r="AN12" i="2"/>
  <c r="O12" i="2"/>
  <c r="X12" i="2" s="1"/>
  <c r="M12" i="2"/>
  <c r="L12" i="2"/>
  <c r="P12" i="2" s="1"/>
  <c r="AN11" i="2"/>
  <c r="O11" i="2"/>
  <c r="X11" i="2" s="1"/>
  <c r="M11" i="2"/>
  <c r="L11" i="2"/>
  <c r="P11" i="2" s="1"/>
  <c r="AN10" i="2"/>
  <c r="O10" i="2"/>
  <c r="R10" i="2" s="1"/>
  <c r="T10" i="2" s="1"/>
  <c r="M10" i="2"/>
  <c r="L10" i="2"/>
  <c r="O9" i="2"/>
  <c r="R9" i="2" s="1"/>
  <c r="T9" i="2" s="1"/>
  <c r="M9" i="2"/>
  <c r="L9" i="2"/>
  <c r="P9" i="2" s="1"/>
  <c r="O8" i="2"/>
  <c r="Z8" i="2" s="1"/>
  <c r="M8" i="2"/>
  <c r="L8" i="2"/>
  <c r="AN7" i="2"/>
  <c r="O7" i="2"/>
  <c r="R7" i="2" s="1"/>
  <c r="T7" i="2" s="1"/>
  <c r="M7" i="2"/>
  <c r="L7" i="2"/>
  <c r="O6" i="2"/>
  <c r="Z6" i="2" s="1"/>
  <c r="M6" i="2"/>
  <c r="L6" i="2"/>
  <c r="P6" i="2" s="1"/>
  <c r="O5" i="2"/>
  <c r="AB5" i="2" s="1"/>
  <c r="M5" i="2"/>
  <c r="L5" i="2"/>
  <c r="P5" i="2" s="1"/>
  <c r="O4" i="2"/>
  <c r="Z4" i="2" s="1"/>
  <c r="M4" i="2"/>
  <c r="L4" i="2"/>
  <c r="P4" i="2" s="1"/>
  <c r="O3" i="2"/>
  <c r="R3" i="2" s="1"/>
  <c r="T3" i="2" s="1"/>
  <c r="M3" i="2"/>
  <c r="L3" i="2"/>
  <c r="P3" i="2" s="1"/>
  <c r="AE2" i="2"/>
  <c r="O2" i="2"/>
  <c r="X2" i="2" s="1"/>
  <c r="M2" i="2"/>
  <c r="L2" i="2"/>
  <c r="R89" i="2" l="1"/>
  <c r="T89" i="2" s="1"/>
  <c r="R88" i="2"/>
  <c r="T88" i="2" s="1"/>
  <c r="L80" i="2"/>
  <c r="X113" i="2"/>
  <c r="X104" i="2"/>
  <c r="AN2" i="2"/>
  <c r="AE80" i="2"/>
  <c r="Q111" i="2"/>
  <c r="AB100" i="2"/>
  <c r="AC100" i="2" s="1"/>
  <c r="R112" i="2"/>
  <c r="T112" i="2" s="1"/>
  <c r="V112" i="2" s="1"/>
  <c r="R102" i="2"/>
  <c r="T102" i="2" s="1"/>
  <c r="Q105" i="2"/>
  <c r="R100" i="2"/>
  <c r="T100" i="2" s="1"/>
  <c r="V100" i="2" s="1"/>
  <c r="Q104" i="2"/>
  <c r="Q103" i="2"/>
  <c r="X112" i="2"/>
  <c r="Q102" i="2"/>
  <c r="R110" i="2"/>
  <c r="T110" i="2" s="1"/>
  <c r="V110" i="2" s="1"/>
  <c r="R98" i="2"/>
  <c r="T98" i="2" s="1"/>
  <c r="V98" i="2" s="1"/>
  <c r="Q110" i="2"/>
  <c r="Q18" i="2"/>
  <c r="Q113" i="2"/>
  <c r="Z112" i="2"/>
  <c r="Z103" i="2"/>
  <c r="Q107" i="2"/>
  <c r="Z107" i="2"/>
  <c r="Z106" i="2"/>
  <c r="R106" i="2"/>
  <c r="T106" i="2" s="1"/>
  <c r="V106" i="2" s="1"/>
  <c r="Z94" i="2"/>
  <c r="AB106" i="2"/>
  <c r="AB104" i="2"/>
  <c r="AB103" i="2"/>
  <c r="Q109" i="2"/>
  <c r="Q97" i="2"/>
  <c r="AB102" i="2"/>
  <c r="AC102" i="2" s="1"/>
  <c r="V104" i="2"/>
  <c r="R111" i="2"/>
  <c r="T111" i="2" s="1"/>
  <c r="V111" i="2" s="1"/>
  <c r="R99" i="2"/>
  <c r="T99" i="2" s="1"/>
  <c r="V99" i="2" s="1"/>
  <c r="AB96" i="2"/>
  <c r="X111" i="2"/>
  <c r="Z105" i="2"/>
  <c r="R109" i="2"/>
  <c r="T109" i="2" s="1"/>
  <c r="V109" i="2" s="1"/>
  <c r="R97" i="2"/>
  <c r="T97" i="2" s="1"/>
  <c r="V97" i="2" s="1"/>
  <c r="Z104" i="2"/>
  <c r="AB113" i="2"/>
  <c r="AB101" i="2"/>
  <c r="V113" i="2"/>
  <c r="V101" i="2"/>
  <c r="R108" i="2"/>
  <c r="T108" i="2" s="1"/>
  <c r="Q64" i="2"/>
  <c r="R107" i="2"/>
  <c r="T107" i="2" s="1"/>
  <c r="V107" i="2" s="1"/>
  <c r="AB111" i="2"/>
  <c r="AB99" i="2"/>
  <c r="Z113" i="2"/>
  <c r="Z101" i="2"/>
  <c r="AB110" i="2"/>
  <c r="AB98" i="2"/>
  <c r="P101" i="2"/>
  <c r="Q101" i="2" s="1"/>
  <c r="R105" i="2"/>
  <c r="T105" i="2" s="1"/>
  <c r="V105" i="2" s="1"/>
  <c r="AB109" i="2"/>
  <c r="AB97" i="2"/>
  <c r="X99" i="2"/>
  <c r="P99" i="2"/>
  <c r="Q99" i="2" s="1"/>
  <c r="AB108" i="2"/>
  <c r="R86" i="2"/>
  <c r="T86" i="2" s="1"/>
  <c r="V86" i="2" s="1"/>
  <c r="X86" i="2"/>
  <c r="Q108" i="2"/>
  <c r="X116" i="2"/>
  <c r="P98" i="2"/>
  <c r="Q98" i="2" s="1"/>
  <c r="Z110" i="2"/>
  <c r="Z98" i="2"/>
  <c r="AB107" i="2"/>
  <c r="X115" i="2"/>
  <c r="Z109" i="2"/>
  <c r="Z97" i="2"/>
  <c r="Q106" i="2"/>
  <c r="Z108" i="2"/>
  <c r="AB105" i="2"/>
  <c r="P112" i="2"/>
  <c r="Q112" i="2" s="1"/>
  <c r="P100" i="2"/>
  <c r="Q100" i="2" s="1"/>
  <c r="V108" i="2"/>
  <c r="V103" i="2"/>
  <c r="V102" i="2"/>
  <c r="Q48" i="2"/>
  <c r="X33" i="2"/>
  <c r="Z46" i="2"/>
  <c r="Z36" i="2"/>
  <c r="Q9" i="2"/>
  <c r="Q57" i="2"/>
  <c r="X44" i="2"/>
  <c r="Z48" i="2"/>
  <c r="Q54" i="2"/>
  <c r="X34" i="2"/>
  <c r="Z47" i="2"/>
  <c r="X21" i="2"/>
  <c r="Z34" i="2"/>
  <c r="X22" i="2"/>
  <c r="Q49" i="2"/>
  <c r="X9" i="2"/>
  <c r="Z24" i="2"/>
  <c r="Q36" i="2"/>
  <c r="Q68" i="2"/>
  <c r="Q71" i="2"/>
  <c r="X70" i="2"/>
  <c r="X8" i="2"/>
  <c r="Z23" i="2"/>
  <c r="Q33" i="2"/>
  <c r="X69" i="2"/>
  <c r="Z72" i="2"/>
  <c r="X68" i="2"/>
  <c r="Z71" i="2"/>
  <c r="Z12" i="2"/>
  <c r="Q50" i="2"/>
  <c r="X57" i="2"/>
  <c r="Z11" i="2"/>
  <c r="X56" i="2"/>
  <c r="Z60" i="2"/>
  <c r="Z59" i="2"/>
  <c r="Q89" i="2"/>
  <c r="AH77" i="2"/>
  <c r="AI77" i="2" s="1"/>
  <c r="AJ77" i="2"/>
  <c r="X67" i="2"/>
  <c r="X55" i="2"/>
  <c r="X43" i="2"/>
  <c r="X31" i="2"/>
  <c r="X19" i="2"/>
  <c r="X7" i="2"/>
  <c r="Z57" i="2"/>
  <c r="Z45" i="2"/>
  <c r="Z33" i="2"/>
  <c r="Z9" i="2"/>
  <c r="Z35" i="2"/>
  <c r="X32" i="2"/>
  <c r="X66" i="2"/>
  <c r="X54" i="2"/>
  <c r="X42" i="2"/>
  <c r="X30" i="2"/>
  <c r="X18" i="2"/>
  <c r="X6" i="2"/>
  <c r="Z56" i="2"/>
  <c r="Z20" i="2"/>
  <c r="X77" i="2"/>
  <c r="X65" i="2"/>
  <c r="X53" i="2"/>
  <c r="X41" i="2"/>
  <c r="X29" i="2"/>
  <c r="X17" i="2"/>
  <c r="X5" i="2"/>
  <c r="Z55" i="2"/>
  <c r="Z19" i="2"/>
  <c r="Z7" i="2"/>
  <c r="X10" i="2"/>
  <c r="Z10" i="2"/>
  <c r="P77" i="2"/>
  <c r="Q77" i="2" s="1"/>
  <c r="X76" i="2"/>
  <c r="X64" i="2"/>
  <c r="X52" i="2"/>
  <c r="X40" i="2"/>
  <c r="X28" i="2"/>
  <c r="X16" i="2"/>
  <c r="X4" i="2"/>
  <c r="Z66" i="2"/>
  <c r="Z54" i="2"/>
  <c r="X75" i="2"/>
  <c r="X63" i="2"/>
  <c r="X51" i="2"/>
  <c r="X39" i="2"/>
  <c r="X27" i="2"/>
  <c r="X15" i="2"/>
  <c r="X3" i="2"/>
  <c r="Z65" i="2"/>
  <c r="Z53" i="2"/>
  <c r="Z41" i="2"/>
  <c r="Z29" i="2"/>
  <c r="Z5" i="2"/>
  <c r="X74" i="2"/>
  <c r="X62" i="2"/>
  <c r="X50" i="2"/>
  <c r="X38" i="2"/>
  <c r="X26" i="2"/>
  <c r="X14" i="2"/>
  <c r="Z64" i="2"/>
  <c r="Z28" i="2"/>
  <c r="Z16" i="2"/>
  <c r="X73" i="2"/>
  <c r="X61" i="2"/>
  <c r="X49" i="2"/>
  <c r="X37" i="2"/>
  <c r="X25" i="2"/>
  <c r="X13" i="2"/>
  <c r="Z51" i="2"/>
  <c r="Z39" i="2"/>
  <c r="Z3" i="2"/>
  <c r="Z58" i="2"/>
  <c r="Q58" i="2"/>
  <c r="AP77" i="2"/>
  <c r="X72" i="2"/>
  <c r="X60" i="2"/>
  <c r="X36" i="2"/>
  <c r="Q26" i="2"/>
  <c r="X71" i="2"/>
  <c r="Z61" i="2"/>
  <c r="Z37" i="2"/>
  <c r="AN43" i="2"/>
  <c r="AB57" i="2"/>
  <c r="Q4" i="2"/>
  <c r="Q72" i="2"/>
  <c r="Q91" i="2"/>
  <c r="Q28" i="2"/>
  <c r="Q55" i="2"/>
  <c r="Q3" i="2"/>
  <c r="Q6" i="2"/>
  <c r="Q67" i="2"/>
  <c r="V89" i="2"/>
  <c r="AB6" i="2"/>
  <c r="Q59" i="2"/>
  <c r="Q19" i="2"/>
  <c r="Q37" i="2"/>
  <c r="V61" i="2"/>
  <c r="Q114" i="2"/>
  <c r="Q60" i="2"/>
  <c r="R6" i="2"/>
  <c r="T6" i="2" s="1"/>
  <c r="V6" i="2" s="1"/>
  <c r="Q78" i="2"/>
  <c r="V90" i="2"/>
  <c r="V72" i="2"/>
  <c r="Q35" i="2"/>
  <c r="Q63" i="2"/>
  <c r="AB10" i="2"/>
  <c r="V39" i="2"/>
  <c r="R28" i="2"/>
  <c r="T28" i="2" s="1"/>
  <c r="V28" i="2" s="1"/>
  <c r="AN8" i="2"/>
  <c r="AB16" i="2"/>
  <c r="AN44" i="2"/>
  <c r="Z114" i="2"/>
  <c r="V37" i="2"/>
  <c r="AB114" i="2"/>
  <c r="AN54" i="2"/>
  <c r="X90" i="2"/>
  <c r="Z90" i="2"/>
  <c r="V54" i="2"/>
  <c r="R60" i="2"/>
  <c r="R114" i="2"/>
  <c r="T114" i="2" s="1"/>
  <c r="V114" i="2" s="1"/>
  <c r="AB26" i="2"/>
  <c r="AB30" i="2"/>
  <c r="V64" i="2"/>
  <c r="V3" i="2"/>
  <c r="Q31" i="2"/>
  <c r="R35" i="2"/>
  <c r="T35" i="2" s="1"/>
  <c r="V35" i="2" s="1"/>
  <c r="Q69" i="2"/>
  <c r="Z115" i="2"/>
  <c r="AB61" i="2"/>
  <c r="V36" i="2"/>
  <c r="AB63" i="2"/>
  <c r="AB90" i="2"/>
  <c r="Z87" i="2"/>
  <c r="AB87" i="2"/>
  <c r="Q46" i="2"/>
  <c r="AB48" i="2"/>
  <c r="AB64" i="2"/>
  <c r="Q90" i="2"/>
  <c r="AB24" i="2"/>
  <c r="R24" i="2"/>
  <c r="T24" i="2" s="1"/>
  <c r="V24" i="2" s="1"/>
  <c r="Q5" i="2"/>
  <c r="R38" i="2"/>
  <c r="T38" i="2" s="1"/>
  <c r="V38" i="2" s="1"/>
  <c r="AB43" i="2"/>
  <c r="R43" i="2"/>
  <c r="T43" i="2" s="1"/>
  <c r="V43" i="2" s="1"/>
  <c r="AN73" i="2"/>
  <c r="R76" i="2"/>
  <c r="T76" i="2" s="1"/>
  <c r="V76" i="2" s="1"/>
  <c r="R5" i="2"/>
  <c r="T5" i="2" s="1"/>
  <c r="V5" i="2" s="1"/>
  <c r="AN6" i="2"/>
  <c r="AB20" i="2"/>
  <c r="AB38" i="2"/>
  <c r="AB50" i="2"/>
  <c r="AN3" i="2"/>
  <c r="AN9" i="2"/>
  <c r="Z116" i="2"/>
  <c r="AB44" i="2"/>
  <c r="R4" i="2"/>
  <c r="T4" i="2" s="1"/>
  <c r="V4" i="2" s="1"/>
  <c r="AB4" i="2"/>
  <c r="AB68" i="2"/>
  <c r="P87" i="2"/>
  <c r="Q87" i="2" s="1"/>
  <c r="R92" i="2"/>
  <c r="T92" i="2" s="1"/>
  <c r="V92" i="2" s="1"/>
  <c r="R66" i="2"/>
  <c r="T66" i="2" s="1"/>
  <c r="V66" i="2" s="1"/>
  <c r="Q13" i="2"/>
  <c r="R15" i="2"/>
  <c r="T15" i="2" s="1"/>
  <c r="V15" i="2" s="1"/>
  <c r="Q24" i="2"/>
  <c r="R30" i="2"/>
  <c r="T30" i="2" s="1"/>
  <c r="V30" i="2" s="1"/>
  <c r="X94" i="2"/>
  <c r="AB59" i="2"/>
  <c r="AB37" i="2"/>
  <c r="AB51" i="2"/>
  <c r="R69" i="2"/>
  <c r="T69" i="2" s="1"/>
  <c r="V69" i="2" s="1"/>
  <c r="AB69" i="2"/>
  <c r="AB9" i="2"/>
  <c r="AN45" i="2"/>
  <c r="AB78" i="2"/>
  <c r="Z78" i="2"/>
  <c r="AN25" i="2"/>
  <c r="V71" i="2"/>
  <c r="R50" i="2"/>
  <c r="T50" i="2" s="1"/>
  <c r="V50" i="2" s="1"/>
  <c r="R44" i="2"/>
  <c r="T44" i="2" s="1"/>
  <c r="V44" i="2" s="1"/>
  <c r="AN48" i="2"/>
  <c r="R78" i="2"/>
  <c r="T78" i="2" s="1"/>
  <c r="V78" i="2" s="1"/>
  <c r="R94" i="2"/>
  <c r="T94" i="2" s="1"/>
  <c r="V94" i="2" s="1"/>
  <c r="Q43" i="2"/>
  <c r="AB49" i="2"/>
  <c r="R68" i="2"/>
  <c r="T68" i="2" s="1"/>
  <c r="V68" i="2" s="1"/>
  <c r="AB72" i="2"/>
  <c r="M117" i="2"/>
  <c r="R19" i="2"/>
  <c r="T19" i="2" s="1"/>
  <c r="V19" i="2" s="1"/>
  <c r="AN57" i="2"/>
  <c r="AN5" i="2"/>
  <c r="V10" i="2"/>
  <c r="AN13" i="2"/>
  <c r="V29" i="2"/>
  <c r="R55" i="2"/>
  <c r="T55" i="2" s="1"/>
  <c r="V55" i="2" s="1"/>
  <c r="AB65" i="2"/>
  <c r="Z88" i="2"/>
  <c r="AB91" i="2"/>
  <c r="Q93" i="2"/>
  <c r="R87" i="2"/>
  <c r="T87" i="2" s="1"/>
  <c r="V87" i="2" s="1"/>
  <c r="R48" i="2"/>
  <c r="T48" i="2" s="1"/>
  <c r="V48" i="2" s="1"/>
  <c r="P10" i="2"/>
  <c r="Q10" i="2" s="1"/>
  <c r="Q12" i="2"/>
  <c r="AB115" i="2"/>
  <c r="AN15" i="2"/>
  <c r="R23" i="2"/>
  <c r="T23" i="2" s="1"/>
  <c r="V23" i="2" s="1"/>
  <c r="AB23" i="2"/>
  <c r="AB70" i="2"/>
  <c r="R70" i="2"/>
  <c r="T70" i="2" s="1"/>
  <c r="V70" i="2" s="1"/>
  <c r="AB8" i="2"/>
  <c r="P115" i="2"/>
  <c r="Q115" i="2" s="1"/>
  <c r="V115" i="2"/>
  <c r="AN4" i="2"/>
  <c r="AB18" i="2"/>
  <c r="R18" i="2"/>
  <c r="T18" i="2" s="1"/>
  <c r="V18" i="2" s="1"/>
  <c r="P75" i="2"/>
  <c r="Q75" i="2" s="1"/>
  <c r="AN39" i="2"/>
  <c r="V41" i="2"/>
  <c r="P41" i="2"/>
  <c r="Q41" i="2" s="1"/>
  <c r="AN58" i="2"/>
  <c r="R14" i="2"/>
  <c r="T14" i="2" s="1"/>
  <c r="V14" i="2" s="1"/>
  <c r="AB14" i="2"/>
  <c r="Q14" i="2"/>
  <c r="R17" i="2"/>
  <c r="T17" i="2" s="1"/>
  <c r="V17" i="2" s="1"/>
  <c r="AB17" i="2"/>
  <c r="P2" i="2"/>
  <c r="Q2" i="2" s="1"/>
  <c r="AB29" i="2"/>
  <c r="R8" i="2"/>
  <c r="T8" i="2" s="1"/>
  <c r="V8" i="2" s="1"/>
  <c r="AB22" i="2"/>
  <c r="R22" i="2"/>
  <c r="T22" i="2" s="1"/>
  <c r="V22" i="2" s="1"/>
  <c r="P38" i="2"/>
  <c r="Q38" i="2" s="1"/>
  <c r="AB11" i="2"/>
  <c r="R11" i="2"/>
  <c r="T11" i="2" s="1"/>
  <c r="V11" i="2" s="1"/>
  <c r="Q22" i="2"/>
  <c r="R45" i="2"/>
  <c r="T45" i="2" s="1"/>
  <c r="V45" i="2" s="1"/>
  <c r="AB45" i="2"/>
  <c r="X95" i="2"/>
  <c r="R95" i="2"/>
  <c r="T95" i="2" s="1"/>
  <c r="V95" i="2" s="1"/>
  <c r="Z95" i="2"/>
  <c r="P51" i="2"/>
  <c r="Q51" i="2" s="1"/>
  <c r="V51" i="2"/>
  <c r="R21" i="2"/>
  <c r="T21" i="2" s="1"/>
  <c r="V21" i="2" s="1"/>
  <c r="AB21" i="2"/>
  <c r="Q21" i="2"/>
  <c r="Q70" i="2"/>
  <c r="Q86" i="2"/>
  <c r="AF2" i="2"/>
  <c r="AF80" i="2" s="1"/>
  <c r="P7" i="2"/>
  <c r="Q7" i="2" s="1"/>
  <c r="V7" i="2"/>
  <c r="Q11" i="2"/>
  <c r="P30" i="2"/>
  <c r="Q30" i="2" s="1"/>
  <c r="R52" i="2"/>
  <c r="T52" i="2" s="1"/>
  <c r="V52" i="2" s="1"/>
  <c r="AB52" i="2"/>
  <c r="R40" i="2"/>
  <c r="T40" i="2" s="1"/>
  <c r="V40" i="2" s="1"/>
  <c r="Q42" i="2"/>
  <c r="P65" i="2"/>
  <c r="Q65" i="2" s="1"/>
  <c r="V65" i="2"/>
  <c r="R12" i="2"/>
  <c r="T12" i="2" s="1"/>
  <c r="V12" i="2" s="1"/>
  <c r="V16" i="2"/>
  <c r="AB27" i="2"/>
  <c r="P34" i="2"/>
  <c r="Q34" i="2" s="1"/>
  <c r="R2" i="2"/>
  <c r="T2" i="2" s="1"/>
  <c r="R25" i="2"/>
  <c r="T25" i="2" s="1"/>
  <c r="V25" i="2" s="1"/>
  <c r="P27" i="2"/>
  <c r="Q27" i="2" s="1"/>
  <c r="R33" i="2"/>
  <c r="T33" i="2" s="1"/>
  <c r="V33" i="2" s="1"/>
  <c r="R74" i="2"/>
  <c r="T74" i="2" s="1"/>
  <c r="V74" i="2" s="1"/>
  <c r="AB74" i="2"/>
  <c r="AN117" i="2"/>
  <c r="AN26" i="2"/>
  <c r="AB31" i="2"/>
  <c r="Q52" i="2"/>
  <c r="AB67" i="2"/>
  <c r="AB41" i="2"/>
  <c r="Z93" i="2"/>
  <c r="X93" i="2"/>
  <c r="O117" i="2"/>
  <c r="R93" i="2"/>
  <c r="T93" i="2" s="1"/>
  <c r="V93" i="2" s="1"/>
  <c r="P96" i="2"/>
  <c r="Q96" i="2" s="1"/>
  <c r="V96" i="2"/>
  <c r="P92" i="2"/>
  <c r="Q92" i="2" s="1"/>
  <c r="P25" i="2"/>
  <c r="Q25" i="2" s="1"/>
  <c r="R31" i="2"/>
  <c r="T31" i="2" s="1"/>
  <c r="V31" i="2" s="1"/>
  <c r="P40" i="2"/>
  <c r="Q40" i="2" s="1"/>
  <c r="P20" i="2"/>
  <c r="Q20" i="2" s="1"/>
  <c r="P62" i="2"/>
  <c r="Q62" i="2" s="1"/>
  <c r="AB13" i="2"/>
  <c r="V9" i="2"/>
  <c r="P16" i="2"/>
  <c r="Q16" i="2" s="1"/>
  <c r="AB25" i="2"/>
  <c r="R34" i="2"/>
  <c r="T34" i="2" s="1"/>
  <c r="V34" i="2" s="1"/>
  <c r="AB36" i="2"/>
  <c r="AB40" i="2"/>
  <c r="P44" i="2"/>
  <c r="Q44" i="2" s="1"/>
  <c r="R58" i="2"/>
  <c r="T58" i="2" s="1"/>
  <c r="V58" i="2" s="1"/>
  <c r="AB71" i="2"/>
  <c r="P73" i="2"/>
  <c r="Q73" i="2" s="1"/>
  <c r="P17" i="2"/>
  <c r="Q17" i="2" s="1"/>
  <c r="Q45" i="2"/>
  <c r="AB47" i="2"/>
  <c r="R47" i="2"/>
  <c r="T47" i="2" s="1"/>
  <c r="V47" i="2" s="1"/>
  <c r="R59" i="2"/>
  <c r="T59" i="2" s="1"/>
  <c r="V59" i="2" s="1"/>
  <c r="P95" i="2"/>
  <c r="Q95" i="2" s="1"/>
  <c r="L117" i="2"/>
  <c r="Q23" i="2"/>
  <c r="AB42" i="2"/>
  <c r="R42" i="2"/>
  <c r="T42" i="2" s="1"/>
  <c r="V42" i="2" s="1"/>
  <c r="P15" i="2"/>
  <c r="Q15" i="2" s="1"/>
  <c r="AB32" i="2"/>
  <c r="R32" i="2"/>
  <c r="T32" i="2" s="1"/>
  <c r="V32" i="2" s="1"/>
  <c r="AN35" i="2"/>
  <c r="P56" i="2"/>
  <c r="Q56" i="2" s="1"/>
  <c r="R67" i="2"/>
  <c r="T67" i="2" s="1"/>
  <c r="V67" i="2" s="1"/>
  <c r="P74" i="2"/>
  <c r="Q74" i="2" s="1"/>
  <c r="Q32" i="2"/>
  <c r="Z2" i="2"/>
  <c r="AB12" i="2"/>
  <c r="R27" i="2"/>
  <c r="T27" i="2" s="1"/>
  <c r="V27" i="2" s="1"/>
  <c r="AB2" i="2"/>
  <c r="AB3" i="2"/>
  <c r="AB7" i="2"/>
  <c r="P8" i="2"/>
  <c r="Q8" i="2" s="1"/>
  <c r="R13" i="2"/>
  <c r="T13" i="2" s="1"/>
  <c r="V13" i="2" s="1"/>
  <c r="AB15" i="2"/>
  <c r="R20" i="2"/>
  <c r="T20" i="2" s="1"/>
  <c r="V20" i="2" s="1"/>
  <c r="Q29" i="2"/>
  <c r="AB39" i="2"/>
  <c r="R46" i="2"/>
  <c r="T46" i="2" s="1"/>
  <c r="V46" i="2" s="1"/>
  <c r="AB46" i="2"/>
  <c r="P47" i="2"/>
  <c r="Q47" i="2" s="1"/>
  <c r="R49" i="2"/>
  <c r="T49" i="2" s="1"/>
  <c r="V49" i="2" s="1"/>
  <c r="P53" i="2"/>
  <c r="Q53" i="2" s="1"/>
  <c r="AB58" i="2"/>
  <c r="P94" i="2"/>
  <c r="Q94" i="2" s="1"/>
  <c r="P116" i="2"/>
  <c r="Q116" i="2" s="1"/>
  <c r="V88" i="2"/>
  <c r="P88" i="2"/>
  <c r="Q88" i="2" s="1"/>
  <c r="AB62" i="2"/>
  <c r="R53" i="2"/>
  <c r="T53" i="2" s="1"/>
  <c r="V53" i="2" s="1"/>
  <c r="AB54" i="2"/>
  <c r="R56" i="2"/>
  <c r="T56" i="2" s="1"/>
  <c r="V56" i="2" s="1"/>
  <c r="Q61" i="2"/>
  <c r="R73" i="2"/>
  <c r="T73" i="2" s="1"/>
  <c r="V73" i="2" s="1"/>
  <c r="AB73" i="2"/>
  <c r="Q39" i="2"/>
  <c r="P66" i="2"/>
  <c r="Q66" i="2" s="1"/>
  <c r="R26" i="2"/>
  <c r="T26" i="2" s="1"/>
  <c r="V26" i="2" s="1"/>
  <c r="AB35" i="2"/>
  <c r="R62" i="2"/>
  <c r="T62" i="2" s="1"/>
  <c r="V62" i="2" s="1"/>
  <c r="AB75" i="2"/>
  <c r="AF117" i="2"/>
  <c r="R75" i="2"/>
  <c r="T75" i="2" s="1"/>
  <c r="V75" i="2" s="1"/>
  <c r="AB76" i="2"/>
  <c r="V91" i="2"/>
  <c r="Z92" i="2"/>
  <c r="X92" i="2"/>
  <c r="Z96" i="2"/>
  <c r="X96" i="2"/>
  <c r="R116" i="2"/>
  <c r="T116" i="2" s="1"/>
  <c r="V116" i="2" s="1"/>
  <c r="V57" i="2"/>
  <c r="Z89" i="2"/>
  <c r="X89" i="2"/>
  <c r="X91" i="2"/>
  <c r="R63" i="2"/>
  <c r="T63" i="2" s="1"/>
  <c r="V63" i="2" s="1"/>
  <c r="Q76" i="2"/>
  <c r="AB86" i="2"/>
  <c r="Z86" i="2"/>
  <c r="X88" i="2"/>
  <c r="Z91" i="2"/>
  <c r="AC112" i="2" l="1"/>
  <c r="X80" i="2"/>
  <c r="Z80" i="2"/>
  <c r="AB80" i="2"/>
  <c r="AC108" i="2"/>
  <c r="AC101" i="2"/>
  <c r="T60" i="2"/>
  <c r="V60" i="2" s="1"/>
  <c r="V2" i="2"/>
  <c r="T80" i="2"/>
  <c r="AC11" i="2"/>
  <c r="AC107" i="2"/>
  <c r="AD107" i="2" s="1"/>
  <c r="AC98" i="2"/>
  <c r="AD98" i="2" s="1"/>
  <c r="AP98" i="2" s="1"/>
  <c r="AC106" i="2"/>
  <c r="AD106" i="2" s="1"/>
  <c r="AD112" i="2"/>
  <c r="AJ112" i="2" s="1"/>
  <c r="AC111" i="2"/>
  <c r="AC104" i="2"/>
  <c r="AD104" i="2" s="1"/>
  <c r="AD111" i="2"/>
  <c r="AJ111" i="2" s="1"/>
  <c r="AD100" i="2"/>
  <c r="AJ100" i="2" s="1"/>
  <c r="AD101" i="2"/>
  <c r="AH101" i="2" s="1"/>
  <c r="AI101" i="2" s="1"/>
  <c r="AC113" i="2"/>
  <c r="AD113" i="2" s="1"/>
  <c r="AP113" i="2" s="1"/>
  <c r="AC94" i="2"/>
  <c r="AD94" i="2" s="1"/>
  <c r="AJ94" i="2" s="1"/>
  <c r="AC99" i="2"/>
  <c r="AD99" i="2" s="1"/>
  <c r="AC103" i="2"/>
  <c r="AD103" i="2" s="1"/>
  <c r="AJ103" i="2"/>
  <c r="AC105" i="2"/>
  <c r="AD105" i="2" s="1"/>
  <c r="AJ105" i="2" s="1"/>
  <c r="AD102" i="2"/>
  <c r="AP102" i="2" s="1"/>
  <c r="AC97" i="2"/>
  <c r="AD97" i="2" s="1"/>
  <c r="AC109" i="2"/>
  <c r="AD109" i="2" s="1"/>
  <c r="AD108" i="2"/>
  <c r="AH108" i="2" s="1"/>
  <c r="AI108" i="2" s="1"/>
  <c r="AC110" i="2"/>
  <c r="AD110" i="2" s="1"/>
  <c r="AP110" i="2" s="1"/>
  <c r="AC60" i="2"/>
  <c r="AK77" i="2"/>
  <c r="AM77" i="2" s="1"/>
  <c r="AC6" i="2"/>
  <c r="AD6" i="2" s="1"/>
  <c r="AJ6" i="2" s="1"/>
  <c r="AC19" i="2"/>
  <c r="AD19" i="2" s="1"/>
  <c r="AD11" i="2"/>
  <c r="AH11" i="2" s="1"/>
  <c r="AI11" i="2" s="1"/>
  <c r="AC31" i="2"/>
  <c r="AD31" i="2" s="1"/>
  <c r="AJ31" i="2" s="1"/>
  <c r="AC48" i="2"/>
  <c r="AD48" i="2" s="1"/>
  <c r="AC68" i="2"/>
  <c r="AC69" i="2"/>
  <c r="AD69" i="2" s="1"/>
  <c r="AC41" i="2"/>
  <c r="AD41" i="2" s="1"/>
  <c r="AC29" i="2"/>
  <c r="AD29" i="2" s="1"/>
  <c r="AC66" i="2"/>
  <c r="AD66" i="2" s="1"/>
  <c r="AC34" i="2"/>
  <c r="AD34" i="2" s="1"/>
  <c r="AC57" i="2"/>
  <c r="AD57" i="2" s="1"/>
  <c r="AC30" i="2"/>
  <c r="AD30" i="2" s="1"/>
  <c r="AC115" i="2"/>
  <c r="AD115" i="2" s="1"/>
  <c r="AC76" i="2"/>
  <c r="AD76" i="2" s="1"/>
  <c r="AC114" i="2"/>
  <c r="AD114" i="2" s="1"/>
  <c r="AC54" i="2"/>
  <c r="AD54" i="2" s="1"/>
  <c r="AC16" i="2"/>
  <c r="AD16" i="2" s="1"/>
  <c r="AC65" i="2"/>
  <c r="AD65" i="2" s="1"/>
  <c r="AC53" i="2"/>
  <c r="AD53" i="2" s="1"/>
  <c r="AC35" i="2"/>
  <c r="AD35" i="2" s="1"/>
  <c r="AC21" i="2"/>
  <c r="AD21" i="2" s="1"/>
  <c r="AC44" i="2"/>
  <c r="AD44" i="2" s="1"/>
  <c r="AC24" i="2"/>
  <c r="AD24" i="2" s="1"/>
  <c r="AC93" i="2"/>
  <c r="AD93" i="2" s="1"/>
  <c r="AH93" i="2" s="1"/>
  <c r="AI93" i="2" s="1"/>
  <c r="AC10" i="2"/>
  <c r="AD10" i="2" s="1"/>
  <c r="AC59" i="2"/>
  <c r="AD59" i="2" s="1"/>
  <c r="AC9" i="2"/>
  <c r="AD9" i="2" s="1"/>
  <c r="AC90" i="2"/>
  <c r="AD90" i="2" s="1"/>
  <c r="AC61" i="2"/>
  <c r="AC116" i="2"/>
  <c r="AD116" i="2" s="1"/>
  <c r="AJ116" i="2" s="1"/>
  <c r="AC49" i="2"/>
  <c r="AD49" i="2" s="1"/>
  <c r="AC28" i="2"/>
  <c r="AD28" i="2" s="1"/>
  <c r="AC51" i="2"/>
  <c r="AD51" i="2" s="1"/>
  <c r="AC64" i="2"/>
  <c r="AD64" i="2" s="1"/>
  <c r="AC63" i="2"/>
  <c r="AD63" i="2" s="1"/>
  <c r="AC26" i="2"/>
  <c r="AD26" i="2" s="1"/>
  <c r="AC92" i="2"/>
  <c r="AD92" i="2" s="1"/>
  <c r="AC56" i="2"/>
  <c r="AD56" i="2" s="1"/>
  <c r="AC18" i="2"/>
  <c r="AD18" i="2" s="1"/>
  <c r="AC23" i="2"/>
  <c r="AD23" i="2" s="1"/>
  <c r="AC78" i="2"/>
  <c r="AD78" i="2" s="1"/>
  <c r="AC73" i="2"/>
  <c r="AD73" i="2" s="1"/>
  <c r="AC87" i="2"/>
  <c r="AD87" i="2" s="1"/>
  <c r="AP87" i="2" s="1"/>
  <c r="AC4" i="2"/>
  <c r="AD4" i="2" s="1"/>
  <c r="AC25" i="2"/>
  <c r="AD25" i="2" s="1"/>
  <c r="AC37" i="2"/>
  <c r="AD37" i="2" s="1"/>
  <c r="AC5" i="2"/>
  <c r="AD5" i="2" s="1"/>
  <c r="AC38" i="2"/>
  <c r="AD38" i="2" s="1"/>
  <c r="AC20" i="2"/>
  <c r="AD20" i="2" s="1"/>
  <c r="AC3" i="2"/>
  <c r="AD3" i="2" s="1"/>
  <c r="AC7" i="2"/>
  <c r="AD7" i="2" s="1"/>
  <c r="AC13" i="2"/>
  <c r="AD13" i="2" s="1"/>
  <c r="AC72" i="2"/>
  <c r="AD72" i="2" s="1"/>
  <c r="AC67" i="2"/>
  <c r="AC88" i="2"/>
  <c r="AD88" i="2" s="1"/>
  <c r="AC33" i="2"/>
  <c r="AD33" i="2" s="1"/>
  <c r="AC55" i="2"/>
  <c r="AD55" i="2" s="1"/>
  <c r="AB117" i="2"/>
  <c r="AC75" i="2"/>
  <c r="AD75" i="2" s="1"/>
  <c r="AC32" i="2"/>
  <c r="AD32" i="2" s="1"/>
  <c r="AC45" i="2"/>
  <c r="AD45" i="2" s="1"/>
  <c r="AC50" i="2"/>
  <c r="AD50" i="2" s="1"/>
  <c r="AC43" i="2"/>
  <c r="AD43" i="2" s="1"/>
  <c r="AC52" i="2"/>
  <c r="AD52" i="2" s="1"/>
  <c r="AC14" i="2"/>
  <c r="AD14" i="2" s="1"/>
  <c r="AC86" i="2"/>
  <c r="AD86" i="2" s="1"/>
  <c r="AC58" i="2"/>
  <c r="AD58" i="2" s="1"/>
  <c r="AC17" i="2"/>
  <c r="AD17" i="2" s="1"/>
  <c r="AC95" i="2"/>
  <c r="AD95" i="2" s="1"/>
  <c r="X117" i="2"/>
  <c r="R117" i="2"/>
  <c r="V117" i="2"/>
  <c r="AC40" i="2"/>
  <c r="AD40" i="2" s="1"/>
  <c r="AC2" i="2"/>
  <c r="AD2" i="2" s="1"/>
  <c r="T117" i="2"/>
  <c r="Q117" i="2"/>
  <c r="P117" i="2"/>
  <c r="AC46" i="2"/>
  <c r="AD46" i="2" s="1"/>
  <c r="AC62" i="2"/>
  <c r="AD62" i="2" s="1"/>
  <c r="AC22" i="2"/>
  <c r="AD22" i="2" s="1"/>
  <c r="AC91" i="2"/>
  <c r="AD91" i="2" s="1"/>
  <c r="AC42" i="2"/>
  <c r="AD42" i="2" s="1"/>
  <c r="AC15" i="2"/>
  <c r="AD15" i="2" s="1"/>
  <c r="AC89" i="2"/>
  <c r="AD89" i="2" s="1"/>
  <c r="AC47" i="2"/>
  <c r="AD47" i="2" s="1"/>
  <c r="AC71" i="2"/>
  <c r="AD71" i="2" s="1"/>
  <c r="AC39" i="2"/>
  <c r="AD39" i="2" s="1"/>
  <c r="AC12" i="2"/>
  <c r="AD12" i="2" s="1"/>
  <c r="AC74" i="2"/>
  <c r="AD74" i="2" s="1"/>
  <c r="AC8" i="2"/>
  <c r="AD8" i="2" s="1"/>
  <c r="AC70" i="2"/>
  <c r="AD70" i="2" s="1"/>
  <c r="Z117" i="2"/>
  <c r="AC96" i="2"/>
  <c r="AD96" i="2" s="1"/>
  <c r="AC36" i="2"/>
  <c r="AD36" i="2" s="1"/>
  <c r="AC27" i="2"/>
  <c r="AD27" i="2" s="1"/>
  <c r="V80" i="2" l="1"/>
  <c r="AP107" i="2"/>
  <c r="AJ107" i="2"/>
  <c r="AH107" i="2"/>
  <c r="AI107" i="2" s="1"/>
  <c r="AK107" i="2" s="1"/>
  <c r="AM107" i="2" s="1"/>
  <c r="AH111" i="2"/>
  <c r="AI111" i="2" s="1"/>
  <c r="AK111" i="2" s="1"/>
  <c r="AM111" i="2" s="1"/>
  <c r="AH112" i="2"/>
  <c r="AI112" i="2" s="1"/>
  <c r="AK112" i="2" s="1"/>
  <c r="AM112" i="2" s="1"/>
  <c r="AP112" i="2"/>
  <c r="AD60" i="2"/>
  <c r="AH60" i="2" s="1"/>
  <c r="AI60" i="2" s="1"/>
  <c r="AC80" i="2"/>
  <c r="AH104" i="2"/>
  <c r="AI104" i="2" s="1"/>
  <c r="AP104" i="2"/>
  <c r="AP100" i="2"/>
  <c r="AJ113" i="2"/>
  <c r="AH100" i="2"/>
  <c r="AI100" i="2" s="1"/>
  <c r="AP101" i="2"/>
  <c r="AJ101" i="2"/>
  <c r="AK101" i="2" s="1"/>
  <c r="AM101" i="2" s="1"/>
  <c r="AK100" i="2"/>
  <c r="AM100" i="2" s="1"/>
  <c r="AH113" i="2"/>
  <c r="AI113" i="2" s="1"/>
  <c r="AK113" i="2" s="1"/>
  <c r="AM113" i="2" s="1"/>
  <c r="AJ99" i="2"/>
  <c r="AH99" i="2"/>
  <c r="AI99" i="2" s="1"/>
  <c r="AK99" i="2" s="1"/>
  <c r="AM99" i="2" s="1"/>
  <c r="AP99" i="2"/>
  <c r="AP108" i="2"/>
  <c r="AJ104" i="2"/>
  <c r="AK104" i="2" s="1"/>
  <c r="AM104" i="2" s="1"/>
  <c r="AH103" i="2"/>
  <c r="AI103" i="2" s="1"/>
  <c r="AK103" i="2" s="1"/>
  <c r="AM103" i="2" s="1"/>
  <c r="AJ108" i="2"/>
  <c r="AK108" i="2" s="1"/>
  <c r="AM108" i="2" s="1"/>
  <c r="AP103" i="2"/>
  <c r="AP111" i="2"/>
  <c r="AH102" i="2"/>
  <c r="AI102" i="2" s="1"/>
  <c r="AH110" i="2"/>
  <c r="AI110" i="2" s="1"/>
  <c r="AJ102" i="2"/>
  <c r="AH98" i="2"/>
  <c r="AI98" i="2" s="1"/>
  <c r="AP109" i="2"/>
  <c r="AJ109" i="2"/>
  <c r="AH109" i="2"/>
  <c r="AI109" i="2" s="1"/>
  <c r="AH97" i="2"/>
  <c r="AI97" i="2" s="1"/>
  <c r="AP97" i="2"/>
  <c r="AJ97" i="2"/>
  <c r="AK97" i="2"/>
  <c r="AM97" i="2" s="1"/>
  <c r="AP105" i="2"/>
  <c r="AJ110" i="2"/>
  <c r="AJ98" i="2"/>
  <c r="AK98" i="2" s="1"/>
  <c r="AM98" i="2" s="1"/>
  <c r="AH105" i="2"/>
  <c r="AI105" i="2" s="1"/>
  <c r="AK105" i="2" s="1"/>
  <c r="AM105" i="2" s="1"/>
  <c r="AH106" i="2"/>
  <c r="AI106" i="2" s="1"/>
  <c r="AJ106" i="2"/>
  <c r="AP106" i="2"/>
  <c r="AJ60" i="2"/>
  <c r="AK60" i="2" s="1"/>
  <c r="AM60" i="2" s="1"/>
  <c r="AP72" i="2"/>
  <c r="AP29" i="2"/>
  <c r="AD67" i="2"/>
  <c r="AJ67" i="2" s="1"/>
  <c r="AJ65" i="2"/>
  <c r="AJ16" i="2"/>
  <c r="AJ54" i="2"/>
  <c r="AD61" i="2"/>
  <c r="AJ48" i="2"/>
  <c r="AH3" i="2"/>
  <c r="AI3" i="2" s="1"/>
  <c r="AJ76" i="2"/>
  <c r="AJ5" i="2"/>
  <c r="AH10" i="2"/>
  <c r="AI10" i="2" s="1"/>
  <c r="AD68" i="2"/>
  <c r="AJ68" i="2" s="1"/>
  <c r="AP6" i="2"/>
  <c r="AH6" i="2"/>
  <c r="AI6" i="2" s="1"/>
  <c r="AK6" i="2" s="1"/>
  <c r="AM6" i="2" s="1"/>
  <c r="AP60" i="2"/>
  <c r="AP54" i="2"/>
  <c r="AH72" i="2"/>
  <c r="AI72" i="2" s="1"/>
  <c r="AJ72" i="2"/>
  <c r="AJ57" i="2"/>
  <c r="AH57" i="2"/>
  <c r="AI57" i="2" s="1"/>
  <c r="AP57" i="2"/>
  <c r="AJ34" i="2"/>
  <c r="AP34" i="2"/>
  <c r="AH34" i="2"/>
  <c r="AI34" i="2" s="1"/>
  <c r="AP76" i="2"/>
  <c r="AH48" i="2"/>
  <c r="AI48" i="2" s="1"/>
  <c r="AP48" i="2"/>
  <c r="AJ29" i="2"/>
  <c r="AH76" i="2"/>
  <c r="AI76" i="2" s="1"/>
  <c r="AJ26" i="2"/>
  <c r="AP26" i="2"/>
  <c r="AH26" i="2"/>
  <c r="AI26" i="2" s="1"/>
  <c r="AH44" i="2"/>
  <c r="AI44" i="2" s="1"/>
  <c r="AJ44" i="2"/>
  <c r="AJ115" i="2"/>
  <c r="AP115" i="2"/>
  <c r="AJ30" i="2"/>
  <c r="AH30" i="2"/>
  <c r="AI30" i="2" s="1"/>
  <c r="AH116" i="2"/>
  <c r="AI116" i="2" s="1"/>
  <c r="AK116" i="2" s="1"/>
  <c r="AM116" i="2" s="1"/>
  <c r="AP116" i="2"/>
  <c r="AH29" i="2"/>
  <c r="AI29" i="2" s="1"/>
  <c r="AP94" i="2"/>
  <c r="AP78" i="2"/>
  <c r="AH78" i="2"/>
  <c r="AI78" i="2" s="1"/>
  <c r="AJ78" i="2"/>
  <c r="AH24" i="2"/>
  <c r="AI24" i="2" s="1"/>
  <c r="AP24" i="2"/>
  <c r="AJ24" i="2"/>
  <c r="AP93" i="2"/>
  <c r="AP30" i="2"/>
  <c r="AP44" i="2"/>
  <c r="AJ93" i="2"/>
  <c r="AK93" i="2" s="1"/>
  <c r="AM93" i="2" s="1"/>
  <c r="AH65" i="2"/>
  <c r="AI65" i="2" s="1"/>
  <c r="AH5" i="2"/>
  <c r="AI5" i="2" s="1"/>
  <c r="AP65" i="2"/>
  <c r="AH16" i="2"/>
  <c r="AI16" i="2" s="1"/>
  <c r="AP16" i="2"/>
  <c r="AH54" i="2"/>
  <c r="AI54" i="2" s="1"/>
  <c r="AP64" i="2"/>
  <c r="AH64" i="2"/>
  <c r="AI64" i="2" s="1"/>
  <c r="AJ64" i="2"/>
  <c r="AJ51" i="2"/>
  <c r="AP51" i="2"/>
  <c r="AH51" i="2"/>
  <c r="AI51" i="2" s="1"/>
  <c r="AJ20" i="2"/>
  <c r="AP20" i="2"/>
  <c r="AH20" i="2"/>
  <c r="AI20" i="2" s="1"/>
  <c r="AH59" i="2"/>
  <c r="AI59" i="2" s="1"/>
  <c r="AJ59" i="2"/>
  <c r="AP59" i="2"/>
  <c r="AJ63" i="2"/>
  <c r="AP63" i="2"/>
  <c r="AH63" i="2"/>
  <c r="AI63" i="2" s="1"/>
  <c r="AJ28" i="2"/>
  <c r="AH28" i="2"/>
  <c r="AI28" i="2" s="1"/>
  <c r="AP28" i="2"/>
  <c r="AJ87" i="2"/>
  <c r="AJ114" i="2"/>
  <c r="AP114" i="2"/>
  <c r="AH114" i="2"/>
  <c r="AI114" i="2" s="1"/>
  <c r="AP5" i="2"/>
  <c r="AH94" i="2"/>
  <c r="AI94" i="2" s="1"/>
  <c r="AK94" i="2" s="1"/>
  <c r="AM94" i="2" s="1"/>
  <c r="AP3" i="2"/>
  <c r="AJ25" i="2"/>
  <c r="AP11" i="2"/>
  <c r="AH90" i="2"/>
  <c r="AI90" i="2" s="1"/>
  <c r="AP90" i="2"/>
  <c r="AJ90" i="2"/>
  <c r="AH87" i="2"/>
  <c r="AI87" i="2" s="1"/>
  <c r="AP25" i="2"/>
  <c r="AJ11" i="2"/>
  <c r="AK11" i="2" s="1"/>
  <c r="AM11" i="2" s="1"/>
  <c r="AH25" i="2"/>
  <c r="AI25" i="2" s="1"/>
  <c r="AJ38" i="2"/>
  <c r="AH38" i="2"/>
  <c r="AI38" i="2" s="1"/>
  <c r="AP38" i="2"/>
  <c r="AJ4" i="2"/>
  <c r="AH4" i="2"/>
  <c r="AI4" i="2" s="1"/>
  <c r="AP4" i="2"/>
  <c r="AP13" i="2"/>
  <c r="AJ13" i="2"/>
  <c r="AH13" i="2"/>
  <c r="AI13" i="2" s="1"/>
  <c r="AP33" i="2"/>
  <c r="AH33" i="2"/>
  <c r="AI33" i="2" s="1"/>
  <c r="AJ33" i="2"/>
  <c r="AH50" i="2"/>
  <c r="AI50" i="2" s="1"/>
  <c r="AJ50" i="2"/>
  <c r="AP50" i="2"/>
  <c r="AH43" i="2"/>
  <c r="AI43" i="2" s="1"/>
  <c r="AJ43" i="2"/>
  <c r="AP43" i="2"/>
  <c r="AJ88" i="2"/>
  <c r="AP88" i="2"/>
  <c r="AH88" i="2"/>
  <c r="AI88" i="2" s="1"/>
  <c r="AP69" i="2"/>
  <c r="AH69" i="2"/>
  <c r="AI69" i="2" s="1"/>
  <c r="AJ69" i="2"/>
  <c r="AJ10" i="2"/>
  <c r="AP10" i="2"/>
  <c r="AH115" i="2"/>
  <c r="AI115" i="2" s="1"/>
  <c r="AH19" i="2"/>
  <c r="AI19" i="2" s="1"/>
  <c r="AJ19" i="2"/>
  <c r="AP31" i="2"/>
  <c r="AP37" i="2"/>
  <c r="AH37" i="2"/>
  <c r="AI37" i="2" s="1"/>
  <c r="AJ37" i="2"/>
  <c r="AH31" i="2"/>
  <c r="AI31" i="2" s="1"/>
  <c r="AK31" i="2" s="1"/>
  <c r="AM31" i="2" s="1"/>
  <c r="AP19" i="2"/>
  <c r="AP55" i="2"/>
  <c r="AH55" i="2"/>
  <c r="AI55" i="2" s="1"/>
  <c r="AJ55" i="2"/>
  <c r="AJ3" i="2"/>
  <c r="AP42" i="2"/>
  <c r="AH42" i="2"/>
  <c r="AI42" i="2" s="1"/>
  <c r="AJ42" i="2"/>
  <c r="AP17" i="2"/>
  <c r="AJ17" i="2"/>
  <c r="AH17" i="2"/>
  <c r="AI17" i="2" s="1"/>
  <c r="AP58" i="2"/>
  <c r="AJ58" i="2"/>
  <c r="AH58" i="2"/>
  <c r="AI58" i="2" s="1"/>
  <c r="AJ40" i="2"/>
  <c r="AH40" i="2"/>
  <c r="AI40" i="2" s="1"/>
  <c r="AP40" i="2"/>
  <c r="AP70" i="2"/>
  <c r="AJ70" i="2"/>
  <c r="AH70" i="2"/>
  <c r="AI70" i="2" s="1"/>
  <c r="AH8" i="2"/>
  <c r="AI8" i="2" s="1"/>
  <c r="AP8" i="2"/>
  <c r="AJ8" i="2"/>
  <c r="AP22" i="2"/>
  <c r="AJ22" i="2"/>
  <c r="AH22" i="2"/>
  <c r="AI22" i="2" s="1"/>
  <c r="AP96" i="2"/>
  <c r="AJ96" i="2"/>
  <c r="AH96" i="2"/>
  <c r="AI96" i="2" s="1"/>
  <c r="AP47" i="2"/>
  <c r="AJ47" i="2"/>
  <c r="AH47" i="2"/>
  <c r="AI47" i="2" s="1"/>
  <c r="AJ74" i="2"/>
  <c r="AH74" i="2"/>
  <c r="AI74" i="2" s="1"/>
  <c r="AP74" i="2"/>
  <c r="AP95" i="2"/>
  <c r="AJ95" i="2"/>
  <c r="AH95" i="2"/>
  <c r="AI95" i="2" s="1"/>
  <c r="AP12" i="2"/>
  <c r="AJ12" i="2"/>
  <c r="AH12" i="2"/>
  <c r="AI12" i="2" s="1"/>
  <c r="AJ15" i="2"/>
  <c r="AH15" i="2"/>
  <c r="AI15" i="2" s="1"/>
  <c r="AP15" i="2"/>
  <c r="AP62" i="2"/>
  <c r="AH62" i="2"/>
  <c r="AI62" i="2" s="1"/>
  <c r="AJ62" i="2"/>
  <c r="AJ7" i="2"/>
  <c r="AH7" i="2"/>
  <c r="AI7" i="2" s="1"/>
  <c r="AP7" i="2"/>
  <c r="AP27" i="2"/>
  <c r="AJ27" i="2"/>
  <c r="AH27" i="2"/>
  <c r="AI27" i="2" s="1"/>
  <c r="AD117" i="2"/>
  <c r="AJ86" i="2"/>
  <c r="AH86" i="2"/>
  <c r="AP86" i="2"/>
  <c r="AP32" i="2"/>
  <c r="AJ32" i="2"/>
  <c r="AH32" i="2"/>
  <c r="AI32" i="2" s="1"/>
  <c r="AJ73" i="2"/>
  <c r="AH73" i="2"/>
  <c r="AI73" i="2" s="1"/>
  <c r="AP73" i="2"/>
  <c r="AP49" i="2"/>
  <c r="AJ49" i="2"/>
  <c r="AH49" i="2"/>
  <c r="AI49" i="2" s="1"/>
  <c r="AP2" i="2"/>
  <c r="AJ2" i="2"/>
  <c r="AH2" i="2"/>
  <c r="AP41" i="2"/>
  <c r="AH41" i="2"/>
  <c r="AI41" i="2" s="1"/>
  <c r="AJ41" i="2"/>
  <c r="AJ9" i="2"/>
  <c r="AH9" i="2"/>
  <c r="AI9" i="2" s="1"/>
  <c r="AP9" i="2"/>
  <c r="AH14" i="2"/>
  <c r="AI14" i="2" s="1"/>
  <c r="AP14" i="2"/>
  <c r="AJ14" i="2"/>
  <c r="AP36" i="2"/>
  <c r="AH36" i="2"/>
  <c r="AI36" i="2" s="1"/>
  <c r="AJ36" i="2"/>
  <c r="AJ39" i="2"/>
  <c r="AH39" i="2"/>
  <c r="AI39" i="2" s="1"/>
  <c r="AP39" i="2"/>
  <c r="AP53" i="2"/>
  <c r="AJ53" i="2"/>
  <c r="AH53" i="2"/>
  <c r="AI53" i="2" s="1"/>
  <c r="AJ21" i="2"/>
  <c r="AH21" i="2"/>
  <c r="AI21" i="2" s="1"/>
  <c r="AP21" i="2"/>
  <c r="AP18" i="2"/>
  <c r="AJ18" i="2"/>
  <c r="AH18" i="2"/>
  <c r="AI18" i="2" s="1"/>
  <c r="AP23" i="2"/>
  <c r="AJ23" i="2"/>
  <c r="AH23" i="2"/>
  <c r="AI23" i="2" s="1"/>
  <c r="AJ91" i="2"/>
  <c r="AP91" i="2"/>
  <c r="AH91" i="2"/>
  <c r="AI91" i="2" s="1"/>
  <c r="AP89" i="2"/>
  <c r="AJ89" i="2"/>
  <c r="AH89" i="2"/>
  <c r="AI89" i="2" s="1"/>
  <c r="AJ45" i="2"/>
  <c r="AH45" i="2"/>
  <c r="AI45" i="2" s="1"/>
  <c r="AP45" i="2"/>
  <c r="AH71" i="2"/>
  <c r="AI71" i="2" s="1"/>
  <c r="AJ71" i="2"/>
  <c r="AP71" i="2"/>
  <c r="AP75" i="2"/>
  <c r="AH75" i="2"/>
  <c r="AI75" i="2" s="1"/>
  <c r="AJ75" i="2"/>
  <c r="AP35" i="2"/>
  <c r="AJ35" i="2"/>
  <c r="AH35" i="2"/>
  <c r="AI35" i="2" s="1"/>
  <c r="AP92" i="2"/>
  <c r="AH92" i="2"/>
  <c r="AI92" i="2" s="1"/>
  <c r="AJ92" i="2"/>
  <c r="AJ56" i="2"/>
  <c r="AH56" i="2"/>
  <c r="AI56" i="2" s="1"/>
  <c r="AP56" i="2"/>
  <c r="AJ46" i="2"/>
  <c r="AH46" i="2"/>
  <c r="AI46" i="2" s="1"/>
  <c r="AP46" i="2"/>
  <c r="AP52" i="2"/>
  <c r="AH52" i="2"/>
  <c r="AI52" i="2" s="1"/>
  <c r="AJ52" i="2"/>
  <c r="AP66" i="2"/>
  <c r="AJ66" i="2"/>
  <c r="AH66" i="2"/>
  <c r="AI66" i="2" s="1"/>
  <c r="AC117" i="2"/>
  <c r="AK109" i="2" l="1"/>
  <c r="AM109" i="2" s="1"/>
  <c r="AD80" i="2"/>
  <c r="AK102" i="2"/>
  <c r="AM102" i="2" s="1"/>
  <c r="AK54" i="2"/>
  <c r="AM54" i="2" s="1"/>
  <c r="AK65" i="2"/>
  <c r="AM65" i="2" s="1"/>
  <c r="AK110" i="2"/>
  <c r="AM110" i="2" s="1"/>
  <c r="AH67" i="2"/>
  <c r="AI67" i="2" s="1"/>
  <c r="AK67" i="2" s="1"/>
  <c r="AM67" i="2" s="1"/>
  <c r="AK106" i="2"/>
  <c r="AM106" i="2" s="1"/>
  <c r="AK10" i="2"/>
  <c r="AM10" i="2" s="1"/>
  <c r="AK16" i="2"/>
  <c r="AM16" i="2" s="1"/>
  <c r="AK76" i="2"/>
  <c r="AM76" i="2" s="1"/>
  <c r="AK5" i="2"/>
  <c r="AM5" i="2" s="1"/>
  <c r="AP68" i="2"/>
  <c r="AH68" i="2"/>
  <c r="AI68" i="2" s="1"/>
  <c r="AK68" i="2" s="1"/>
  <c r="AM68" i="2" s="1"/>
  <c r="AP67" i="2"/>
  <c r="AP61" i="2"/>
  <c r="AP80" i="2" s="1"/>
  <c r="AK48" i="2"/>
  <c r="AM48" i="2" s="1"/>
  <c r="AJ61" i="2"/>
  <c r="AJ80" i="2" s="1"/>
  <c r="AH61" i="2"/>
  <c r="AI61" i="2" s="1"/>
  <c r="AK3" i="2"/>
  <c r="AM3" i="2" s="1"/>
  <c r="AK4" i="2"/>
  <c r="AM4" i="2" s="1"/>
  <c r="AK30" i="2"/>
  <c r="AM30" i="2" s="1"/>
  <c r="AK52" i="2"/>
  <c r="AM52" i="2" s="1"/>
  <c r="AK17" i="2"/>
  <c r="AM17" i="2" s="1"/>
  <c r="AK45" i="2"/>
  <c r="AM45" i="2" s="1"/>
  <c r="AK39" i="2"/>
  <c r="AM39" i="2" s="1"/>
  <c r="AK15" i="2"/>
  <c r="AM15" i="2" s="1"/>
  <c r="AK72" i="2"/>
  <c r="AM72" i="2" s="1"/>
  <c r="AK29" i="2"/>
  <c r="AM29" i="2" s="1"/>
  <c r="AK114" i="2"/>
  <c r="AM114" i="2" s="1"/>
  <c r="AK34" i="2"/>
  <c r="AM34" i="2" s="1"/>
  <c r="AK44" i="2"/>
  <c r="AM44" i="2" s="1"/>
  <c r="AK63" i="2"/>
  <c r="AM63" i="2" s="1"/>
  <c r="AK51" i="2"/>
  <c r="AM51" i="2" s="1"/>
  <c r="AK46" i="2"/>
  <c r="AM46" i="2" s="1"/>
  <c r="AK21" i="2"/>
  <c r="AM21" i="2" s="1"/>
  <c r="AK40" i="2"/>
  <c r="AM40" i="2" s="1"/>
  <c r="AK95" i="2"/>
  <c r="AM95" i="2" s="1"/>
  <c r="AK22" i="2"/>
  <c r="AM22" i="2" s="1"/>
  <c r="AK58" i="2"/>
  <c r="AM58" i="2" s="1"/>
  <c r="AK38" i="2"/>
  <c r="AM38" i="2" s="1"/>
  <c r="AK35" i="2"/>
  <c r="AM35" i="2" s="1"/>
  <c r="AK115" i="2"/>
  <c r="AM115" i="2" s="1"/>
  <c r="AK32" i="2"/>
  <c r="AM32" i="2" s="1"/>
  <c r="AK26" i="2"/>
  <c r="AM26" i="2" s="1"/>
  <c r="AK24" i="2"/>
  <c r="AM24" i="2" s="1"/>
  <c r="AK88" i="2"/>
  <c r="AM88" i="2" s="1"/>
  <c r="AK20" i="2"/>
  <c r="AM20" i="2" s="1"/>
  <c r="AK57" i="2"/>
  <c r="AM57" i="2" s="1"/>
  <c r="AK64" i="2"/>
  <c r="AM64" i="2" s="1"/>
  <c r="AK41" i="2"/>
  <c r="AM41" i="2" s="1"/>
  <c r="AK37" i="2"/>
  <c r="AM37" i="2" s="1"/>
  <c r="AK27" i="2"/>
  <c r="AM27" i="2" s="1"/>
  <c r="AK12" i="2"/>
  <c r="AM12" i="2" s="1"/>
  <c r="AK96" i="2"/>
  <c r="AM96" i="2" s="1"/>
  <c r="AK25" i="2"/>
  <c r="AM25" i="2" s="1"/>
  <c r="AK28" i="2"/>
  <c r="AM28" i="2" s="1"/>
  <c r="AK78" i="2"/>
  <c r="AM78" i="2" s="1"/>
  <c r="AK9" i="2"/>
  <c r="AM9" i="2" s="1"/>
  <c r="AK69" i="2"/>
  <c r="AM69" i="2" s="1"/>
  <c r="AK87" i="2"/>
  <c r="AM87" i="2" s="1"/>
  <c r="AK49" i="2"/>
  <c r="AM49" i="2" s="1"/>
  <c r="AK90" i="2"/>
  <c r="AM90" i="2" s="1"/>
  <c r="AK70" i="2"/>
  <c r="AM70" i="2" s="1"/>
  <c r="AK89" i="2"/>
  <c r="AM89" i="2" s="1"/>
  <c r="AK66" i="2"/>
  <c r="AM66" i="2" s="1"/>
  <c r="AK13" i="2"/>
  <c r="AM13" i="2" s="1"/>
  <c r="AK19" i="2"/>
  <c r="AM19" i="2" s="1"/>
  <c r="AK56" i="2"/>
  <c r="AM56" i="2" s="1"/>
  <c r="AK23" i="2"/>
  <c r="AM23" i="2" s="1"/>
  <c r="AK59" i="2"/>
  <c r="AM59" i="2" s="1"/>
  <c r="AK71" i="2"/>
  <c r="AM71" i="2" s="1"/>
  <c r="AK33" i="2"/>
  <c r="AM33" i="2" s="1"/>
  <c r="AK18" i="2"/>
  <c r="AM18" i="2" s="1"/>
  <c r="AK36" i="2"/>
  <c r="AK74" i="2"/>
  <c r="AM74" i="2" s="1"/>
  <c r="AK43" i="2"/>
  <c r="AM43" i="2" s="1"/>
  <c r="AK91" i="2"/>
  <c r="AM91" i="2" s="1"/>
  <c r="AK55" i="2"/>
  <c r="AM55" i="2" s="1"/>
  <c r="AK53" i="2"/>
  <c r="AM53" i="2" s="1"/>
  <c r="AK7" i="2"/>
  <c r="AM7" i="2" s="1"/>
  <c r="AK92" i="2"/>
  <c r="AM92" i="2" s="1"/>
  <c r="AK42" i="2"/>
  <c r="AM42" i="2" s="1"/>
  <c r="AK8" i="2"/>
  <c r="AM8" i="2" s="1"/>
  <c r="AK75" i="2"/>
  <c r="AM75" i="2" s="1"/>
  <c r="AK14" i="2"/>
  <c r="AM14" i="2" s="1"/>
  <c r="AK50" i="2"/>
  <c r="AM50" i="2" s="1"/>
  <c r="AK62" i="2"/>
  <c r="AM62" i="2" s="1"/>
  <c r="AK73" i="2"/>
  <c r="AM73" i="2" s="1"/>
  <c r="AK47" i="2"/>
  <c r="AM47" i="2" s="1"/>
  <c r="AJ117" i="2"/>
  <c r="AI86" i="2"/>
  <c r="AH117" i="2"/>
  <c r="AI2" i="2"/>
  <c r="AP117" i="2"/>
  <c r="AI80" i="2" l="1"/>
  <c r="AM36" i="2"/>
  <c r="AK61" i="2"/>
  <c r="AM61" i="2" s="1"/>
  <c r="E122" i="2"/>
  <c r="AK2" i="2"/>
  <c r="AI117" i="2"/>
  <c r="AK86" i="2"/>
  <c r="AK80" i="2" l="1"/>
  <c r="AM86" i="2"/>
  <c r="AM117" i="2" s="1"/>
  <c r="AK117" i="2"/>
  <c r="AM2" i="2"/>
  <c r="AM80" i="2" s="1"/>
  <c r="E121" i="2" l="1"/>
  <c r="I10" i="1" l="1"/>
  <c r="H10" i="1"/>
  <c r="M10" i="1"/>
  <c r="S10" i="1"/>
  <c r="U10" i="1"/>
  <c r="W10" i="1"/>
  <c r="Y10" i="1"/>
  <c r="AA10" i="1"/>
  <c r="AE10" i="1"/>
  <c r="AL10" i="1"/>
  <c r="L3" i="1" l="1"/>
  <c r="P3" i="1" s="1"/>
  <c r="AB3" i="1" s="1"/>
  <c r="N3" i="1"/>
  <c r="O3" i="1" s="1"/>
  <c r="Q3" i="1"/>
  <c r="X3" i="1" s="1"/>
  <c r="R3" i="1"/>
  <c r="T3" i="1" s="1"/>
  <c r="AE3" i="1"/>
  <c r="AF3" i="1" s="1"/>
  <c r="L4" i="1"/>
  <c r="P4" i="1" s="1"/>
  <c r="AB4" i="1" s="1"/>
  <c r="N4" i="1"/>
  <c r="O4" i="1" s="1"/>
  <c r="Q4" i="1"/>
  <c r="R4" i="1" s="1"/>
  <c r="T4" i="1" s="1"/>
  <c r="X4" i="1"/>
  <c r="AE4" i="1"/>
  <c r="AF4" i="1" s="1"/>
  <c r="L5" i="1"/>
  <c r="P5" i="1" s="1"/>
  <c r="AB5" i="1" s="1"/>
  <c r="N5" i="1"/>
  <c r="O5" i="1" s="1"/>
  <c r="Q5" i="1"/>
  <c r="X5" i="1" s="1"/>
  <c r="AE5" i="1"/>
  <c r="AO5" i="1" s="1"/>
  <c r="H6" i="1"/>
  <c r="I6" i="1"/>
  <c r="J6" i="1"/>
  <c r="J10" i="1" s="1"/>
  <c r="S6" i="1"/>
  <c r="U6" i="1"/>
  <c r="W6" i="1"/>
  <c r="Y6" i="1"/>
  <c r="AA6" i="1"/>
  <c r="AL6" i="1"/>
  <c r="L9" i="1"/>
  <c r="N9" i="1"/>
  <c r="Q9" i="1"/>
  <c r="X9" i="1" s="1"/>
  <c r="X10" i="1" s="1"/>
  <c r="AO9" i="1"/>
  <c r="AO10" i="1" s="1"/>
  <c r="AF9" i="1"/>
  <c r="AF10" i="1" s="1"/>
  <c r="O9" i="1" l="1"/>
  <c r="O10" i="1" s="1"/>
  <c r="N10" i="1"/>
  <c r="R5" i="1"/>
  <c r="T5" i="1" s="1"/>
  <c r="P9" i="1"/>
  <c r="AB9" i="1" s="1"/>
  <c r="AB10" i="1" s="1"/>
  <c r="L10" i="1"/>
  <c r="AO3" i="1"/>
  <c r="Z4" i="1"/>
  <c r="AC4" i="1" s="1"/>
  <c r="R9" i="1"/>
  <c r="T9" i="1" s="1"/>
  <c r="T10" i="1" s="1"/>
  <c r="AF5" i="1"/>
  <c r="AF6" i="1" s="1"/>
  <c r="Z5" i="1"/>
  <c r="V9" i="1"/>
  <c r="V10" i="1" s="1"/>
  <c r="AC5" i="1"/>
  <c r="Z3" i="1"/>
  <c r="Z9" i="1"/>
  <c r="AE6" i="1"/>
  <c r="T6" i="1"/>
  <c r="X6" i="1"/>
  <c r="V5" i="1"/>
  <c r="O6" i="1"/>
  <c r="V3" i="1"/>
  <c r="AB6" i="1"/>
  <c r="L6" i="1"/>
  <c r="AO4" i="1"/>
  <c r="V4" i="1"/>
  <c r="AC9" i="1" l="1"/>
  <c r="AC10" i="1" s="1"/>
  <c r="Z10" i="1"/>
  <c r="Z6" i="1"/>
  <c r="AD4" i="1"/>
  <c r="AO6" i="1"/>
  <c r="AD5" i="1"/>
  <c r="AJ5" i="1" s="1"/>
  <c r="AC3" i="1"/>
  <c r="AC6" i="1" s="1"/>
  <c r="AD9" i="1"/>
  <c r="AD10" i="1" s="1"/>
  <c r="AH4" i="1"/>
  <c r="AI4" i="1" s="1"/>
  <c r="AK4" i="1" s="1"/>
  <c r="AN4" i="1" s="1"/>
  <c r="AJ4" i="1"/>
  <c r="AQ4" i="1"/>
  <c r="AD3" i="1"/>
  <c r="V6" i="1"/>
  <c r="AQ5" i="1" l="1"/>
  <c r="AH5" i="1"/>
  <c r="AI5" i="1" s="1"/>
  <c r="AK5" i="1" s="1"/>
  <c r="AN5" i="1" s="1"/>
  <c r="AJ9" i="1"/>
  <c r="AJ10" i="1" s="1"/>
  <c r="AH9" i="1"/>
  <c r="AI9" i="1" s="1"/>
  <c r="AQ9" i="1"/>
  <c r="AQ10" i="1" s="1"/>
  <c r="AD6" i="1"/>
  <c r="AH3" i="1"/>
  <c r="AI3" i="1" s="1"/>
  <c r="AI6" i="1" s="1"/>
  <c r="AQ3" i="1"/>
  <c r="AQ6" i="1" s="1"/>
  <c r="E14" i="1" s="1"/>
  <c r="AJ3" i="1"/>
  <c r="AJ6" i="1" s="1"/>
  <c r="AK9" i="1" l="1"/>
  <c r="AI10" i="1"/>
  <c r="AK3" i="1"/>
  <c r="AN9" i="1" l="1"/>
  <c r="AN10" i="1" s="1"/>
  <c r="AK10" i="1"/>
  <c r="AN3" i="1"/>
  <c r="AN6" i="1" s="1"/>
  <c r="AK6" i="1"/>
  <c r="E13" i="1" l="1"/>
</calcChain>
</file>

<file path=xl/sharedStrings.xml><?xml version="1.0" encoding="utf-8"?>
<sst xmlns="http://schemas.openxmlformats.org/spreadsheetml/2006/main" count="818" uniqueCount="402">
  <si>
    <t>Branch</t>
  </si>
  <si>
    <t>ID</t>
  </si>
  <si>
    <t>Transfer Account Number</t>
  </si>
  <si>
    <t>Transfer Account type</t>
  </si>
  <si>
    <t>Name</t>
  </si>
  <si>
    <t xml:space="preserve"> National ID</t>
  </si>
  <si>
    <t>Title</t>
  </si>
  <si>
    <t>Basic</t>
  </si>
  <si>
    <t>Total Target</t>
  </si>
  <si>
    <t>Salary Differences</t>
  </si>
  <si>
    <t>Target rate</t>
  </si>
  <si>
    <t>Target value</t>
  </si>
  <si>
    <t>Daily transfer value</t>
  </si>
  <si>
    <t>Transportation days</t>
  </si>
  <si>
    <t>Transportation</t>
  </si>
  <si>
    <t>Target wage</t>
  </si>
  <si>
    <t>Daily wage</t>
  </si>
  <si>
    <t>hourly wage rate</t>
  </si>
  <si>
    <t>Number of hours</t>
  </si>
  <si>
    <t>Overtime</t>
  </si>
  <si>
    <t>Bonus</t>
  </si>
  <si>
    <t>Gross</t>
  </si>
  <si>
    <t>Absence days</t>
  </si>
  <si>
    <t>Absence value</t>
  </si>
  <si>
    <t>Penalty Days</t>
  </si>
  <si>
    <t>Penalties value</t>
  </si>
  <si>
    <t>Target Days</t>
  </si>
  <si>
    <t>Total deducted</t>
  </si>
  <si>
    <t>Net</t>
  </si>
  <si>
    <t>Insurance salary</t>
  </si>
  <si>
    <t>Employee Insurance</t>
  </si>
  <si>
    <t>اعفاء شخصى (20000ج سنويا)</t>
  </si>
  <si>
    <t>الوعاء السنوي</t>
  </si>
  <si>
    <t>tax</t>
  </si>
  <si>
    <t>Martyrs</t>
  </si>
  <si>
    <t>Net salary</t>
  </si>
  <si>
    <t>Advance</t>
  </si>
  <si>
    <t>Last Target</t>
  </si>
  <si>
    <t>Company Insurance</t>
  </si>
  <si>
    <t>Annual Balance</t>
  </si>
  <si>
    <t>Cost</t>
  </si>
  <si>
    <t>Gomhorya</t>
  </si>
  <si>
    <t>SFX-G001</t>
  </si>
  <si>
    <t>5078035039881349</t>
  </si>
  <si>
    <t>Dopay</t>
  </si>
  <si>
    <t>Esraa Mohamed Abdelhafez Mohamed</t>
  </si>
  <si>
    <t>30106202101507</t>
  </si>
  <si>
    <t xml:space="preserve">Operator </t>
  </si>
  <si>
    <t>SFX-G002</t>
  </si>
  <si>
    <t>5078035041308638</t>
  </si>
  <si>
    <t>Hayam yousef saleh</t>
  </si>
  <si>
    <t>29905252800842</t>
  </si>
  <si>
    <t>SFX-G003</t>
  </si>
  <si>
    <t>5078035004745198</t>
  </si>
  <si>
    <t>Shadwa Waleed Abdelkader Hamza</t>
  </si>
  <si>
    <t>29909150105061</t>
  </si>
  <si>
    <t>SFX-G004</t>
  </si>
  <si>
    <t>5078035024216519</t>
  </si>
  <si>
    <t>Yasmin Mahmoud Ahmed Elsayed</t>
  </si>
  <si>
    <t>30212102100885</t>
  </si>
  <si>
    <t xml:space="preserve">الاجمالى </t>
  </si>
  <si>
    <t>Total Salaries</t>
  </si>
  <si>
    <t>Total Cost</t>
  </si>
  <si>
    <t>Stop Sallery</t>
  </si>
  <si>
    <t>Working days</t>
  </si>
  <si>
    <r>
      <rPr>
        <b/>
        <sz val="12"/>
        <color theme="1"/>
        <rFont val="Calibri"/>
        <family val="2"/>
        <scheme val="minor"/>
      </rPr>
      <t>Basic</t>
    </r>
    <r>
      <rPr>
        <sz val="11"/>
        <color theme="1"/>
        <rFont val="Calibri"/>
        <family val="2"/>
        <scheme val="minor"/>
      </rPr>
      <t xml:space="preserve"> wage</t>
    </r>
  </si>
  <si>
    <t>10 of Ramadan</t>
  </si>
  <si>
    <t>SFX-R001</t>
  </si>
  <si>
    <t>Team Leader</t>
  </si>
  <si>
    <t>SFX-R002</t>
  </si>
  <si>
    <t>Operator</t>
  </si>
  <si>
    <t>SFX-R003</t>
  </si>
  <si>
    <t>SFX-R004</t>
  </si>
  <si>
    <t>SFX-R005</t>
  </si>
  <si>
    <t>SFX-R006</t>
  </si>
  <si>
    <t>SFX-R007</t>
  </si>
  <si>
    <t>SFX-R008</t>
  </si>
  <si>
    <t>SFX-R009</t>
  </si>
  <si>
    <t>SFX-R010</t>
  </si>
  <si>
    <t>SFX-R011</t>
  </si>
  <si>
    <t>SFX-R012</t>
  </si>
  <si>
    <t>SFX-R013</t>
  </si>
  <si>
    <t>SFX-R014</t>
  </si>
  <si>
    <t>SFX-R015</t>
  </si>
  <si>
    <t>SFX-R016</t>
  </si>
  <si>
    <t>SFX-R017</t>
  </si>
  <si>
    <t>SFX-R018</t>
  </si>
  <si>
    <t>SFX-R019</t>
  </si>
  <si>
    <t>SFX-R020</t>
  </si>
  <si>
    <t>SFX-R021</t>
  </si>
  <si>
    <t>Wallet</t>
  </si>
  <si>
    <t>SFX-R022</t>
  </si>
  <si>
    <t>SFX-R023</t>
  </si>
  <si>
    <t>SFX-R024</t>
  </si>
  <si>
    <t>SFX-R025</t>
  </si>
  <si>
    <t>SFX-R026</t>
  </si>
  <si>
    <t>SFX-R027</t>
  </si>
  <si>
    <t>SFX-R028</t>
  </si>
  <si>
    <t>SFX-R029</t>
  </si>
  <si>
    <t>SFX-R030</t>
  </si>
  <si>
    <t>SFX-R031</t>
  </si>
  <si>
    <t>SFX-R032</t>
  </si>
  <si>
    <t>SFX-R033</t>
  </si>
  <si>
    <t>SFX-R034</t>
  </si>
  <si>
    <t>SFX-R035</t>
  </si>
  <si>
    <t>SFX-R036</t>
  </si>
  <si>
    <t>SFX-R037</t>
  </si>
  <si>
    <t>SFX-R038</t>
  </si>
  <si>
    <t>SFX-R039</t>
  </si>
  <si>
    <t>SFX-R040</t>
  </si>
  <si>
    <t>SFX-R041</t>
  </si>
  <si>
    <t>SFX-R042</t>
  </si>
  <si>
    <t>SFX-R043</t>
  </si>
  <si>
    <t>SFX-R044</t>
  </si>
  <si>
    <t>SFX-R045</t>
  </si>
  <si>
    <t>SFX-R046</t>
  </si>
  <si>
    <t>SFX-R047</t>
  </si>
  <si>
    <t>SFX-R048</t>
  </si>
  <si>
    <t>SFX-R049</t>
  </si>
  <si>
    <t>SFX-R050</t>
  </si>
  <si>
    <t>01110246054</t>
  </si>
  <si>
    <t>SFX-R051</t>
  </si>
  <si>
    <t>SFX-R052</t>
  </si>
  <si>
    <t>SFX-R053</t>
  </si>
  <si>
    <t>SFX-R054</t>
  </si>
  <si>
    <t>SFX-R055</t>
  </si>
  <si>
    <t>SFX-R056</t>
  </si>
  <si>
    <t>SFX-R057</t>
  </si>
  <si>
    <t>SFX-R058</t>
  </si>
  <si>
    <t>SFX-R059</t>
  </si>
  <si>
    <t>SFX-R060</t>
  </si>
  <si>
    <t>SFX-R061</t>
  </si>
  <si>
    <t>SFX-R062</t>
  </si>
  <si>
    <t>SFX-R063</t>
  </si>
  <si>
    <t>SFX-R064</t>
  </si>
  <si>
    <t>SFX-R065</t>
  </si>
  <si>
    <t>SFX-R066</t>
  </si>
  <si>
    <t>SFX-R067</t>
  </si>
  <si>
    <t>SFX-R068</t>
  </si>
  <si>
    <t>SFX-R069</t>
  </si>
  <si>
    <t>SFX-R070</t>
  </si>
  <si>
    <t>SFX-R071</t>
  </si>
  <si>
    <t>SFX-R072</t>
  </si>
  <si>
    <t>SFX-R073</t>
  </si>
  <si>
    <t>SFX-R074</t>
  </si>
  <si>
    <t>SFX-R075</t>
  </si>
  <si>
    <t>SFX-R076</t>
  </si>
  <si>
    <t>SFX-R077</t>
  </si>
  <si>
    <t>SFX-R085</t>
  </si>
  <si>
    <t>SFX-R086</t>
  </si>
  <si>
    <t>Stop Salary</t>
  </si>
  <si>
    <t>SFX-R097</t>
  </si>
  <si>
    <t>SFX-R098</t>
  </si>
  <si>
    <t>SFX-R099</t>
  </si>
  <si>
    <t>SFX-R100</t>
  </si>
  <si>
    <t>SFX-R101</t>
  </si>
  <si>
    <t>SFX-R102</t>
  </si>
  <si>
    <t>SFX-R103</t>
  </si>
  <si>
    <t>SFX-R104</t>
  </si>
  <si>
    <t>SFX-R105</t>
  </si>
  <si>
    <t>SFX-R106</t>
  </si>
  <si>
    <t>SFX-R107</t>
  </si>
  <si>
    <t>SFX-R079</t>
  </si>
  <si>
    <t>SFX-R080</t>
  </si>
  <si>
    <t>SFX-R081</t>
  </si>
  <si>
    <t>SFX-R082</t>
  </si>
  <si>
    <t>SFX-R083</t>
  </si>
  <si>
    <t>SFX-R084</t>
  </si>
  <si>
    <t>SFX-R087</t>
  </si>
  <si>
    <t>SFX-R088</t>
  </si>
  <si>
    <t>SFX-R089</t>
  </si>
  <si>
    <t>SFX-R090</t>
  </si>
  <si>
    <t>SFX-R091</t>
  </si>
  <si>
    <t>SFX-R092</t>
  </si>
  <si>
    <t>SFX-R093</t>
  </si>
  <si>
    <t>SFX-R094</t>
  </si>
  <si>
    <t>SFX-R095</t>
  </si>
  <si>
    <t>SFX-R096</t>
  </si>
  <si>
    <t>SFX-R108</t>
  </si>
  <si>
    <t>Reem Ahmed Abd El Qawi Mohamed</t>
  </si>
  <si>
    <t>Somaya Hussein Abd Almalek Mohamed</t>
  </si>
  <si>
    <t>Amira Mohamed Kamel Elboghdady</t>
  </si>
  <si>
    <t>Sara Emad Elsayed Mohamed</t>
  </si>
  <si>
    <t>Aya Saeid Abdelmonem Ibrahem</t>
  </si>
  <si>
    <t>Mohamed Gamal Abdelrahman</t>
  </si>
  <si>
    <t>Dina Salah Eldiin Abdallah</t>
  </si>
  <si>
    <t>Mariam Ahemd Sobhy Ahmed</t>
  </si>
  <si>
    <t>Shaimaa Abdelbaset Farag Sayed</t>
  </si>
  <si>
    <t>Etemad Mostafa Ibrahem Selim</t>
  </si>
  <si>
    <t>Amal Atef Mohamed Ali</t>
  </si>
  <si>
    <t>Alaa Hamdy Hassan Mohamed</t>
  </si>
  <si>
    <t>Esraa Sayed Salama Ahmed</t>
  </si>
  <si>
    <t>Mohamed Mostafa Afifi Ibrahim</t>
  </si>
  <si>
    <t>Dina Tarek Hussein Hassan</t>
  </si>
  <si>
    <t xml:space="preserve">Aml Barakat Mohamed Mohamed </t>
  </si>
  <si>
    <t>Manar Adel Mamoun Gad</t>
  </si>
  <si>
    <t>Salma Atia mostafa Kamal</t>
  </si>
  <si>
    <t>Nehal Gamal Mahmoud Hussein</t>
  </si>
  <si>
    <t xml:space="preserve">Esraa Ahmed Monier Youssif </t>
  </si>
  <si>
    <t>Mariam Hosny Salah Elsaeed</t>
  </si>
  <si>
    <t>Shaimaa kamel Fatoh Abdella</t>
  </si>
  <si>
    <t>Marwa Foad Abdelhamed Ali</t>
  </si>
  <si>
    <t>Mariam Salah Eldin Mohamed</t>
  </si>
  <si>
    <t>Khloud Ali sharaf Eldin Ali</t>
  </si>
  <si>
    <t>Zahraa Hatim Abdelaziz Mohamed</t>
  </si>
  <si>
    <t>Yasmin Samy Mohamed Mohamed</t>
  </si>
  <si>
    <t>Donia Khalid Abd EL moutal</t>
  </si>
  <si>
    <t>abdelrahman mohamed mahrous bassuony</t>
  </si>
  <si>
    <t>Shaimaa Salah Eldin Fadl</t>
  </si>
  <si>
    <t>Abdalah mostafa afifi ibrahim</t>
  </si>
  <si>
    <t>Rahma Mohamed Elsayed Elawady</t>
  </si>
  <si>
    <t>Salma Ragab Elsaid Mohamed</t>
  </si>
  <si>
    <t>Bavely Saad Fahem Mesiha</t>
  </si>
  <si>
    <t>Yassa Email Garas Mobasher</t>
  </si>
  <si>
    <t xml:space="preserve">Mohamed abdallah mohamed mohamed </t>
  </si>
  <si>
    <t>Khaled abdelrhman helal hussein</t>
  </si>
  <si>
    <t xml:space="preserve">Ziad mohamed elsayed attia </t>
  </si>
  <si>
    <t xml:space="preserve">Seif eldein ahmed mohamed </t>
  </si>
  <si>
    <t>Seif abdelqader sayed ahmed</t>
  </si>
  <si>
    <t>Ayman mohamed ahmed ibrahim</t>
  </si>
  <si>
    <t xml:space="preserve">Ali Salah Eldin Fadl </t>
  </si>
  <si>
    <t>AlHassan Mohamed Hussein Kamel</t>
  </si>
  <si>
    <t>Mohamed khaled abdelkarem mohamed</t>
  </si>
  <si>
    <t>Mohamed mosad saaed khatab</t>
  </si>
  <si>
    <t>Mohamed Hamam Fawaz Hamed</t>
  </si>
  <si>
    <t xml:space="preserve">Ibrahim Mohamed Ahmed Ali </t>
  </si>
  <si>
    <t>Ahmed Alaa Mohamed Abdelrahman</t>
  </si>
  <si>
    <t xml:space="preserve">Ahmed Elsayed Mansour Abdelrahman </t>
  </si>
  <si>
    <t>Ahmed Ashraf Abdelaal Ali Abdelaal</t>
  </si>
  <si>
    <t>Omar Ashraf Bayoumy Sayed</t>
  </si>
  <si>
    <t>Ahmed Tharwat Awad Mohamed</t>
  </si>
  <si>
    <t>Ahmed abdelawad hassan abdelawad</t>
  </si>
  <si>
    <t>Ahmed elsayed hassan ali</t>
  </si>
  <si>
    <t>Rohaiem Ahmed Rohaiem Saber</t>
  </si>
  <si>
    <t xml:space="preserve">Youssef Abdelmonem Yassien Ali </t>
  </si>
  <si>
    <t>Omar Mohamed Mahmoud Fahmy</t>
  </si>
  <si>
    <t xml:space="preserve">Moamen Alaa Ahmed Ali
</t>
  </si>
  <si>
    <t>Ahmed Ayman Refat Hassan</t>
  </si>
  <si>
    <t>Moaz Mostafa Ibrahem Selim</t>
  </si>
  <si>
    <t>Mohamed Rabea Hashem Hussein</t>
  </si>
  <si>
    <t>Ismaeil Saeid Mohamed Abdallah</t>
  </si>
  <si>
    <t>Mahmoud Abdallah Mahmoud Gad</t>
  </si>
  <si>
    <t>Abdelrahman Ramadan Mahmoud Abdelhalim</t>
  </si>
  <si>
    <t>Ahmed Mohamed Mahmoud Hassan</t>
  </si>
  <si>
    <t>Abdallah Wael Eid Elsayed</t>
  </si>
  <si>
    <t>Mohamed Hamdy Mohamed Amin</t>
  </si>
  <si>
    <t>Mohamed Mohamed Salim Elminshawiy</t>
  </si>
  <si>
    <t>Tarek Elsayed Abdallah Ebrahim</t>
  </si>
  <si>
    <t>Abdelrahman Shabaan Bahgat Shabaan</t>
  </si>
  <si>
    <t>Mohamed Saleh Mohamed Mohamed</t>
  </si>
  <si>
    <t>Mohamed Talaat abdellatif hassan</t>
  </si>
  <si>
    <t>Abdelrahman yasser ibrahim elshaer</t>
  </si>
  <si>
    <t>Omar Mohamed Elsayed Khidr</t>
  </si>
  <si>
    <t xml:space="preserve">Mahmoud Abdo Mahmoud Abdo </t>
  </si>
  <si>
    <t xml:space="preserve">Abdelrahman Ashraf Abdallah Ali </t>
  </si>
  <si>
    <t>Nourhan Mohamed Ibrahem Farahat</t>
  </si>
  <si>
    <t>Amir Medhat Tawfeek Mohamed</t>
  </si>
  <si>
    <t>Dina Said Abd Elsalam Said</t>
  </si>
  <si>
    <t xml:space="preserve">Mariam Nagy Shafik Habib </t>
  </si>
  <si>
    <t>Nehal Mohamed Ibrahem Farahat</t>
  </si>
  <si>
    <t>Wedad Mohamed Ibrahem Mohamed</t>
  </si>
  <si>
    <t>Mariam Mohamed Mahmoud Abdelhamed</t>
  </si>
  <si>
    <t>Radwa Ahmed Radwan Rizk</t>
  </si>
  <si>
    <t>Kawkab Adel Ali Mohamed</t>
  </si>
  <si>
    <t>Hend Bakr Abdelmoniem Abdelmoniem</t>
  </si>
  <si>
    <t xml:space="preserve">Youssef Essam Mohamed Abdelwahab </t>
  </si>
  <si>
    <t xml:space="preserve">Eslam ashraf hassanen darwish </t>
  </si>
  <si>
    <t>Mohamed ahmed abdelfatah ibrahim</t>
  </si>
  <si>
    <t>Mahmoud Hamed Mahmoud Emara</t>
  </si>
  <si>
    <t>Mahmoud Abdelbaset Ahmed Mohamed</t>
  </si>
  <si>
    <t xml:space="preserve">Amir Omar Mohamed Ragab </t>
  </si>
  <si>
    <t>Ahmed Saeed gouda ibrahim</t>
  </si>
  <si>
    <t>Abdallah Saeed Gouda Ibrahim</t>
  </si>
  <si>
    <t>George Faiek Youssef Ibrahim</t>
  </si>
  <si>
    <t>Adieb Fayez Fekry Gerges</t>
  </si>
  <si>
    <t>Omar Mohamed hamed mohamed</t>
  </si>
  <si>
    <t>Mahmoud nasr eldein ahmed mohamed</t>
  </si>
  <si>
    <t>Eslam montaser mahmoud hassan</t>
  </si>
  <si>
    <t>Hatem Ahmed Abdelwahed Atya</t>
  </si>
  <si>
    <t>Youssef Tantawy Mohamed Ahmed</t>
  </si>
  <si>
    <t>Karim Mohamed Mostafa Abdelkadir</t>
  </si>
  <si>
    <t>Mohamed Yasser Kamel Elslamy</t>
  </si>
  <si>
    <t xml:space="preserve">Marawan Taha Hamdy Mohamed </t>
  </si>
  <si>
    <t xml:space="preserve">Omar Ali Mahmoud Ali </t>
  </si>
  <si>
    <t xml:space="preserve">Ismaeil Mohamed Ismaeil Mohamed </t>
  </si>
  <si>
    <t>Kerolos Melad Shafiek Basiely</t>
  </si>
  <si>
    <t>Fatma abdelfatah ibrahim swailm</t>
  </si>
  <si>
    <t>01033862525</t>
  </si>
  <si>
    <t>Office helper 1</t>
  </si>
  <si>
    <t>01229801069</t>
  </si>
  <si>
    <t>01020639719</t>
  </si>
  <si>
    <t>01223122351</t>
  </si>
  <si>
    <t>01036804472</t>
  </si>
  <si>
    <t>01027840707</t>
  </si>
  <si>
    <t>01070461523</t>
  </si>
  <si>
    <t>01222966430</t>
  </si>
  <si>
    <t>01066437415</t>
  </si>
  <si>
    <t>01010671026</t>
  </si>
  <si>
    <t>01024995736</t>
  </si>
  <si>
    <t>01008306866</t>
  </si>
  <si>
    <t>4745010136305241</t>
  </si>
  <si>
    <t>01090774065</t>
  </si>
  <si>
    <t>01016231150</t>
  </si>
  <si>
    <t>01014680334</t>
  </si>
  <si>
    <t>01067938313</t>
  </si>
  <si>
    <t>01017644959</t>
  </si>
  <si>
    <t>01063646008</t>
  </si>
  <si>
    <t>01029406443</t>
  </si>
  <si>
    <t>01008151722</t>
  </si>
  <si>
    <t>01097486566</t>
  </si>
  <si>
    <t>01032897771</t>
  </si>
  <si>
    <t>01014571951</t>
  </si>
  <si>
    <t>01014377537</t>
  </si>
  <si>
    <t>01090399193</t>
  </si>
  <si>
    <t>01096154316</t>
  </si>
  <si>
    <t>01117319703</t>
  </si>
  <si>
    <t>01055688184</t>
  </si>
  <si>
    <t>01098017498</t>
  </si>
  <si>
    <t>01018347369</t>
  </si>
  <si>
    <t>01016894717</t>
  </si>
  <si>
    <t>01557924068</t>
  </si>
  <si>
    <t>01210092954</t>
  </si>
  <si>
    <t>01033292789</t>
  </si>
  <si>
    <t>01098326306</t>
  </si>
  <si>
    <t>01022651851</t>
  </si>
  <si>
    <t xml:space="preserve">01010431738 </t>
  </si>
  <si>
    <t>01025668504</t>
  </si>
  <si>
    <t>01080047927</t>
  </si>
  <si>
    <t>01021496274</t>
  </si>
  <si>
    <t>01098707315</t>
  </si>
  <si>
    <t>01022598973</t>
  </si>
  <si>
    <t>01005012747</t>
  </si>
  <si>
    <t>01066715136</t>
  </si>
  <si>
    <t>01035697710</t>
  </si>
  <si>
    <t>01009316979</t>
  </si>
  <si>
    <t>01065596064</t>
  </si>
  <si>
    <t>01008126085</t>
  </si>
  <si>
    <t>01055701665</t>
  </si>
  <si>
    <t>01024143841</t>
  </si>
  <si>
    <t>01029747962</t>
  </si>
  <si>
    <t>01001184812</t>
  </si>
  <si>
    <t>01062557624</t>
  </si>
  <si>
    <t>01023233530</t>
  </si>
  <si>
    <t>01112776443</t>
  </si>
  <si>
    <t>01026354921</t>
  </si>
  <si>
    <t>01093152446</t>
  </si>
  <si>
    <t>01017520477</t>
  </si>
  <si>
    <t>01200774490</t>
  </si>
  <si>
    <t>01003702773</t>
  </si>
  <si>
    <t>01067657966</t>
  </si>
  <si>
    <t>01065644355</t>
  </si>
  <si>
    <t>01063359802</t>
  </si>
  <si>
    <t>01024384227</t>
  </si>
  <si>
    <t>01101585468</t>
  </si>
  <si>
    <t>01029996040</t>
  </si>
  <si>
    <t>01067730803</t>
  </si>
  <si>
    <t>01030893065</t>
  </si>
  <si>
    <t>01090286296</t>
  </si>
  <si>
    <t>01029566141</t>
  </si>
  <si>
    <t>01070155373</t>
  </si>
  <si>
    <t>01157228436</t>
  </si>
  <si>
    <t>01024119279</t>
  </si>
  <si>
    <t>01060058535</t>
  </si>
  <si>
    <t>01093104136</t>
  </si>
  <si>
    <t>01020862789</t>
  </si>
  <si>
    <t>01091340656</t>
  </si>
  <si>
    <t>01060948288</t>
  </si>
  <si>
    <t>01099629895</t>
  </si>
  <si>
    <t>01279587844</t>
  </si>
  <si>
    <t>01284315689</t>
  </si>
  <si>
    <t>01032077608</t>
  </si>
  <si>
    <t>01093139376</t>
  </si>
  <si>
    <t>01221767109</t>
  </si>
  <si>
    <t>01002485216</t>
  </si>
  <si>
    <t>01027842167</t>
  </si>
  <si>
    <t>‏‪01029482051‬‏</t>
  </si>
  <si>
    <t>01007234521</t>
  </si>
  <si>
    <t>Mostafa Abdelkarim mohamed mostafa</t>
  </si>
  <si>
    <t>01016074192</t>
  </si>
  <si>
    <t>01150759701</t>
  </si>
  <si>
    <t>01025918096</t>
  </si>
  <si>
    <t>01515999652</t>
  </si>
  <si>
    <t>01034378110</t>
  </si>
  <si>
    <t>01029570347</t>
  </si>
  <si>
    <t>01065492434</t>
  </si>
  <si>
    <t>01090432083</t>
  </si>
  <si>
    <t>01068667160</t>
  </si>
  <si>
    <t>01098350738</t>
  </si>
  <si>
    <t>01001399433</t>
  </si>
  <si>
    <t>01092268276</t>
  </si>
  <si>
    <t>01099695422</t>
  </si>
  <si>
    <t>01206417391</t>
  </si>
  <si>
    <t>01030350993</t>
  </si>
  <si>
    <t>01011656026</t>
  </si>
  <si>
    <t xml:space="preserve">Cash </t>
  </si>
  <si>
    <t>absence_days</t>
  </si>
  <si>
    <t>overtime_hours</t>
  </si>
  <si>
    <t>penalty_days</t>
  </si>
  <si>
    <t>completion_percent</t>
  </si>
  <si>
    <t>employee_code</t>
  </si>
  <si>
    <t>SFX-R078</t>
  </si>
  <si>
    <t>SFX-R109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</si>
</sst>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m\ yyyy"/>
    <numFmt numFmtId="165" formatCode="_(* #,##0_);_(* \(#,##0\);_(* &quot;-&quot;??_);_(@_)"/>
    <numFmt numFmtId="166" formatCode="_(&quot;EGP&quot;* #,##0_);_(&quot;EGP&quot;* \(#,##0\);_(&quot;EGP&quot;* &quot;-&quot;??_);_(@_)"/>
    <numFmt numFmtId="167" formatCode="_(* #,##0.0_);_(* \(#,##0.0\);_(* &quot;-&quot;??_);_(@_)"/>
    <numFmt numFmtId="168" formatCode="[$-2000401]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CD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protection locked="0"/>
    </xf>
  </cellStyleXfs>
  <cellXfs count="7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49" fontId="5" fillId="7" borderId="3" xfId="3" applyNumberFormat="1" applyFont="1" applyFill="1" applyBorder="1" applyAlignment="1">
      <alignment horizontal="center" vertical="center"/>
      <protection locked="0"/>
    </xf>
    <xf numFmtId="0" fontId="0" fillId="7" borderId="2" xfId="0" applyFill="1" applyBorder="1" applyAlignment="1">
      <alignment horizontal="center" vertical="center"/>
    </xf>
    <xf numFmtId="49" fontId="5" fillId="8" borderId="3" xfId="3" applyNumberFormat="1" applyFont="1" applyFill="1" applyBorder="1" applyAlignment="1">
      <alignment horizontal="center" vertical="center"/>
      <protection locked="0"/>
    </xf>
    <xf numFmtId="0" fontId="5" fillId="7" borderId="3" xfId="3" applyFont="1" applyFill="1" applyBorder="1" applyAlignment="1">
      <alignment horizontal="left" vertical="center"/>
      <protection locked="0"/>
    </xf>
    <xf numFmtId="1" fontId="3" fillId="7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9" fontId="3" fillId="9" borderId="2" xfId="2" applyFont="1" applyFill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1" fontId="3" fillId="10" borderId="2" xfId="0" applyNumberFormat="1" applyFont="1" applyFill="1" applyBorder="1" applyAlignment="1">
      <alignment horizontal="center" vertical="center"/>
    </xf>
    <xf numFmtId="165" fontId="3" fillId="11" borderId="2" xfId="1" applyNumberFormat="1" applyFont="1" applyFill="1" applyBorder="1" applyAlignment="1">
      <alignment horizontal="center" vertical="center"/>
    </xf>
    <xf numFmtId="165" fontId="3" fillId="10" borderId="2" xfId="1" applyNumberFormat="1" applyFont="1" applyFill="1" applyBorder="1" applyAlignment="1">
      <alignment horizontal="center" vertical="center"/>
    </xf>
    <xf numFmtId="165" fontId="6" fillId="10" borderId="2" xfId="1" applyNumberFormat="1" applyFont="1" applyFill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43" fontId="6" fillId="0" borderId="2" xfId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center" vertical="center"/>
    </xf>
    <xf numFmtId="1" fontId="6" fillId="0" borderId="2" xfId="1" applyNumberFormat="1" applyFont="1" applyBorder="1" applyAlignment="1">
      <alignment horizontal="center" vertical="center"/>
    </xf>
    <xf numFmtId="49" fontId="5" fillId="12" borderId="3" xfId="3" applyNumberFormat="1" applyFont="1" applyFill="1" applyBorder="1" applyAlignment="1">
      <alignment horizontal="center" vertical="center"/>
      <protection locked="0"/>
    </xf>
    <xf numFmtId="0" fontId="5" fillId="12" borderId="3" xfId="3" applyFont="1" applyFill="1" applyBorder="1" applyAlignment="1">
      <alignment horizontal="left" vertical="center"/>
      <protection locked="0"/>
    </xf>
    <xf numFmtId="1" fontId="3" fillId="12" borderId="3" xfId="0" applyNumberFormat="1" applyFont="1" applyFill="1" applyBorder="1" applyAlignment="1">
      <alignment horizontal="center" vertical="center"/>
    </xf>
    <xf numFmtId="1" fontId="3" fillId="12" borderId="2" xfId="0" applyNumberFormat="1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65" fontId="7" fillId="6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6" fontId="9" fillId="0" borderId="10" xfId="0" applyNumberFormat="1" applyFont="1" applyBorder="1" applyAlignment="1">
      <alignment horizontal="left"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center" vertical="center" wrapText="1"/>
    </xf>
    <xf numFmtId="49" fontId="3" fillId="12" borderId="2" xfId="0" applyNumberFormat="1" applyFont="1" applyFill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3" fillId="11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16" borderId="5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10" xfId="0" applyNumberFormat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168" fontId="0" fillId="0" borderId="0" xfId="0" applyNumberFormat="1"/>
    <xf numFmtId="49" fontId="5" fillId="7" borderId="2" xfId="3" applyNumberFormat="1" applyFont="1" applyFill="1" applyBorder="1" applyAlignment="1">
      <alignment horizontal="center" vertical="center"/>
      <protection locked="0"/>
    </xf>
    <xf numFmtId="49" fontId="5" fillId="8" borderId="2" xfId="3" applyNumberFormat="1" applyFont="1" applyFill="1" applyBorder="1" applyAlignment="1">
      <alignment horizontal="center" vertical="center"/>
      <protection locked="0"/>
    </xf>
    <xf numFmtId="0" fontId="5" fillId="7" borderId="2" xfId="3" applyFont="1" applyFill="1" applyBorder="1" applyAlignment="1">
      <alignment horizontal="left" vertical="center"/>
      <protection locked="0"/>
    </xf>
    <xf numFmtId="0" fontId="8" fillId="14" borderId="7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8" fillId="14" borderId="11" xfId="0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87DD7684-3EF7-4CD4-828F-9293F36BE9B5}"/>
    <cellStyle name="Percent" xfId="2" builtinId="5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4014-F604-4783-BB05-48688D437B44}">
  <dimension ref="A1:AP148"/>
  <sheetViews>
    <sheetView tabSelected="1" zoomScale="40" zoomScaleNormal="40" workbookViewId="0">
      <selection activeCell="B89" sqref="B89"/>
    </sheetView>
  </sheetViews>
  <sheetFormatPr defaultColWidth="8.90625" defaultRowHeight="15.5" x14ac:dyDescent="0.35"/>
  <cols>
    <col min="1" max="1" width="16.08984375" style="40" bestFit="1" customWidth="1"/>
    <col min="2" max="2" width="18.1796875" style="40" customWidth="1"/>
    <col min="3" max="3" width="17.81640625" style="40" bestFit="1" customWidth="1"/>
    <col min="4" max="4" width="46.90625" style="40" bestFit="1" customWidth="1"/>
    <col min="5" max="5" width="26.1796875" style="40" bestFit="1" customWidth="1"/>
    <col min="6" max="6" width="54" style="51" bestFit="1" customWidth="1"/>
    <col min="7" max="7" width="14.6328125" style="40" bestFit="1" customWidth="1"/>
    <col min="8" max="8" width="11.1796875" style="40" bestFit="1" customWidth="1"/>
    <col min="9" max="9" width="16.6328125" style="40" bestFit="1" customWidth="1"/>
    <col min="10" max="10" width="22.08984375" style="40" bestFit="1" customWidth="1"/>
    <col min="11" max="11" width="15.6328125" style="40" bestFit="1" customWidth="1"/>
    <col min="12" max="12" width="16.90625" style="40" bestFit="1" customWidth="1"/>
    <col min="13" max="13" width="21.90625" style="40" bestFit="1" customWidth="1"/>
    <col min="14" max="14" width="17.6328125" style="40" bestFit="1" customWidth="1"/>
    <col min="15" max="15" width="14.90625" style="40" bestFit="1" customWidth="1"/>
    <col min="16" max="16" width="15.453125" style="40" bestFit="1" customWidth="1"/>
    <col min="17" max="17" width="15.36328125" style="40" bestFit="1" customWidth="1"/>
    <col min="18" max="18" width="21.1796875" style="40" bestFit="1" customWidth="1"/>
    <col min="19" max="19" width="21.453125" style="40" bestFit="1" customWidth="1"/>
    <col min="20" max="20" width="14" style="40" bestFit="1" customWidth="1"/>
    <col min="21" max="22" width="11.1796875" style="40" bestFit="1" customWidth="1"/>
    <col min="23" max="23" width="18.08984375" style="40" bestFit="1" customWidth="1"/>
    <col min="24" max="24" width="18.90625" style="40" bestFit="1" customWidth="1"/>
    <col min="25" max="25" width="15.81640625" style="40" bestFit="1" customWidth="1"/>
    <col min="26" max="26" width="17.6328125" style="40" bestFit="1" customWidth="1"/>
    <col min="27" max="27" width="16.1796875" style="40" bestFit="1" customWidth="1"/>
    <col min="28" max="28" width="16.90625" style="40" bestFit="1" customWidth="1"/>
    <col min="29" max="29" width="19.6328125" style="40" bestFit="1" customWidth="1"/>
    <col min="30" max="30" width="11.1796875" style="40" bestFit="1" customWidth="1"/>
    <col min="31" max="31" width="18.6328125" style="40" bestFit="1" customWidth="1"/>
    <col min="32" max="32" width="24.36328125" style="40" bestFit="1" customWidth="1"/>
    <col min="33" max="33" width="29.36328125" style="40" bestFit="1" customWidth="1"/>
    <col min="34" max="34" width="16" style="40" bestFit="1" customWidth="1"/>
    <col min="35" max="35" width="9.08984375" style="40" bestFit="1" customWidth="1"/>
    <col min="36" max="36" width="12.6328125" style="40" bestFit="1" customWidth="1"/>
    <col min="37" max="37" width="14.81640625" style="40" bestFit="1" customWidth="1"/>
    <col min="38" max="38" width="13.36328125" style="40" bestFit="1" customWidth="1"/>
    <col min="39" max="39" width="11.1796875" style="40" bestFit="1" customWidth="1"/>
    <col min="40" max="40" width="24" style="40" bestFit="1" customWidth="1"/>
    <col min="41" max="41" width="20" style="34" bestFit="1" customWidth="1"/>
    <col min="42" max="42" width="11.1796875" style="40" bestFit="1" customWidth="1"/>
    <col min="43" max="16384" width="8.90625" style="40"/>
  </cols>
  <sheetData>
    <row r="1" spans="1:42" x14ac:dyDescent="0.35">
      <c r="A1" s="1" t="s">
        <v>0</v>
      </c>
      <c r="B1" t="s">
        <v>399</v>
      </c>
      <c r="C1" s="3" t="s">
        <v>5</v>
      </c>
      <c r="D1" s="2" t="s">
        <v>2</v>
      </c>
      <c r="E1" s="2" t="s">
        <v>3</v>
      </c>
      <c r="F1" s="41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t="s">
        <v>398</v>
      </c>
      <c r="L1" s="6" t="s">
        <v>11</v>
      </c>
      <c r="M1" s="7" t="s">
        <v>64</v>
      </c>
      <c r="N1" s="7" t="s">
        <v>14</v>
      </c>
      <c r="O1" s="5" t="s">
        <v>65</v>
      </c>
      <c r="P1" s="5" t="s">
        <v>15</v>
      </c>
      <c r="Q1" s="1" t="s">
        <v>16</v>
      </c>
      <c r="R1" s="1" t="s">
        <v>17</v>
      </c>
      <c r="S1" t="s">
        <v>396</v>
      </c>
      <c r="T1" s="4" t="s">
        <v>19</v>
      </c>
      <c r="U1" s="4" t="s">
        <v>20</v>
      </c>
      <c r="V1" s="4" t="s">
        <v>21</v>
      </c>
      <c r="W1" t="s">
        <v>395</v>
      </c>
      <c r="X1" s="6" t="s">
        <v>23</v>
      </c>
      <c r="Y1" t="s">
        <v>397</v>
      </c>
      <c r="Z1" s="8" t="s">
        <v>25</v>
      </c>
      <c r="AA1" s="1" t="s">
        <v>26</v>
      </c>
      <c r="AB1" s="6" t="s">
        <v>11</v>
      </c>
      <c r="AC1" s="6" t="s">
        <v>27</v>
      </c>
      <c r="AD1" s="6" t="s">
        <v>28</v>
      </c>
      <c r="AE1" s="8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4" t="s">
        <v>36</v>
      </c>
      <c r="AM1" s="4" t="s">
        <v>28</v>
      </c>
      <c r="AN1" s="1" t="s">
        <v>38</v>
      </c>
      <c r="AO1" s="9" t="s">
        <v>39</v>
      </c>
      <c r="AP1" s="42" t="s">
        <v>40</v>
      </c>
    </row>
    <row r="2" spans="1:42" x14ac:dyDescent="0.35">
      <c r="A2" s="11" t="s">
        <v>66</v>
      </c>
      <c r="B2" s="12" t="s">
        <v>67</v>
      </c>
      <c r="C2" s="31">
        <v>30105131300507</v>
      </c>
      <c r="D2" s="43" t="s">
        <v>289</v>
      </c>
      <c r="E2" s="31" t="s">
        <v>44</v>
      </c>
      <c r="F2" s="29" t="s">
        <v>179</v>
      </c>
      <c r="G2" s="16" t="s">
        <v>68</v>
      </c>
      <c r="H2" s="17">
        <v>5000</v>
      </c>
      <c r="I2" s="17">
        <v>3000</v>
      </c>
      <c r="J2" s="17">
        <v>0</v>
      </c>
      <c r="K2" s="18">
        <v>1</v>
      </c>
      <c r="L2" s="17">
        <f t="shared" ref="L2:L57" si="0">+I2*K2</f>
        <v>3000</v>
      </c>
      <c r="M2" s="17">
        <f t="shared" ref="M2:M57" si="1">30-W2</f>
        <v>30</v>
      </c>
      <c r="N2" s="44">
        <v>0</v>
      </c>
      <c r="O2" s="19">
        <f>H2/30</f>
        <v>166.66666666666666</v>
      </c>
      <c r="P2" s="19">
        <f>L2/26</f>
        <v>115.38461538461539</v>
      </c>
      <c r="Q2" s="19">
        <f t="shared" ref="Q2:Q57" si="2">P2+O2</f>
        <v>282.05128205128204</v>
      </c>
      <c r="R2" s="19">
        <f t="shared" ref="R2:R57" si="3">+O2/8</f>
        <v>20.833333333333332</v>
      </c>
      <c r="S2" s="17">
        <v>0</v>
      </c>
      <c r="T2" s="17">
        <f t="shared" ref="T2:T57" si="4">+R2*S2</f>
        <v>0</v>
      </c>
      <c r="U2" s="17">
        <v>0</v>
      </c>
      <c r="V2" s="20">
        <f>H2+L2+T2+U2+J2</f>
        <v>8000</v>
      </c>
      <c r="W2" s="21">
        <v>0</v>
      </c>
      <c r="X2" s="21">
        <f>O2*W2</f>
        <v>0</v>
      </c>
      <c r="Y2" s="21">
        <v>0</v>
      </c>
      <c r="Z2" s="21">
        <f>O2*Y2</f>
        <v>0</v>
      </c>
      <c r="AA2" s="21">
        <v>0</v>
      </c>
      <c r="AB2" s="21">
        <f t="shared" ref="AB2:AB57" si="5">O2*AA2</f>
        <v>0</v>
      </c>
      <c r="AC2" s="22">
        <f t="shared" ref="AC2:AC57" si="6">X2+Z2+AB2</f>
        <v>0</v>
      </c>
      <c r="AD2" s="23">
        <f t="shared" ref="AD2:AD65" si="7">V2-AC2</f>
        <v>8000</v>
      </c>
      <c r="AE2" s="24">
        <f t="shared" ref="AE2:AE65" si="8">7000/1.3</f>
        <v>5384.6153846153848</v>
      </c>
      <c r="AF2" s="24">
        <f t="shared" ref="AF2:AF65" si="9">+AE2*0.11</f>
        <v>592.30769230769238</v>
      </c>
      <c r="AG2" s="25">
        <v>1666.6666666666699</v>
      </c>
      <c r="AH2" s="25">
        <f t="shared" ref="AH2:AH57" si="10">(AD2-AF2-AG2)*12</f>
        <v>68892.307692307659</v>
      </c>
      <c r="AI2" s="25">
        <f t="shared" ref="AI2:AI57" si="11">IF(AND(AH2&gt;40000,AH2&lt;=55000),(AH2-40000)*10%,
IF(AND(AH2&gt;55000,AH2&lt;=70000),(AH2-55000)*15%+15000*10%,
IF(AND(AH2&gt;70000,AH2&lt;=200000),(AH2-70000)*20%+15000*10%+15000*15%,
IF(AND(AH2&gt;200000,AH2&lt;=400000),(AH2-200000)*22.5%+15000*10%+15000*15%+130000*20%,
IF(AND(AH2&gt;400000,AH2&lt;=600000),(AH2-400000)*25%+15000*10%+15000*15%+130000*20%+200000*22.5%,
IF(AND(AH2&gt;600000,AH2&lt;=700000),(AH2-400000)*25%+55000*10%+15000*15%+130000*20%+200000*22.5%,
IF(AND(AH2&gt;700000,AH2&lt;=800000),(AH2-400000)*25%+70000*15%+130000*20%+200000*22.5%,
IF(AND(AH2&gt;800000,AH2&lt;=900000),(AH2-400000)*25%+200000*20%+200000*22.5%,
IF(AND(AH2&gt;900000,AH2&lt;=1200000),(AH2-400000)*25%+400000*22.5%,
IF(AH2&gt;1200000,(AH2-1200000)*27.5%+1200000*25%))))))))))/12</f>
        <v>298.65384615384573</v>
      </c>
      <c r="AJ2" s="24">
        <f t="shared" ref="AJ2:AJ57" si="12">+AD2*0.0005</f>
        <v>4</v>
      </c>
      <c r="AK2" s="23">
        <f t="shared" ref="AK2:AK57" si="13">+AD2-AF2-AI2-AJ2</f>
        <v>7105.0384615384619</v>
      </c>
      <c r="AL2" s="24">
        <v>0</v>
      </c>
      <c r="AM2" s="23">
        <f t="shared" ref="AM2:AM57" si="14">+AK2-AL2</f>
        <v>7105.0384615384619</v>
      </c>
      <c r="AN2" s="25">
        <f t="shared" ref="AN2:AN57" si="15">+AE2*0.1875</f>
        <v>1009.6153846153846</v>
      </c>
      <c r="AO2" s="45"/>
      <c r="AP2" s="27">
        <f>AD2+AN2</f>
        <v>9009.6153846153848</v>
      </c>
    </row>
    <row r="3" spans="1:42" x14ac:dyDescent="0.35">
      <c r="A3" s="11" t="s">
        <v>66</v>
      </c>
      <c r="B3" s="12" t="s">
        <v>69</v>
      </c>
      <c r="C3" s="31">
        <v>30108012105681</v>
      </c>
      <c r="D3" s="43" t="s">
        <v>290</v>
      </c>
      <c r="E3" s="31" t="s">
        <v>44</v>
      </c>
      <c r="F3" s="29" t="s">
        <v>180</v>
      </c>
      <c r="G3" s="16" t="s">
        <v>70</v>
      </c>
      <c r="H3" s="17">
        <v>4000</v>
      </c>
      <c r="I3" s="17">
        <v>3000</v>
      </c>
      <c r="J3" s="17">
        <v>0</v>
      </c>
      <c r="K3" s="18">
        <v>0.82340000000000002</v>
      </c>
      <c r="L3" s="17">
        <f t="shared" si="0"/>
        <v>2470.2000000000003</v>
      </c>
      <c r="M3" s="17">
        <f t="shared" si="1"/>
        <v>30</v>
      </c>
      <c r="N3" s="44">
        <v>0</v>
      </c>
      <c r="O3" s="19">
        <f t="shared" ref="O3:O58" si="16">H3/30</f>
        <v>133.33333333333334</v>
      </c>
      <c r="P3" s="19">
        <f t="shared" ref="P3:P58" si="17">L3/26</f>
        <v>95.007692307692324</v>
      </c>
      <c r="Q3" s="19">
        <f t="shared" si="2"/>
        <v>228.34102564102568</v>
      </c>
      <c r="R3" s="19">
        <f t="shared" si="3"/>
        <v>16.666666666666668</v>
      </c>
      <c r="S3" s="17">
        <v>0</v>
      </c>
      <c r="T3" s="17">
        <f t="shared" si="4"/>
        <v>0</v>
      </c>
      <c r="U3" s="17">
        <v>0</v>
      </c>
      <c r="V3" s="20">
        <f t="shared" ref="V3:V58" si="18">H3+L3+T3+U3+J3</f>
        <v>6470.2000000000007</v>
      </c>
      <c r="W3" s="21">
        <v>0</v>
      </c>
      <c r="X3" s="21">
        <f t="shared" ref="X3:X66" si="19">O3*W3</f>
        <v>0</v>
      </c>
      <c r="Y3" s="21">
        <v>0</v>
      </c>
      <c r="Z3" s="21">
        <f t="shared" ref="Z3:Z66" si="20">O3*Y3</f>
        <v>0</v>
      </c>
      <c r="AA3" s="21">
        <v>0</v>
      </c>
      <c r="AB3" s="21">
        <f t="shared" si="5"/>
        <v>0</v>
      </c>
      <c r="AC3" s="22">
        <f t="shared" si="6"/>
        <v>0</v>
      </c>
      <c r="AD3" s="23">
        <f t="shared" si="7"/>
        <v>6470.2000000000007</v>
      </c>
      <c r="AE3" s="24">
        <f t="shared" si="8"/>
        <v>5384.6153846153848</v>
      </c>
      <c r="AF3" s="24">
        <f t="shared" si="9"/>
        <v>592.30769230769238</v>
      </c>
      <c r="AG3" s="25">
        <v>1666.6666666666699</v>
      </c>
      <c r="AH3" s="25">
        <f t="shared" si="10"/>
        <v>50534.707692307667</v>
      </c>
      <c r="AI3" s="25">
        <f t="shared" si="11"/>
        <v>87.789230769230571</v>
      </c>
      <c r="AJ3" s="24">
        <f t="shared" si="12"/>
        <v>3.2351000000000005</v>
      </c>
      <c r="AK3" s="23">
        <f t="shared" si="13"/>
        <v>5786.8679769230775</v>
      </c>
      <c r="AL3" s="24">
        <v>0</v>
      </c>
      <c r="AM3" s="23">
        <f t="shared" si="14"/>
        <v>5786.8679769230775</v>
      </c>
      <c r="AN3" s="25">
        <f t="shared" si="15"/>
        <v>1009.6153846153846</v>
      </c>
      <c r="AO3" s="45"/>
      <c r="AP3" s="27">
        <f t="shared" ref="AP3:AP58" si="21">AD3+AN3</f>
        <v>7479.8153846153855</v>
      </c>
    </row>
    <row r="4" spans="1:42" x14ac:dyDescent="0.35">
      <c r="A4" s="11" t="s">
        <v>66</v>
      </c>
      <c r="B4" s="12" t="s">
        <v>71</v>
      </c>
      <c r="C4" s="31">
        <v>30103061301281</v>
      </c>
      <c r="D4" s="43" t="s">
        <v>291</v>
      </c>
      <c r="E4" s="31" t="s">
        <v>44</v>
      </c>
      <c r="F4" s="29" t="s">
        <v>181</v>
      </c>
      <c r="G4" s="16" t="s">
        <v>70</v>
      </c>
      <c r="H4" s="17">
        <v>4000</v>
      </c>
      <c r="I4" s="17">
        <v>3000</v>
      </c>
      <c r="J4" s="17">
        <v>0</v>
      </c>
      <c r="K4" s="18">
        <v>1</v>
      </c>
      <c r="L4" s="17">
        <f t="shared" si="0"/>
        <v>3000</v>
      </c>
      <c r="M4" s="17">
        <f t="shared" si="1"/>
        <v>30</v>
      </c>
      <c r="N4" s="44">
        <v>0</v>
      </c>
      <c r="O4" s="19">
        <f t="shared" si="16"/>
        <v>133.33333333333334</v>
      </c>
      <c r="P4" s="19">
        <f t="shared" si="17"/>
        <v>115.38461538461539</v>
      </c>
      <c r="Q4" s="19">
        <f t="shared" si="2"/>
        <v>248.71794871794873</v>
      </c>
      <c r="R4" s="19">
        <f t="shared" si="3"/>
        <v>16.666666666666668</v>
      </c>
      <c r="S4" s="17">
        <v>0</v>
      </c>
      <c r="T4" s="17">
        <f t="shared" si="4"/>
        <v>0</v>
      </c>
      <c r="U4" s="17">
        <v>0</v>
      </c>
      <c r="V4" s="20">
        <f t="shared" si="18"/>
        <v>7000</v>
      </c>
      <c r="W4" s="21">
        <v>0</v>
      </c>
      <c r="X4" s="21">
        <f t="shared" si="19"/>
        <v>0</v>
      </c>
      <c r="Y4" s="21">
        <v>0</v>
      </c>
      <c r="Z4" s="21">
        <f t="shared" si="20"/>
        <v>0</v>
      </c>
      <c r="AA4" s="21">
        <v>0</v>
      </c>
      <c r="AB4" s="21">
        <f t="shared" si="5"/>
        <v>0</v>
      </c>
      <c r="AC4" s="22">
        <f t="shared" si="6"/>
        <v>0</v>
      </c>
      <c r="AD4" s="23">
        <f t="shared" si="7"/>
        <v>7000</v>
      </c>
      <c r="AE4" s="24">
        <f t="shared" si="8"/>
        <v>5384.6153846153848</v>
      </c>
      <c r="AF4" s="24">
        <f t="shared" si="9"/>
        <v>592.30769230769238</v>
      </c>
      <c r="AG4" s="25">
        <v>1666.6666666666699</v>
      </c>
      <c r="AH4" s="25">
        <f t="shared" si="10"/>
        <v>56892.307692307659</v>
      </c>
      <c r="AI4" s="25">
        <f t="shared" si="11"/>
        <v>148.65384615384573</v>
      </c>
      <c r="AJ4" s="24">
        <f t="shared" si="12"/>
        <v>3.5</v>
      </c>
      <c r="AK4" s="23">
        <f t="shared" si="13"/>
        <v>6255.5384615384619</v>
      </c>
      <c r="AL4" s="24">
        <v>0</v>
      </c>
      <c r="AM4" s="23">
        <f t="shared" si="14"/>
        <v>6255.5384615384619</v>
      </c>
      <c r="AN4" s="25">
        <f t="shared" si="15"/>
        <v>1009.6153846153846</v>
      </c>
      <c r="AO4" s="45"/>
      <c r="AP4" s="27">
        <f t="shared" si="21"/>
        <v>8009.6153846153848</v>
      </c>
    </row>
    <row r="5" spans="1:42" x14ac:dyDescent="0.35">
      <c r="A5" s="11" t="s">
        <v>66</v>
      </c>
      <c r="B5" s="12" t="s">
        <v>72</v>
      </c>
      <c r="C5" s="31">
        <v>30103011212687</v>
      </c>
      <c r="D5" s="43" t="s">
        <v>292</v>
      </c>
      <c r="E5" s="31" t="s">
        <v>44</v>
      </c>
      <c r="F5" s="29" t="s">
        <v>182</v>
      </c>
      <c r="G5" s="16" t="s">
        <v>70</v>
      </c>
      <c r="H5" s="17">
        <v>4000</v>
      </c>
      <c r="I5" s="17">
        <v>3000</v>
      </c>
      <c r="J5" s="17">
        <v>0</v>
      </c>
      <c r="K5" s="18">
        <v>1.4750999999999999</v>
      </c>
      <c r="L5" s="17">
        <f t="shared" si="0"/>
        <v>4425.2999999999993</v>
      </c>
      <c r="M5" s="17">
        <f t="shared" si="1"/>
        <v>30</v>
      </c>
      <c r="N5" s="44">
        <v>0</v>
      </c>
      <c r="O5" s="19">
        <f t="shared" si="16"/>
        <v>133.33333333333334</v>
      </c>
      <c r="P5" s="19">
        <f t="shared" si="17"/>
        <v>170.20384615384611</v>
      </c>
      <c r="Q5" s="19">
        <f t="shared" si="2"/>
        <v>303.53717948717946</v>
      </c>
      <c r="R5" s="19">
        <f t="shared" si="3"/>
        <v>16.666666666666668</v>
      </c>
      <c r="S5" s="17">
        <v>0</v>
      </c>
      <c r="T5" s="17">
        <f t="shared" si="4"/>
        <v>0</v>
      </c>
      <c r="U5" s="17">
        <v>0</v>
      </c>
      <c r="V5" s="20">
        <f t="shared" si="18"/>
        <v>8425.2999999999993</v>
      </c>
      <c r="W5" s="21">
        <v>0</v>
      </c>
      <c r="X5" s="21">
        <f t="shared" si="19"/>
        <v>0</v>
      </c>
      <c r="Y5" s="21">
        <v>0</v>
      </c>
      <c r="Z5" s="21">
        <f t="shared" si="20"/>
        <v>0</v>
      </c>
      <c r="AA5" s="21">
        <v>0</v>
      </c>
      <c r="AB5" s="21">
        <f t="shared" si="5"/>
        <v>0</v>
      </c>
      <c r="AC5" s="22">
        <f t="shared" si="6"/>
        <v>0</v>
      </c>
      <c r="AD5" s="23">
        <f t="shared" si="7"/>
        <v>8425.2999999999993</v>
      </c>
      <c r="AE5" s="24">
        <f t="shared" si="8"/>
        <v>5384.6153846153848</v>
      </c>
      <c r="AF5" s="24">
        <f t="shared" si="9"/>
        <v>592.30769230769238</v>
      </c>
      <c r="AG5" s="25">
        <v>1666.6666666666699</v>
      </c>
      <c r="AH5" s="25">
        <f t="shared" si="10"/>
        <v>73995.90769230765</v>
      </c>
      <c r="AI5" s="25">
        <f t="shared" si="11"/>
        <v>379.09846153846087</v>
      </c>
      <c r="AJ5" s="24">
        <f t="shared" si="12"/>
        <v>4.21265</v>
      </c>
      <c r="AK5" s="23">
        <f t="shared" si="13"/>
        <v>7449.681196153846</v>
      </c>
      <c r="AL5" s="24">
        <v>0</v>
      </c>
      <c r="AM5" s="23">
        <f t="shared" si="14"/>
        <v>7449.681196153846</v>
      </c>
      <c r="AN5" s="25">
        <f t="shared" si="15"/>
        <v>1009.6153846153846</v>
      </c>
      <c r="AO5" s="45"/>
      <c r="AP5" s="27">
        <f t="shared" si="21"/>
        <v>9434.915384615384</v>
      </c>
    </row>
    <row r="6" spans="1:42" x14ac:dyDescent="0.35">
      <c r="A6" s="11" t="s">
        <v>66</v>
      </c>
      <c r="B6" s="12" t="s">
        <v>73</v>
      </c>
      <c r="C6" s="31">
        <v>28804151300968</v>
      </c>
      <c r="D6" s="43" t="s">
        <v>293</v>
      </c>
      <c r="E6" s="31" t="s">
        <v>44</v>
      </c>
      <c r="F6" s="29" t="s">
        <v>183</v>
      </c>
      <c r="G6" s="16" t="s">
        <v>70</v>
      </c>
      <c r="H6" s="17">
        <v>4000</v>
      </c>
      <c r="I6" s="17">
        <v>3000</v>
      </c>
      <c r="J6" s="17">
        <v>0</v>
      </c>
      <c r="K6" s="18">
        <v>1.2161999999999999</v>
      </c>
      <c r="L6" s="17">
        <f t="shared" si="0"/>
        <v>3648.6</v>
      </c>
      <c r="M6" s="17">
        <f t="shared" si="1"/>
        <v>30</v>
      </c>
      <c r="N6" s="44">
        <v>0</v>
      </c>
      <c r="O6" s="19">
        <f t="shared" si="16"/>
        <v>133.33333333333334</v>
      </c>
      <c r="P6" s="19">
        <f t="shared" si="17"/>
        <v>140.33076923076922</v>
      </c>
      <c r="Q6" s="19">
        <f t="shared" si="2"/>
        <v>273.66410256410256</v>
      </c>
      <c r="R6" s="19">
        <f t="shared" si="3"/>
        <v>16.666666666666668</v>
      </c>
      <c r="S6" s="17">
        <v>0</v>
      </c>
      <c r="T6" s="17">
        <f t="shared" si="4"/>
        <v>0</v>
      </c>
      <c r="U6" s="17">
        <v>0</v>
      </c>
      <c r="V6" s="20">
        <f t="shared" si="18"/>
        <v>7648.6</v>
      </c>
      <c r="W6" s="21">
        <v>0</v>
      </c>
      <c r="X6" s="21">
        <f t="shared" si="19"/>
        <v>0</v>
      </c>
      <c r="Y6" s="21">
        <v>0</v>
      </c>
      <c r="Z6" s="21">
        <f t="shared" si="20"/>
        <v>0</v>
      </c>
      <c r="AA6" s="21">
        <v>0</v>
      </c>
      <c r="AB6" s="21">
        <f t="shared" si="5"/>
        <v>0</v>
      </c>
      <c r="AC6" s="22">
        <f t="shared" si="6"/>
        <v>0</v>
      </c>
      <c r="AD6" s="23">
        <f t="shared" si="7"/>
        <v>7648.6</v>
      </c>
      <c r="AE6" s="24">
        <f t="shared" si="8"/>
        <v>5384.6153846153848</v>
      </c>
      <c r="AF6" s="24">
        <f t="shared" si="9"/>
        <v>592.30769230769238</v>
      </c>
      <c r="AG6" s="25">
        <v>1666.6666666666699</v>
      </c>
      <c r="AH6" s="25">
        <f t="shared" si="10"/>
        <v>64675.507692307656</v>
      </c>
      <c r="AI6" s="25">
        <f t="shared" si="11"/>
        <v>245.9438461538457</v>
      </c>
      <c r="AJ6" s="24">
        <f t="shared" si="12"/>
        <v>3.8243000000000005</v>
      </c>
      <c r="AK6" s="23">
        <f t="shared" si="13"/>
        <v>6806.5241615384621</v>
      </c>
      <c r="AL6" s="24">
        <v>0</v>
      </c>
      <c r="AM6" s="23">
        <f t="shared" si="14"/>
        <v>6806.5241615384621</v>
      </c>
      <c r="AN6" s="25">
        <f t="shared" si="15"/>
        <v>1009.6153846153846</v>
      </c>
      <c r="AO6" s="45"/>
      <c r="AP6" s="27">
        <f t="shared" si="21"/>
        <v>8658.2153846153851</v>
      </c>
    </row>
    <row r="7" spans="1:42" x14ac:dyDescent="0.35">
      <c r="A7" s="11" t="s">
        <v>66</v>
      </c>
      <c r="B7" s="12" t="s">
        <v>74</v>
      </c>
      <c r="C7" s="31">
        <v>29809201900436</v>
      </c>
      <c r="D7" s="43" t="s">
        <v>294</v>
      </c>
      <c r="E7" s="31" t="s">
        <v>44</v>
      </c>
      <c r="F7" s="29" t="s">
        <v>184</v>
      </c>
      <c r="G7" s="16" t="s">
        <v>70</v>
      </c>
      <c r="H7" s="17">
        <v>4000</v>
      </c>
      <c r="I7" s="17">
        <v>3000</v>
      </c>
      <c r="J7" s="17">
        <v>0</v>
      </c>
      <c r="K7" s="18">
        <v>1.9132</v>
      </c>
      <c r="L7" s="17">
        <f t="shared" si="0"/>
        <v>5739.6</v>
      </c>
      <c r="M7" s="17">
        <f t="shared" si="1"/>
        <v>30</v>
      </c>
      <c r="N7" s="44">
        <v>0</v>
      </c>
      <c r="O7" s="19">
        <f t="shared" si="16"/>
        <v>133.33333333333334</v>
      </c>
      <c r="P7" s="19">
        <f t="shared" si="17"/>
        <v>220.75384615384615</v>
      </c>
      <c r="Q7" s="19">
        <f t="shared" si="2"/>
        <v>354.08717948717947</v>
      </c>
      <c r="R7" s="19">
        <f t="shared" si="3"/>
        <v>16.666666666666668</v>
      </c>
      <c r="S7" s="17">
        <v>0</v>
      </c>
      <c r="T7" s="17">
        <f t="shared" si="4"/>
        <v>0</v>
      </c>
      <c r="U7" s="17">
        <v>0</v>
      </c>
      <c r="V7" s="20">
        <f t="shared" si="18"/>
        <v>9739.6</v>
      </c>
      <c r="W7" s="21">
        <v>0</v>
      </c>
      <c r="X7" s="21">
        <f t="shared" si="19"/>
        <v>0</v>
      </c>
      <c r="Y7" s="21">
        <v>0</v>
      </c>
      <c r="Z7" s="21">
        <f t="shared" si="20"/>
        <v>0</v>
      </c>
      <c r="AA7" s="21">
        <v>0</v>
      </c>
      <c r="AB7" s="21">
        <f t="shared" si="5"/>
        <v>0</v>
      </c>
      <c r="AC7" s="22">
        <f t="shared" si="6"/>
        <v>0</v>
      </c>
      <c r="AD7" s="23">
        <f t="shared" si="7"/>
        <v>9739.6</v>
      </c>
      <c r="AE7" s="24">
        <f t="shared" si="8"/>
        <v>5384.6153846153848</v>
      </c>
      <c r="AF7" s="24">
        <f t="shared" si="9"/>
        <v>592.30769230769238</v>
      </c>
      <c r="AG7" s="25">
        <v>1666.6666666666699</v>
      </c>
      <c r="AH7" s="25">
        <f t="shared" si="10"/>
        <v>89767.507692307641</v>
      </c>
      <c r="AI7" s="25">
        <f t="shared" si="11"/>
        <v>641.95846153846071</v>
      </c>
      <c r="AJ7" s="24">
        <f t="shared" si="12"/>
        <v>4.8698000000000006</v>
      </c>
      <c r="AK7" s="23">
        <f t="shared" si="13"/>
        <v>8500.4640461538456</v>
      </c>
      <c r="AL7" s="24">
        <v>0</v>
      </c>
      <c r="AM7" s="23">
        <f t="shared" si="14"/>
        <v>8500.4640461538456</v>
      </c>
      <c r="AN7" s="25">
        <f t="shared" si="15"/>
        <v>1009.6153846153846</v>
      </c>
      <c r="AO7" s="45"/>
      <c r="AP7" s="27">
        <f t="shared" si="21"/>
        <v>10749.215384615385</v>
      </c>
    </row>
    <row r="8" spans="1:42" x14ac:dyDescent="0.35">
      <c r="A8" s="11" t="s">
        <v>66</v>
      </c>
      <c r="B8" s="12" t="s">
        <v>75</v>
      </c>
      <c r="C8" s="31">
        <v>30309041301029</v>
      </c>
      <c r="D8" s="43" t="s">
        <v>295</v>
      </c>
      <c r="E8" s="31" t="s">
        <v>44</v>
      </c>
      <c r="F8" s="14" t="s">
        <v>185</v>
      </c>
      <c r="G8" s="16" t="s">
        <v>70</v>
      </c>
      <c r="H8" s="17">
        <v>4000</v>
      </c>
      <c r="I8" s="17">
        <v>3000</v>
      </c>
      <c r="J8" s="17">
        <v>0</v>
      </c>
      <c r="K8" s="18">
        <v>1.1123000000000001</v>
      </c>
      <c r="L8" s="17">
        <f t="shared" si="0"/>
        <v>3336.9</v>
      </c>
      <c r="M8" s="17">
        <f t="shared" si="1"/>
        <v>30</v>
      </c>
      <c r="N8" s="44">
        <v>0</v>
      </c>
      <c r="O8" s="19">
        <f t="shared" si="16"/>
        <v>133.33333333333334</v>
      </c>
      <c r="P8" s="19">
        <f t="shared" si="17"/>
        <v>128.34230769230768</v>
      </c>
      <c r="Q8" s="19">
        <f t="shared" si="2"/>
        <v>261.67564102564103</v>
      </c>
      <c r="R8" s="19">
        <f t="shared" si="3"/>
        <v>16.666666666666668</v>
      </c>
      <c r="S8" s="17">
        <v>0</v>
      </c>
      <c r="T8" s="17">
        <f t="shared" si="4"/>
        <v>0</v>
      </c>
      <c r="U8" s="17">
        <v>0</v>
      </c>
      <c r="V8" s="20">
        <f t="shared" si="18"/>
        <v>7336.9</v>
      </c>
      <c r="W8" s="21">
        <v>0</v>
      </c>
      <c r="X8" s="21">
        <f t="shared" si="19"/>
        <v>0</v>
      </c>
      <c r="Y8" s="21">
        <v>0</v>
      </c>
      <c r="Z8" s="21">
        <f t="shared" si="20"/>
        <v>0</v>
      </c>
      <c r="AA8" s="21">
        <v>0</v>
      </c>
      <c r="AB8" s="21">
        <f t="shared" si="5"/>
        <v>0</v>
      </c>
      <c r="AC8" s="22">
        <f t="shared" si="6"/>
        <v>0</v>
      </c>
      <c r="AD8" s="23">
        <f t="shared" si="7"/>
        <v>7336.9</v>
      </c>
      <c r="AE8" s="24">
        <f t="shared" si="8"/>
        <v>5384.6153846153848</v>
      </c>
      <c r="AF8" s="24">
        <f t="shared" si="9"/>
        <v>592.30769230769238</v>
      </c>
      <c r="AG8" s="25">
        <v>1666.6666666666667</v>
      </c>
      <c r="AH8" s="25">
        <f t="shared" si="10"/>
        <v>60935.107692307683</v>
      </c>
      <c r="AI8" s="25">
        <f t="shared" si="11"/>
        <v>199.18884615384604</v>
      </c>
      <c r="AJ8" s="24">
        <f t="shared" si="12"/>
        <v>3.66845</v>
      </c>
      <c r="AK8" s="23">
        <f t="shared" si="13"/>
        <v>6541.7350115384606</v>
      </c>
      <c r="AL8" s="24">
        <v>0</v>
      </c>
      <c r="AM8" s="23">
        <f t="shared" si="14"/>
        <v>6541.7350115384606</v>
      </c>
      <c r="AN8" s="25">
        <f t="shared" si="15"/>
        <v>1009.6153846153846</v>
      </c>
      <c r="AO8" s="45"/>
      <c r="AP8" s="27">
        <f t="shared" si="21"/>
        <v>8346.5153846153844</v>
      </c>
    </row>
    <row r="9" spans="1:42" x14ac:dyDescent="0.35">
      <c r="A9" s="11" t="s">
        <v>66</v>
      </c>
      <c r="B9" s="12" t="s">
        <v>76</v>
      </c>
      <c r="C9" s="31">
        <v>30308151400689</v>
      </c>
      <c r="D9" s="43" t="s">
        <v>296</v>
      </c>
      <c r="E9" s="31" t="s">
        <v>44</v>
      </c>
      <c r="F9" s="29" t="s">
        <v>186</v>
      </c>
      <c r="G9" s="16" t="s">
        <v>70</v>
      </c>
      <c r="H9" s="17">
        <v>4000</v>
      </c>
      <c r="I9" s="17">
        <v>3000</v>
      </c>
      <c r="J9" s="17">
        <v>0</v>
      </c>
      <c r="K9" s="18">
        <v>1.0983000000000001</v>
      </c>
      <c r="L9" s="17">
        <f t="shared" si="0"/>
        <v>3294.9</v>
      </c>
      <c r="M9" s="17">
        <f t="shared" si="1"/>
        <v>30</v>
      </c>
      <c r="N9" s="44">
        <v>0</v>
      </c>
      <c r="O9" s="19">
        <f t="shared" si="16"/>
        <v>133.33333333333334</v>
      </c>
      <c r="P9" s="19">
        <f t="shared" si="17"/>
        <v>126.72692307692309</v>
      </c>
      <c r="Q9" s="19">
        <f t="shared" si="2"/>
        <v>260.06025641025644</v>
      </c>
      <c r="R9" s="19">
        <f t="shared" si="3"/>
        <v>16.666666666666668</v>
      </c>
      <c r="S9" s="17">
        <v>0</v>
      </c>
      <c r="T9" s="17">
        <f t="shared" si="4"/>
        <v>0</v>
      </c>
      <c r="U9" s="17">
        <v>0</v>
      </c>
      <c r="V9" s="20">
        <f t="shared" si="18"/>
        <v>7294.9</v>
      </c>
      <c r="W9" s="21">
        <v>0</v>
      </c>
      <c r="X9" s="21">
        <f t="shared" si="19"/>
        <v>0</v>
      </c>
      <c r="Y9" s="21">
        <v>0</v>
      </c>
      <c r="Z9" s="21">
        <f t="shared" si="20"/>
        <v>0</v>
      </c>
      <c r="AA9" s="21">
        <v>0</v>
      </c>
      <c r="AB9" s="21">
        <f t="shared" si="5"/>
        <v>0</v>
      </c>
      <c r="AC9" s="22">
        <f t="shared" si="6"/>
        <v>0</v>
      </c>
      <c r="AD9" s="23">
        <f t="shared" si="7"/>
        <v>7294.9</v>
      </c>
      <c r="AE9" s="24">
        <f t="shared" si="8"/>
        <v>5384.6153846153848</v>
      </c>
      <c r="AF9" s="24">
        <f t="shared" si="9"/>
        <v>592.30769230769238</v>
      </c>
      <c r="AG9" s="25">
        <v>1666.6666666666699</v>
      </c>
      <c r="AH9" s="25">
        <f t="shared" si="10"/>
        <v>60431.107692307647</v>
      </c>
      <c r="AI9" s="25">
        <f t="shared" si="11"/>
        <v>192.88884615384561</v>
      </c>
      <c r="AJ9" s="24">
        <f t="shared" si="12"/>
        <v>3.6474500000000001</v>
      </c>
      <c r="AK9" s="23">
        <f t="shared" si="13"/>
        <v>6506.0560115384615</v>
      </c>
      <c r="AL9" s="24">
        <v>0</v>
      </c>
      <c r="AM9" s="23">
        <f t="shared" si="14"/>
        <v>6506.0560115384615</v>
      </c>
      <c r="AN9" s="25">
        <f t="shared" si="15"/>
        <v>1009.6153846153846</v>
      </c>
      <c r="AO9" s="45"/>
      <c r="AP9" s="27">
        <f t="shared" si="21"/>
        <v>8304.5153846153844</v>
      </c>
    </row>
    <row r="10" spans="1:42" x14ac:dyDescent="0.35">
      <c r="A10" s="11" t="s">
        <v>66</v>
      </c>
      <c r="B10" s="12" t="s">
        <v>77</v>
      </c>
      <c r="C10" s="31">
        <v>30404132200783</v>
      </c>
      <c r="D10" s="43" t="s">
        <v>297</v>
      </c>
      <c r="E10" s="31" t="s">
        <v>44</v>
      </c>
      <c r="F10" s="29" t="s">
        <v>187</v>
      </c>
      <c r="G10" s="16" t="s">
        <v>70</v>
      </c>
      <c r="H10" s="17">
        <v>4000</v>
      </c>
      <c r="I10" s="17">
        <v>3000</v>
      </c>
      <c r="J10" s="17">
        <v>0</v>
      </c>
      <c r="K10" s="18">
        <v>1.2037</v>
      </c>
      <c r="L10" s="17">
        <f t="shared" si="0"/>
        <v>3611.1</v>
      </c>
      <c r="M10" s="17">
        <f t="shared" si="1"/>
        <v>30</v>
      </c>
      <c r="N10" s="44">
        <v>0</v>
      </c>
      <c r="O10" s="19">
        <f t="shared" si="16"/>
        <v>133.33333333333334</v>
      </c>
      <c r="P10" s="19">
        <f t="shared" si="17"/>
        <v>138.88846153846154</v>
      </c>
      <c r="Q10" s="19">
        <f t="shared" si="2"/>
        <v>272.22179487179488</v>
      </c>
      <c r="R10" s="19">
        <f t="shared" si="3"/>
        <v>16.666666666666668</v>
      </c>
      <c r="S10" s="17">
        <v>0</v>
      </c>
      <c r="T10" s="17">
        <f t="shared" si="4"/>
        <v>0</v>
      </c>
      <c r="U10" s="17">
        <v>0</v>
      </c>
      <c r="V10" s="20">
        <f t="shared" si="18"/>
        <v>7611.1</v>
      </c>
      <c r="W10" s="21">
        <v>0</v>
      </c>
      <c r="X10" s="21">
        <f t="shared" si="19"/>
        <v>0</v>
      </c>
      <c r="Y10" s="21">
        <v>0</v>
      </c>
      <c r="Z10" s="21">
        <f t="shared" si="20"/>
        <v>0</v>
      </c>
      <c r="AA10" s="21">
        <v>0</v>
      </c>
      <c r="AB10" s="21">
        <f t="shared" si="5"/>
        <v>0</v>
      </c>
      <c r="AC10" s="22">
        <f t="shared" si="6"/>
        <v>0</v>
      </c>
      <c r="AD10" s="23">
        <f t="shared" si="7"/>
        <v>7611.1</v>
      </c>
      <c r="AE10" s="24">
        <f t="shared" si="8"/>
        <v>5384.6153846153848</v>
      </c>
      <c r="AF10" s="24">
        <f t="shared" si="9"/>
        <v>592.30769230769238</v>
      </c>
      <c r="AG10" s="25">
        <v>1666.6666666666699</v>
      </c>
      <c r="AH10" s="25">
        <f t="shared" si="10"/>
        <v>64225.507692307656</v>
      </c>
      <c r="AI10" s="25">
        <f t="shared" si="11"/>
        <v>240.3188461538457</v>
      </c>
      <c r="AJ10" s="24">
        <f t="shared" si="12"/>
        <v>3.8055500000000002</v>
      </c>
      <c r="AK10" s="23">
        <f t="shared" si="13"/>
        <v>6774.6679115384622</v>
      </c>
      <c r="AL10" s="24">
        <v>0</v>
      </c>
      <c r="AM10" s="23">
        <f t="shared" si="14"/>
        <v>6774.6679115384622</v>
      </c>
      <c r="AN10" s="25">
        <f t="shared" si="15"/>
        <v>1009.6153846153846</v>
      </c>
      <c r="AO10" s="45"/>
      <c r="AP10" s="27">
        <f t="shared" si="21"/>
        <v>8620.7153846153851</v>
      </c>
    </row>
    <row r="11" spans="1:42" x14ac:dyDescent="0.35">
      <c r="A11" s="11" t="s">
        <v>66</v>
      </c>
      <c r="B11" s="12" t="s">
        <v>78</v>
      </c>
      <c r="C11" s="31">
        <v>30406291900047</v>
      </c>
      <c r="D11" s="43" t="s">
        <v>298</v>
      </c>
      <c r="E11" s="31" t="s">
        <v>44</v>
      </c>
      <c r="F11" s="29" t="s">
        <v>188</v>
      </c>
      <c r="G11" s="16" t="s">
        <v>70</v>
      </c>
      <c r="H11" s="17">
        <v>4000</v>
      </c>
      <c r="I11" s="17">
        <v>3000</v>
      </c>
      <c r="J11" s="17">
        <v>0</v>
      </c>
      <c r="K11" s="18">
        <v>1.1667000000000001</v>
      </c>
      <c r="L11" s="17">
        <f t="shared" si="0"/>
        <v>3500.1000000000004</v>
      </c>
      <c r="M11" s="17">
        <f t="shared" si="1"/>
        <v>30</v>
      </c>
      <c r="N11" s="44">
        <v>0</v>
      </c>
      <c r="O11" s="19">
        <f t="shared" si="16"/>
        <v>133.33333333333334</v>
      </c>
      <c r="P11" s="19">
        <f t="shared" si="17"/>
        <v>134.6192307692308</v>
      </c>
      <c r="Q11" s="19">
        <f t="shared" si="2"/>
        <v>267.95256410256411</v>
      </c>
      <c r="R11" s="19">
        <f t="shared" si="3"/>
        <v>16.666666666666668</v>
      </c>
      <c r="S11" s="17">
        <v>0</v>
      </c>
      <c r="T11" s="17">
        <f t="shared" si="4"/>
        <v>0</v>
      </c>
      <c r="U11" s="17">
        <v>0</v>
      </c>
      <c r="V11" s="20">
        <f t="shared" si="18"/>
        <v>7500.1</v>
      </c>
      <c r="W11" s="21">
        <v>0</v>
      </c>
      <c r="X11" s="21">
        <f t="shared" si="19"/>
        <v>0</v>
      </c>
      <c r="Y11" s="21">
        <v>0</v>
      </c>
      <c r="Z11" s="21">
        <f t="shared" si="20"/>
        <v>0</v>
      </c>
      <c r="AA11" s="21">
        <v>0</v>
      </c>
      <c r="AB11" s="21">
        <f t="shared" si="5"/>
        <v>0</v>
      </c>
      <c r="AC11" s="22">
        <f t="shared" si="6"/>
        <v>0</v>
      </c>
      <c r="AD11" s="23">
        <f t="shared" si="7"/>
        <v>7500.1</v>
      </c>
      <c r="AE11" s="24">
        <f t="shared" si="8"/>
        <v>5384.6153846153848</v>
      </c>
      <c r="AF11" s="24">
        <f t="shared" si="9"/>
        <v>592.30769230769238</v>
      </c>
      <c r="AG11" s="25">
        <v>1666.6666666666699</v>
      </c>
      <c r="AH11" s="25">
        <f t="shared" si="10"/>
        <v>62893.507692307656</v>
      </c>
      <c r="AI11" s="25">
        <f t="shared" si="11"/>
        <v>223.66884615384569</v>
      </c>
      <c r="AJ11" s="24">
        <f t="shared" si="12"/>
        <v>3.7500500000000003</v>
      </c>
      <c r="AK11" s="23">
        <f t="shared" si="13"/>
        <v>6680.3734115384623</v>
      </c>
      <c r="AL11" s="24">
        <v>0</v>
      </c>
      <c r="AM11" s="23">
        <f t="shared" si="14"/>
        <v>6680.3734115384623</v>
      </c>
      <c r="AN11" s="25">
        <f t="shared" si="15"/>
        <v>1009.6153846153846</v>
      </c>
      <c r="AO11" s="45"/>
      <c r="AP11" s="27">
        <f t="shared" si="21"/>
        <v>8509.7153846153851</v>
      </c>
    </row>
    <row r="12" spans="1:42" x14ac:dyDescent="0.35">
      <c r="A12" s="11" t="s">
        <v>66</v>
      </c>
      <c r="B12" s="12" t="s">
        <v>79</v>
      </c>
      <c r="C12" s="31">
        <v>30301011314583</v>
      </c>
      <c r="D12" s="43" t="s">
        <v>299</v>
      </c>
      <c r="E12" s="31" t="s">
        <v>44</v>
      </c>
      <c r="F12" s="29" t="s">
        <v>189</v>
      </c>
      <c r="G12" s="16" t="s">
        <v>70</v>
      </c>
      <c r="H12" s="17">
        <v>4000</v>
      </c>
      <c r="I12" s="17">
        <v>3000</v>
      </c>
      <c r="J12" s="17">
        <v>0</v>
      </c>
      <c r="K12" s="18">
        <v>0.66569999999999996</v>
      </c>
      <c r="L12" s="17">
        <f t="shared" si="0"/>
        <v>1997.1</v>
      </c>
      <c r="M12" s="17">
        <f t="shared" si="1"/>
        <v>30</v>
      </c>
      <c r="N12" s="44">
        <v>0</v>
      </c>
      <c r="O12" s="19">
        <f t="shared" si="16"/>
        <v>133.33333333333334</v>
      </c>
      <c r="P12" s="19">
        <f t="shared" si="17"/>
        <v>76.811538461538461</v>
      </c>
      <c r="Q12" s="19">
        <f t="shared" si="2"/>
        <v>210.14487179487179</v>
      </c>
      <c r="R12" s="19">
        <f t="shared" si="3"/>
        <v>16.666666666666668</v>
      </c>
      <c r="S12" s="17">
        <v>0</v>
      </c>
      <c r="T12" s="17">
        <f t="shared" si="4"/>
        <v>0</v>
      </c>
      <c r="U12" s="17">
        <v>0</v>
      </c>
      <c r="V12" s="20">
        <f t="shared" si="18"/>
        <v>5997.1</v>
      </c>
      <c r="W12" s="21">
        <v>0</v>
      </c>
      <c r="X12" s="21">
        <f t="shared" si="19"/>
        <v>0</v>
      </c>
      <c r="Y12" s="21">
        <v>0</v>
      </c>
      <c r="Z12" s="21">
        <f t="shared" si="20"/>
        <v>0</v>
      </c>
      <c r="AA12" s="21">
        <v>0</v>
      </c>
      <c r="AB12" s="21">
        <f t="shared" si="5"/>
        <v>0</v>
      </c>
      <c r="AC12" s="22">
        <f t="shared" si="6"/>
        <v>0</v>
      </c>
      <c r="AD12" s="23">
        <f t="shared" si="7"/>
        <v>5997.1</v>
      </c>
      <c r="AE12" s="24">
        <f t="shared" si="8"/>
        <v>5384.6153846153848</v>
      </c>
      <c r="AF12" s="24">
        <f t="shared" si="9"/>
        <v>592.30769230769238</v>
      </c>
      <c r="AG12" s="25">
        <v>1666.6666666666699</v>
      </c>
      <c r="AH12" s="25">
        <f t="shared" si="10"/>
        <v>44857.507692307656</v>
      </c>
      <c r="AI12" s="25">
        <f t="shared" si="11"/>
        <v>40.479230769230469</v>
      </c>
      <c r="AJ12" s="24">
        <f t="shared" si="12"/>
        <v>2.9985500000000003</v>
      </c>
      <c r="AK12" s="23">
        <f t="shared" si="13"/>
        <v>5361.3145269230772</v>
      </c>
      <c r="AL12" s="24">
        <v>0</v>
      </c>
      <c r="AM12" s="23">
        <f t="shared" si="14"/>
        <v>5361.3145269230772</v>
      </c>
      <c r="AN12" s="25">
        <f t="shared" si="15"/>
        <v>1009.6153846153846</v>
      </c>
      <c r="AO12" s="45"/>
      <c r="AP12" s="27">
        <f t="shared" si="21"/>
        <v>7006.7153846153851</v>
      </c>
    </row>
    <row r="13" spans="1:42" ht="15.65" customHeight="1" x14ac:dyDescent="0.35">
      <c r="A13" s="11" t="s">
        <v>66</v>
      </c>
      <c r="B13" s="12" t="s">
        <v>80</v>
      </c>
      <c r="C13" s="31">
        <v>29810011321101</v>
      </c>
      <c r="D13" s="43" t="s">
        <v>300</v>
      </c>
      <c r="E13" s="31" t="s">
        <v>44</v>
      </c>
      <c r="F13" s="29" t="s">
        <v>190</v>
      </c>
      <c r="G13" s="16" t="s">
        <v>70</v>
      </c>
      <c r="H13" s="17">
        <v>4000</v>
      </c>
      <c r="I13" s="17">
        <v>3000</v>
      </c>
      <c r="J13" s="17">
        <v>0</v>
      </c>
      <c r="K13" s="18">
        <v>0.68530000000000002</v>
      </c>
      <c r="L13" s="17">
        <f t="shared" si="0"/>
        <v>2055.9</v>
      </c>
      <c r="M13" s="17">
        <f t="shared" si="1"/>
        <v>30</v>
      </c>
      <c r="N13" s="44">
        <v>0</v>
      </c>
      <c r="O13" s="19">
        <f t="shared" si="16"/>
        <v>133.33333333333334</v>
      </c>
      <c r="P13" s="19">
        <f t="shared" si="17"/>
        <v>79.073076923076925</v>
      </c>
      <c r="Q13" s="19">
        <f t="shared" si="2"/>
        <v>212.40641025641025</v>
      </c>
      <c r="R13" s="19">
        <f t="shared" si="3"/>
        <v>16.666666666666668</v>
      </c>
      <c r="S13" s="17">
        <v>0</v>
      </c>
      <c r="T13" s="17">
        <f t="shared" si="4"/>
        <v>0</v>
      </c>
      <c r="U13" s="17">
        <v>0</v>
      </c>
      <c r="V13" s="20">
        <f t="shared" si="18"/>
        <v>6055.9</v>
      </c>
      <c r="W13" s="21">
        <v>0</v>
      </c>
      <c r="X13" s="21">
        <f t="shared" si="19"/>
        <v>0</v>
      </c>
      <c r="Y13" s="21">
        <v>2</v>
      </c>
      <c r="Z13" s="21">
        <f t="shared" si="20"/>
        <v>266.66666666666669</v>
      </c>
      <c r="AA13" s="21">
        <v>0</v>
      </c>
      <c r="AB13" s="21">
        <f t="shared" si="5"/>
        <v>0</v>
      </c>
      <c r="AC13" s="22">
        <f t="shared" si="6"/>
        <v>266.66666666666669</v>
      </c>
      <c r="AD13" s="23">
        <f t="shared" si="7"/>
        <v>5789.2333333333327</v>
      </c>
      <c r="AE13" s="24">
        <f t="shared" si="8"/>
        <v>5384.6153846153848</v>
      </c>
      <c r="AF13" s="24">
        <f t="shared" si="9"/>
        <v>592.30769230769238</v>
      </c>
      <c r="AG13" s="25">
        <v>1666.6666666666699</v>
      </c>
      <c r="AH13" s="25">
        <f t="shared" si="10"/>
        <v>42363.107692307647</v>
      </c>
      <c r="AI13" s="25">
        <f t="shared" si="11"/>
        <v>19.692564102563725</v>
      </c>
      <c r="AJ13" s="24">
        <f t="shared" si="12"/>
        <v>2.8946166666666664</v>
      </c>
      <c r="AK13" s="23">
        <f t="shared" si="13"/>
        <v>5174.3384602564101</v>
      </c>
      <c r="AL13" s="24">
        <v>0</v>
      </c>
      <c r="AM13" s="23">
        <f t="shared" si="14"/>
        <v>5174.3384602564101</v>
      </c>
      <c r="AN13" s="25">
        <f t="shared" si="15"/>
        <v>1009.6153846153846</v>
      </c>
      <c r="AO13" s="45"/>
      <c r="AP13" s="27">
        <f t="shared" si="21"/>
        <v>6798.8487179487174</v>
      </c>
    </row>
    <row r="14" spans="1:42" x14ac:dyDescent="0.35">
      <c r="A14" s="11" t="s">
        <v>66</v>
      </c>
      <c r="B14" s="12" t="s">
        <v>81</v>
      </c>
      <c r="C14" s="31">
        <v>30009271304244</v>
      </c>
      <c r="D14" s="43" t="s">
        <v>301</v>
      </c>
      <c r="E14" s="31" t="s">
        <v>44</v>
      </c>
      <c r="F14" s="29" t="s">
        <v>191</v>
      </c>
      <c r="G14" s="16" t="s">
        <v>70</v>
      </c>
      <c r="H14" s="17">
        <v>4000</v>
      </c>
      <c r="I14" s="17">
        <v>3000</v>
      </c>
      <c r="J14" s="17">
        <v>0</v>
      </c>
      <c r="K14" s="18">
        <v>1.2516</v>
      </c>
      <c r="L14" s="17">
        <f t="shared" si="0"/>
        <v>3754.8</v>
      </c>
      <c r="M14" s="17">
        <f t="shared" si="1"/>
        <v>30</v>
      </c>
      <c r="N14" s="44">
        <v>0</v>
      </c>
      <c r="O14" s="19">
        <f t="shared" si="16"/>
        <v>133.33333333333334</v>
      </c>
      <c r="P14" s="19">
        <f t="shared" si="17"/>
        <v>144.41538461538462</v>
      </c>
      <c r="Q14" s="19">
        <f t="shared" si="2"/>
        <v>277.74871794871797</v>
      </c>
      <c r="R14" s="19">
        <f t="shared" si="3"/>
        <v>16.666666666666668</v>
      </c>
      <c r="S14" s="17">
        <v>0</v>
      </c>
      <c r="T14" s="17">
        <f t="shared" si="4"/>
        <v>0</v>
      </c>
      <c r="U14" s="17">
        <v>0</v>
      </c>
      <c r="V14" s="20">
        <f t="shared" si="18"/>
        <v>7754.8</v>
      </c>
      <c r="W14" s="21">
        <v>0</v>
      </c>
      <c r="X14" s="21">
        <f t="shared" si="19"/>
        <v>0</v>
      </c>
      <c r="Y14" s="21">
        <v>0</v>
      </c>
      <c r="Z14" s="21">
        <f t="shared" si="20"/>
        <v>0</v>
      </c>
      <c r="AA14" s="21">
        <v>0</v>
      </c>
      <c r="AB14" s="21">
        <f t="shared" si="5"/>
        <v>0</v>
      </c>
      <c r="AC14" s="22">
        <f t="shared" si="6"/>
        <v>0</v>
      </c>
      <c r="AD14" s="23">
        <f t="shared" si="7"/>
        <v>7754.8</v>
      </c>
      <c r="AE14" s="24">
        <f t="shared" si="8"/>
        <v>5384.6153846153848</v>
      </c>
      <c r="AF14" s="24">
        <f t="shared" si="9"/>
        <v>592.30769230769238</v>
      </c>
      <c r="AG14" s="25">
        <v>1666.6666666666699</v>
      </c>
      <c r="AH14" s="25">
        <f t="shared" si="10"/>
        <v>65949.907692307665</v>
      </c>
      <c r="AI14" s="25">
        <f t="shared" si="11"/>
        <v>261.87384615384582</v>
      </c>
      <c r="AJ14" s="24">
        <f t="shared" si="12"/>
        <v>3.8774000000000002</v>
      </c>
      <c r="AK14" s="23">
        <f t="shared" si="13"/>
        <v>6896.7410615384615</v>
      </c>
      <c r="AL14" s="24">
        <v>0</v>
      </c>
      <c r="AM14" s="23">
        <f t="shared" si="14"/>
        <v>6896.7410615384615</v>
      </c>
      <c r="AN14" s="25">
        <f t="shared" si="15"/>
        <v>1009.6153846153846</v>
      </c>
      <c r="AO14" s="45"/>
      <c r="AP14" s="27">
        <f t="shared" si="21"/>
        <v>8764.415384615384</v>
      </c>
    </row>
    <row r="15" spans="1:42" x14ac:dyDescent="0.35">
      <c r="A15" s="11" t="s">
        <v>66</v>
      </c>
      <c r="B15" s="12" t="s">
        <v>82</v>
      </c>
      <c r="C15" s="31">
        <v>30406141601912</v>
      </c>
      <c r="D15" s="43" t="s">
        <v>302</v>
      </c>
      <c r="E15" s="31" t="s">
        <v>44</v>
      </c>
      <c r="F15" s="29" t="s">
        <v>192</v>
      </c>
      <c r="G15" s="16" t="s">
        <v>70</v>
      </c>
      <c r="H15" s="17">
        <v>4000</v>
      </c>
      <c r="I15" s="17">
        <v>3000</v>
      </c>
      <c r="J15" s="17">
        <v>0</v>
      </c>
      <c r="K15" s="18">
        <v>2.1269</v>
      </c>
      <c r="L15" s="17">
        <f t="shared" si="0"/>
        <v>6380.7</v>
      </c>
      <c r="M15" s="17">
        <f t="shared" si="1"/>
        <v>30</v>
      </c>
      <c r="N15" s="44">
        <v>0</v>
      </c>
      <c r="O15" s="19">
        <f t="shared" si="16"/>
        <v>133.33333333333334</v>
      </c>
      <c r="P15" s="19">
        <f t="shared" si="17"/>
        <v>245.41153846153844</v>
      </c>
      <c r="Q15" s="19">
        <f t="shared" si="2"/>
        <v>378.74487179487176</v>
      </c>
      <c r="R15" s="19">
        <f t="shared" si="3"/>
        <v>16.666666666666668</v>
      </c>
      <c r="S15" s="17">
        <v>0</v>
      </c>
      <c r="T15" s="17">
        <f t="shared" si="4"/>
        <v>0</v>
      </c>
      <c r="U15" s="17">
        <v>0</v>
      </c>
      <c r="V15" s="20">
        <f t="shared" si="18"/>
        <v>10380.700000000001</v>
      </c>
      <c r="W15" s="21">
        <v>0</v>
      </c>
      <c r="X15" s="21">
        <f t="shared" si="19"/>
        <v>0</v>
      </c>
      <c r="Y15" s="21">
        <v>0</v>
      </c>
      <c r="Z15" s="21">
        <f t="shared" si="20"/>
        <v>0</v>
      </c>
      <c r="AA15" s="21">
        <v>0</v>
      </c>
      <c r="AB15" s="21">
        <f t="shared" si="5"/>
        <v>0</v>
      </c>
      <c r="AC15" s="22">
        <f t="shared" si="6"/>
        <v>0</v>
      </c>
      <c r="AD15" s="23">
        <f t="shared" si="7"/>
        <v>10380.700000000001</v>
      </c>
      <c r="AE15" s="24">
        <f t="shared" si="8"/>
        <v>5384.6153846153848</v>
      </c>
      <c r="AF15" s="24">
        <f t="shared" si="9"/>
        <v>592.30769230769238</v>
      </c>
      <c r="AG15" s="25">
        <v>1666.6666666666699</v>
      </c>
      <c r="AH15" s="25">
        <f t="shared" si="10"/>
        <v>97460.707692307682</v>
      </c>
      <c r="AI15" s="25">
        <f t="shared" si="11"/>
        <v>770.17846153846131</v>
      </c>
      <c r="AJ15" s="24">
        <f t="shared" si="12"/>
        <v>5.1903500000000005</v>
      </c>
      <c r="AK15" s="23">
        <f t="shared" si="13"/>
        <v>9013.0234961538481</v>
      </c>
      <c r="AL15" s="24">
        <v>0</v>
      </c>
      <c r="AM15" s="23">
        <f t="shared" si="14"/>
        <v>9013.0234961538481</v>
      </c>
      <c r="AN15" s="25">
        <f t="shared" si="15"/>
        <v>1009.6153846153846</v>
      </c>
      <c r="AO15" s="45"/>
      <c r="AP15" s="27">
        <f t="shared" si="21"/>
        <v>11390.315384615385</v>
      </c>
    </row>
    <row r="16" spans="1:42" x14ac:dyDescent="0.35">
      <c r="A16" s="11" t="s">
        <v>66</v>
      </c>
      <c r="B16" s="12" t="s">
        <v>83</v>
      </c>
      <c r="C16" s="31">
        <v>29904101401664</v>
      </c>
      <c r="D16" s="43" t="s">
        <v>303</v>
      </c>
      <c r="E16" s="31" t="s">
        <v>44</v>
      </c>
      <c r="F16" s="29" t="s">
        <v>193</v>
      </c>
      <c r="G16" s="16" t="s">
        <v>70</v>
      </c>
      <c r="H16" s="17">
        <v>4000</v>
      </c>
      <c r="I16" s="17">
        <v>3000</v>
      </c>
      <c r="J16" s="17">
        <v>0</v>
      </c>
      <c r="K16" s="18">
        <v>0.82320000000000004</v>
      </c>
      <c r="L16" s="17">
        <f t="shared" si="0"/>
        <v>2469.6</v>
      </c>
      <c r="M16" s="17">
        <f t="shared" si="1"/>
        <v>30</v>
      </c>
      <c r="N16" s="44">
        <v>0</v>
      </c>
      <c r="O16" s="19">
        <f t="shared" si="16"/>
        <v>133.33333333333334</v>
      </c>
      <c r="P16" s="19">
        <f t="shared" si="17"/>
        <v>94.984615384615381</v>
      </c>
      <c r="Q16" s="19">
        <f t="shared" si="2"/>
        <v>228.31794871794872</v>
      </c>
      <c r="R16" s="19">
        <f t="shared" si="3"/>
        <v>16.666666666666668</v>
      </c>
      <c r="S16" s="17">
        <v>0</v>
      </c>
      <c r="T16" s="17">
        <f t="shared" si="4"/>
        <v>0</v>
      </c>
      <c r="U16" s="17">
        <v>0</v>
      </c>
      <c r="V16" s="20">
        <f t="shared" si="18"/>
        <v>6469.6</v>
      </c>
      <c r="W16" s="21">
        <v>0</v>
      </c>
      <c r="X16" s="21">
        <f t="shared" si="19"/>
        <v>0</v>
      </c>
      <c r="Y16" s="21">
        <v>0</v>
      </c>
      <c r="Z16" s="21">
        <f t="shared" si="20"/>
        <v>0</v>
      </c>
      <c r="AA16" s="21">
        <v>0</v>
      </c>
      <c r="AB16" s="21">
        <f t="shared" si="5"/>
        <v>0</v>
      </c>
      <c r="AC16" s="22">
        <f t="shared" si="6"/>
        <v>0</v>
      </c>
      <c r="AD16" s="23">
        <f t="shared" si="7"/>
        <v>6469.6</v>
      </c>
      <c r="AE16" s="24">
        <f t="shared" si="8"/>
        <v>5384.6153846153848</v>
      </c>
      <c r="AF16" s="24">
        <f t="shared" si="9"/>
        <v>592.30769230769238</v>
      </c>
      <c r="AG16" s="25">
        <v>1666.6666666666699</v>
      </c>
      <c r="AH16" s="25">
        <f t="shared" si="10"/>
        <v>50527.507692307656</v>
      </c>
      <c r="AI16" s="25">
        <f t="shared" si="11"/>
        <v>87.729230769230469</v>
      </c>
      <c r="AJ16" s="24">
        <f t="shared" si="12"/>
        <v>3.2348000000000003</v>
      </c>
      <c r="AK16" s="23">
        <f t="shared" si="13"/>
        <v>5786.3282769230773</v>
      </c>
      <c r="AL16" s="24">
        <v>0</v>
      </c>
      <c r="AM16" s="23">
        <f t="shared" si="14"/>
        <v>5786.3282769230773</v>
      </c>
      <c r="AN16" s="25">
        <f t="shared" si="15"/>
        <v>1009.6153846153846</v>
      </c>
      <c r="AO16" s="45"/>
      <c r="AP16" s="27">
        <f t="shared" si="21"/>
        <v>7479.2153846153851</v>
      </c>
    </row>
    <row r="17" spans="1:42" x14ac:dyDescent="0.35">
      <c r="A17" s="11" t="s">
        <v>66</v>
      </c>
      <c r="B17" s="12" t="s">
        <v>84</v>
      </c>
      <c r="C17" s="31">
        <v>30403141301367</v>
      </c>
      <c r="D17" s="43" t="s">
        <v>304</v>
      </c>
      <c r="E17" s="31" t="s">
        <v>90</v>
      </c>
      <c r="F17" s="29" t="s">
        <v>194</v>
      </c>
      <c r="G17" s="16" t="s">
        <v>70</v>
      </c>
      <c r="H17" s="17">
        <v>4000</v>
      </c>
      <c r="I17" s="17">
        <v>3000</v>
      </c>
      <c r="J17" s="17">
        <v>0</v>
      </c>
      <c r="K17" s="18">
        <v>0.84930000000000005</v>
      </c>
      <c r="L17" s="17">
        <f t="shared" si="0"/>
        <v>2547.9</v>
      </c>
      <c r="M17" s="17">
        <f t="shared" si="1"/>
        <v>30</v>
      </c>
      <c r="N17" s="44">
        <v>0</v>
      </c>
      <c r="O17" s="19">
        <f t="shared" si="16"/>
        <v>133.33333333333334</v>
      </c>
      <c r="P17" s="19">
        <f t="shared" si="17"/>
        <v>97.996153846153845</v>
      </c>
      <c r="Q17" s="19">
        <f t="shared" si="2"/>
        <v>231.32948717948719</v>
      </c>
      <c r="R17" s="19">
        <f t="shared" si="3"/>
        <v>16.666666666666668</v>
      </c>
      <c r="S17" s="17">
        <v>0</v>
      </c>
      <c r="T17" s="17">
        <f t="shared" si="4"/>
        <v>0</v>
      </c>
      <c r="U17" s="17">
        <v>0</v>
      </c>
      <c r="V17" s="20">
        <f t="shared" si="18"/>
        <v>6547.9</v>
      </c>
      <c r="W17" s="21">
        <v>0</v>
      </c>
      <c r="X17" s="21">
        <f t="shared" si="19"/>
        <v>0</v>
      </c>
      <c r="Y17" s="21">
        <v>1</v>
      </c>
      <c r="Z17" s="21">
        <f t="shared" si="20"/>
        <v>133.33333333333334</v>
      </c>
      <c r="AA17" s="21">
        <v>0</v>
      </c>
      <c r="AB17" s="21">
        <f t="shared" si="5"/>
        <v>0</v>
      </c>
      <c r="AC17" s="22">
        <f t="shared" si="6"/>
        <v>133.33333333333334</v>
      </c>
      <c r="AD17" s="23">
        <f t="shared" si="7"/>
        <v>6414.5666666666666</v>
      </c>
      <c r="AE17" s="24">
        <f t="shared" si="8"/>
        <v>5384.6153846153848</v>
      </c>
      <c r="AF17" s="24">
        <f t="shared" si="9"/>
        <v>592.30769230769238</v>
      </c>
      <c r="AG17" s="25">
        <v>1666.6666666666699</v>
      </c>
      <c r="AH17" s="25">
        <f t="shared" si="10"/>
        <v>49867.107692307654</v>
      </c>
      <c r="AI17" s="25">
        <f t="shared" si="11"/>
        <v>82.225897435897124</v>
      </c>
      <c r="AJ17" s="24">
        <f t="shared" si="12"/>
        <v>3.2072833333333333</v>
      </c>
      <c r="AK17" s="23">
        <f t="shared" si="13"/>
        <v>5736.8257935897436</v>
      </c>
      <c r="AL17" s="24">
        <v>0</v>
      </c>
      <c r="AM17" s="23">
        <f t="shared" si="14"/>
        <v>5736.8257935897436</v>
      </c>
      <c r="AN17" s="25">
        <f t="shared" si="15"/>
        <v>1009.6153846153846</v>
      </c>
      <c r="AO17" s="45"/>
      <c r="AP17" s="27">
        <f t="shared" si="21"/>
        <v>7424.1820512820514</v>
      </c>
    </row>
    <row r="18" spans="1:42" x14ac:dyDescent="0.35">
      <c r="A18" s="11" t="s">
        <v>66</v>
      </c>
      <c r="B18" s="12" t="s">
        <v>85</v>
      </c>
      <c r="C18" s="31">
        <v>30305201400147</v>
      </c>
      <c r="D18" s="43" t="s">
        <v>305</v>
      </c>
      <c r="E18" s="31" t="s">
        <v>44</v>
      </c>
      <c r="F18" s="29" t="s">
        <v>195</v>
      </c>
      <c r="G18" s="16" t="s">
        <v>70</v>
      </c>
      <c r="H18" s="17">
        <v>4000</v>
      </c>
      <c r="I18" s="17">
        <v>3000</v>
      </c>
      <c r="J18" s="17">
        <v>0</v>
      </c>
      <c r="K18" s="18">
        <v>0.98210000000000008</v>
      </c>
      <c r="L18" s="17">
        <f t="shared" si="0"/>
        <v>2946.3</v>
      </c>
      <c r="M18" s="17">
        <f t="shared" si="1"/>
        <v>30</v>
      </c>
      <c r="N18" s="44">
        <v>0</v>
      </c>
      <c r="O18" s="19">
        <f t="shared" si="16"/>
        <v>133.33333333333334</v>
      </c>
      <c r="P18" s="19">
        <f t="shared" si="17"/>
        <v>113.31923076923077</v>
      </c>
      <c r="Q18" s="19">
        <f t="shared" si="2"/>
        <v>246.6525641025641</v>
      </c>
      <c r="R18" s="19">
        <f t="shared" si="3"/>
        <v>16.666666666666668</v>
      </c>
      <c r="S18" s="17">
        <v>0</v>
      </c>
      <c r="T18" s="17">
        <f t="shared" si="4"/>
        <v>0</v>
      </c>
      <c r="U18" s="17">
        <v>0</v>
      </c>
      <c r="V18" s="20">
        <f t="shared" si="18"/>
        <v>6946.3</v>
      </c>
      <c r="W18" s="21">
        <v>0</v>
      </c>
      <c r="X18" s="21">
        <f t="shared" si="19"/>
        <v>0</v>
      </c>
      <c r="Y18" s="21">
        <v>0</v>
      </c>
      <c r="Z18" s="21">
        <f t="shared" si="20"/>
        <v>0</v>
      </c>
      <c r="AA18" s="21">
        <v>0</v>
      </c>
      <c r="AB18" s="21">
        <f t="shared" si="5"/>
        <v>0</v>
      </c>
      <c r="AC18" s="22">
        <f t="shared" si="6"/>
        <v>0</v>
      </c>
      <c r="AD18" s="23">
        <f t="shared" si="7"/>
        <v>6946.3</v>
      </c>
      <c r="AE18" s="24">
        <f t="shared" si="8"/>
        <v>5384.6153846153848</v>
      </c>
      <c r="AF18" s="24">
        <f t="shared" si="9"/>
        <v>592.30769230769238</v>
      </c>
      <c r="AG18" s="25">
        <v>1666.6666666666699</v>
      </c>
      <c r="AH18" s="25">
        <f t="shared" si="10"/>
        <v>56247.907692307657</v>
      </c>
      <c r="AI18" s="25">
        <f t="shared" si="11"/>
        <v>140.5988461538457</v>
      </c>
      <c r="AJ18" s="24">
        <f t="shared" si="12"/>
        <v>3.47315</v>
      </c>
      <c r="AK18" s="23">
        <f t="shared" si="13"/>
        <v>6209.9203115384626</v>
      </c>
      <c r="AL18" s="24">
        <v>0</v>
      </c>
      <c r="AM18" s="23">
        <f t="shared" si="14"/>
        <v>6209.9203115384626</v>
      </c>
      <c r="AN18" s="25">
        <f t="shared" si="15"/>
        <v>1009.6153846153846</v>
      </c>
      <c r="AO18" s="45"/>
      <c r="AP18" s="27">
        <f t="shared" si="21"/>
        <v>7955.9153846153849</v>
      </c>
    </row>
    <row r="19" spans="1:42" x14ac:dyDescent="0.35">
      <c r="A19" s="11" t="s">
        <v>66</v>
      </c>
      <c r="B19" s="12" t="s">
        <v>86</v>
      </c>
      <c r="C19" s="31">
        <v>29907031601309</v>
      </c>
      <c r="D19" s="43" t="s">
        <v>306</v>
      </c>
      <c r="E19" s="31" t="s">
        <v>44</v>
      </c>
      <c r="F19" s="29" t="s">
        <v>196</v>
      </c>
      <c r="G19" s="16" t="s">
        <v>70</v>
      </c>
      <c r="H19" s="17">
        <v>4000</v>
      </c>
      <c r="I19" s="17">
        <v>3000</v>
      </c>
      <c r="J19" s="17">
        <v>0</v>
      </c>
      <c r="K19" s="18">
        <v>0.91700000000000004</v>
      </c>
      <c r="L19" s="17">
        <f t="shared" si="0"/>
        <v>2751</v>
      </c>
      <c r="M19" s="17">
        <f t="shared" si="1"/>
        <v>30</v>
      </c>
      <c r="N19" s="44">
        <v>0</v>
      </c>
      <c r="O19" s="19">
        <f t="shared" si="16"/>
        <v>133.33333333333334</v>
      </c>
      <c r="P19" s="19">
        <f t="shared" si="17"/>
        <v>105.80769230769231</v>
      </c>
      <c r="Q19" s="19">
        <f t="shared" si="2"/>
        <v>239.14102564102564</v>
      </c>
      <c r="R19" s="19">
        <f t="shared" si="3"/>
        <v>16.666666666666668</v>
      </c>
      <c r="S19" s="17">
        <v>0</v>
      </c>
      <c r="T19" s="17">
        <f t="shared" si="4"/>
        <v>0</v>
      </c>
      <c r="U19" s="17">
        <v>0</v>
      </c>
      <c r="V19" s="20">
        <f t="shared" si="18"/>
        <v>6751</v>
      </c>
      <c r="W19" s="21">
        <v>0</v>
      </c>
      <c r="X19" s="21">
        <f t="shared" si="19"/>
        <v>0</v>
      </c>
      <c r="Y19" s="21">
        <v>1</v>
      </c>
      <c r="Z19" s="21">
        <f t="shared" si="20"/>
        <v>133.33333333333334</v>
      </c>
      <c r="AA19" s="21">
        <v>0</v>
      </c>
      <c r="AB19" s="21">
        <f t="shared" si="5"/>
        <v>0</v>
      </c>
      <c r="AC19" s="22">
        <f t="shared" si="6"/>
        <v>133.33333333333334</v>
      </c>
      <c r="AD19" s="23">
        <f t="shared" si="7"/>
        <v>6617.666666666667</v>
      </c>
      <c r="AE19" s="24">
        <f t="shared" si="8"/>
        <v>5384.6153846153848</v>
      </c>
      <c r="AF19" s="24">
        <f t="shared" si="9"/>
        <v>592.30769230769238</v>
      </c>
      <c r="AG19" s="25">
        <v>1666.6666666666699</v>
      </c>
      <c r="AH19" s="25">
        <f t="shared" si="10"/>
        <v>52304.307692307659</v>
      </c>
      <c r="AI19" s="25">
        <f t="shared" si="11"/>
        <v>102.53589743589716</v>
      </c>
      <c r="AJ19" s="24">
        <f t="shared" si="12"/>
        <v>3.3088333333333337</v>
      </c>
      <c r="AK19" s="23">
        <f t="shared" si="13"/>
        <v>5919.5142435897442</v>
      </c>
      <c r="AL19" s="24">
        <v>0</v>
      </c>
      <c r="AM19" s="23">
        <f t="shared" si="14"/>
        <v>5919.5142435897442</v>
      </c>
      <c r="AN19" s="25">
        <f t="shared" si="15"/>
        <v>1009.6153846153846</v>
      </c>
      <c r="AO19" s="45"/>
      <c r="AP19" s="27">
        <f t="shared" si="21"/>
        <v>7627.2820512820517</v>
      </c>
    </row>
    <row r="20" spans="1:42" x14ac:dyDescent="0.35">
      <c r="A20" s="11" t="s">
        <v>66</v>
      </c>
      <c r="B20" s="12" t="s">
        <v>87</v>
      </c>
      <c r="C20" s="31">
        <v>30510220101765</v>
      </c>
      <c r="D20" s="43" t="s">
        <v>307</v>
      </c>
      <c r="E20" s="31" t="s">
        <v>90</v>
      </c>
      <c r="F20" s="29" t="s">
        <v>197</v>
      </c>
      <c r="G20" s="16" t="s">
        <v>70</v>
      </c>
      <c r="H20" s="17">
        <v>4000</v>
      </c>
      <c r="I20" s="17">
        <v>3000</v>
      </c>
      <c r="J20" s="17">
        <v>0</v>
      </c>
      <c r="K20" s="18">
        <v>0.87120000000000009</v>
      </c>
      <c r="L20" s="17">
        <f t="shared" si="0"/>
        <v>2613.6000000000004</v>
      </c>
      <c r="M20" s="17">
        <f t="shared" si="1"/>
        <v>30</v>
      </c>
      <c r="N20" s="44">
        <v>0</v>
      </c>
      <c r="O20" s="19">
        <f t="shared" si="16"/>
        <v>133.33333333333334</v>
      </c>
      <c r="P20" s="19">
        <f t="shared" si="17"/>
        <v>100.52307692307694</v>
      </c>
      <c r="Q20" s="19">
        <f t="shared" si="2"/>
        <v>233.8564102564103</v>
      </c>
      <c r="R20" s="19">
        <f t="shared" si="3"/>
        <v>16.666666666666668</v>
      </c>
      <c r="S20" s="17">
        <v>0</v>
      </c>
      <c r="T20" s="17">
        <f t="shared" si="4"/>
        <v>0</v>
      </c>
      <c r="U20" s="17">
        <v>0</v>
      </c>
      <c r="V20" s="20">
        <f t="shared" si="18"/>
        <v>6613.6</v>
      </c>
      <c r="W20" s="21">
        <v>0</v>
      </c>
      <c r="X20" s="21">
        <f t="shared" si="19"/>
        <v>0</v>
      </c>
      <c r="Y20" s="21">
        <v>0</v>
      </c>
      <c r="Z20" s="21">
        <f t="shared" si="20"/>
        <v>0</v>
      </c>
      <c r="AA20" s="21">
        <v>0</v>
      </c>
      <c r="AB20" s="21">
        <f t="shared" si="5"/>
        <v>0</v>
      </c>
      <c r="AC20" s="22">
        <f t="shared" si="6"/>
        <v>0</v>
      </c>
      <c r="AD20" s="23">
        <f t="shared" si="7"/>
        <v>6613.6</v>
      </c>
      <c r="AE20" s="24">
        <f t="shared" si="8"/>
        <v>5384.6153846153848</v>
      </c>
      <c r="AF20" s="24">
        <f t="shared" si="9"/>
        <v>592.30769230769238</v>
      </c>
      <c r="AG20" s="25">
        <v>1666.6666666666699</v>
      </c>
      <c r="AH20" s="25">
        <f t="shared" si="10"/>
        <v>52255.507692307656</v>
      </c>
      <c r="AI20" s="25">
        <f t="shared" si="11"/>
        <v>102.12923076923046</v>
      </c>
      <c r="AJ20" s="24">
        <f t="shared" si="12"/>
        <v>3.3068000000000004</v>
      </c>
      <c r="AK20" s="23">
        <f t="shared" si="13"/>
        <v>5915.8562769230775</v>
      </c>
      <c r="AL20" s="24">
        <v>0</v>
      </c>
      <c r="AM20" s="23">
        <f t="shared" si="14"/>
        <v>5915.8562769230775</v>
      </c>
      <c r="AN20" s="25">
        <f t="shared" si="15"/>
        <v>1009.6153846153846</v>
      </c>
      <c r="AO20" s="45"/>
      <c r="AP20" s="27">
        <f t="shared" si="21"/>
        <v>7623.2153846153851</v>
      </c>
    </row>
    <row r="21" spans="1:42" x14ac:dyDescent="0.35">
      <c r="A21" s="11" t="s">
        <v>66</v>
      </c>
      <c r="B21" s="12" t="s">
        <v>88</v>
      </c>
      <c r="C21" s="31">
        <v>29901041302867</v>
      </c>
      <c r="D21" s="43" t="s">
        <v>308</v>
      </c>
      <c r="E21" s="31" t="s">
        <v>90</v>
      </c>
      <c r="F21" s="29" t="s">
        <v>198</v>
      </c>
      <c r="G21" s="16" t="s">
        <v>70</v>
      </c>
      <c r="H21" s="17">
        <v>4000</v>
      </c>
      <c r="I21" s="17">
        <v>3000</v>
      </c>
      <c r="J21" s="17">
        <v>0</v>
      </c>
      <c r="K21" s="18">
        <v>1</v>
      </c>
      <c r="L21" s="17">
        <f t="shared" si="0"/>
        <v>3000</v>
      </c>
      <c r="M21" s="17">
        <f t="shared" si="1"/>
        <v>30</v>
      </c>
      <c r="N21" s="44">
        <v>0</v>
      </c>
      <c r="O21" s="19">
        <f t="shared" si="16"/>
        <v>133.33333333333334</v>
      </c>
      <c r="P21" s="19">
        <f t="shared" si="17"/>
        <v>115.38461538461539</v>
      </c>
      <c r="Q21" s="19">
        <f t="shared" si="2"/>
        <v>248.71794871794873</v>
      </c>
      <c r="R21" s="19">
        <f t="shared" si="3"/>
        <v>16.666666666666668</v>
      </c>
      <c r="S21" s="17">
        <v>0</v>
      </c>
      <c r="T21" s="17">
        <f t="shared" si="4"/>
        <v>0</v>
      </c>
      <c r="U21" s="17">
        <v>0</v>
      </c>
      <c r="V21" s="20">
        <f t="shared" si="18"/>
        <v>7000</v>
      </c>
      <c r="W21" s="21">
        <v>0</v>
      </c>
      <c r="X21" s="21">
        <f t="shared" si="19"/>
        <v>0</v>
      </c>
      <c r="Y21" s="21">
        <v>0</v>
      </c>
      <c r="Z21" s="21">
        <f t="shared" si="20"/>
        <v>0</v>
      </c>
      <c r="AA21" s="21">
        <v>0</v>
      </c>
      <c r="AB21" s="21">
        <f t="shared" si="5"/>
        <v>0</v>
      </c>
      <c r="AC21" s="22">
        <f t="shared" si="6"/>
        <v>0</v>
      </c>
      <c r="AD21" s="23">
        <f t="shared" si="7"/>
        <v>7000</v>
      </c>
      <c r="AE21" s="24">
        <f t="shared" si="8"/>
        <v>5384.6153846153848</v>
      </c>
      <c r="AF21" s="24">
        <f t="shared" si="9"/>
        <v>592.30769230769238</v>
      </c>
      <c r="AG21" s="25">
        <v>1666.6666666666699</v>
      </c>
      <c r="AH21" s="25">
        <f t="shared" si="10"/>
        <v>56892.307692307659</v>
      </c>
      <c r="AI21" s="25">
        <f t="shared" si="11"/>
        <v>148.65384615384573</v>
      </c>
      <c r="AJ21" s="24">
        <f t="shared" si="12"/>
        <v>3.5</v>
      </c>
      <c r="AK21" s="23">
        <f t="shared" si="13"/>
        <v>6255.5384615384619</v>
      </c>
      <c r="AL21" s="24">
        <v>0</v>
      </c>
      <c r="AM21" s="23">
        <f t="shared" si="14"/>
        <v>6255.5384615384619</v>
      </c>
      <c r="AN21" s="25">
        <f t="shared" si="15"/>
        <v>1009.6153846153846</v>
      </c>
      <c r="AO21" s="45"/>
      <c r="AP21" s="27">
        <f t="shared" si="21"/>
        <v>8009.6153846153848</v>
      </c>
    </row>
    <row r="22" spans="1:42" x14ac:dyDescent="0.35">
      <c r="A22" s="11" t="s">
        <v>66</v>
      </c>
      <c r="B22" s="12" t="s">
        <v>89</v>
      </c>
      <c r="C22" s="31">
        <v>30212011314343</v>
      </c>
      <c r="D22" s="43" t="s">
        <v>309</v>
      </c>
      <c r="E22" s="31" t="s">
        <v>90</v>
      </c>
      <c r="F22" s="29" t="s">
        <v>199</v>
      </c>
      <c r="G22" s="16" t="s">
        <v>70</v>
      </c>
      <c r="H22" s="17">
        <v>4000</v>
      </c>
      <c r="I22" s="17">
        <v>3000</v>
      </c>
      <c r="J22" s="17">
        <v>0</v>
      </c>
      <c r="K22" s="18">
        <v>0.55669999999999997</v>
      </c>
      <c r="L22" s="17">
        <f t="shared" si="0"/>
        <v>1670.1</v>
      </c>
      <c r="M22" s="17">
        <f t="shared" si="1"/>
        <v>30</v>
      </c>
      <c r="N22" s="44">
        <v>0</v>
      </c>
      <c r="O22" s="19">
        <f t="shared" si="16"/>
        <v>133.33333333333334</v>
      </c>
      <c r="P22" s="19">
        <f t="shared" si="17"/>
        <v>64.234615384615381</v>
      </c>
      <c r="Q22" s="19">
        <f t="shared" si="2"/>
        <v>197.56794871794872</v>
      </c>
      <c r="R22" s="19">
        <f t="shared" si="3"/>
        <v>16.666666666666668</v>
      </c>
      <c r="S22" s="17">
        <v>0</v>
      </c>
      <c r="T22" s="17">
        <f t="shared" si="4"/>
        <v>0</v>
      </c>
      <c r="U22" s="17">
        <v>0</v>
      </c>
      <c r="V22" s="20">
        <f t="shared" si="18"/>
        <v>5670.1</v>
      </c>
      <c r="W22" s="21">
        <v>0</v>
      </c>
      <c r="X22" s="21">
        <f t="shared" si="19"/>
        <v>0</v>
      </c>
      <c r="Y22" s="21">
        <v>2</v>
      </c>
      <c r="Z22" s="21">
        <f t="shared" si="20"/>
        <v>266.66666666666669</v>
      </c>
      <c r="AA22" s="21">
        <v>0</v>
      </c>
      <c r="AB22" s="21">
        <f t="shared" si="5"/>
        <v>0</v>
      </c>
      <c r="AC22" s="22">
        <f t="shared" si="6"/>
        <v>266.66666666666669</v>
      </c>
      <c r="AD22" s="23">
        <f t="shared" si="7"/>
        <v>5403.4333333333334</v>
      </c>
      <c r="AE22" s="24">
        <f t="shared" si="8"/>
        <v>5384.6153846153848</v>
      </c>
      <c r="AF22" s="24">
        <f t="shared" si="9"/>
        <v>592.30769230769238</v>
      </c>
      <c r="AG22" s="25">
        <v>1666.6666666666699</v>
      </c>
      <c r="AH22" s="25">
        <f t="shared" si="10"/>
        <v>37733.507692307656</v>
      </c>
      <c r="AI22" s="25">
        <f t="shared" si="11"/>
        <v>0</v>
      </c>
      <c r="AJ22" s="24">
        <f t="shared" si="12"/>
        <v>2.7017166666666665</v>
      </c>
      <c r="AK22" s="23">
        <f t="shared" si="13"/>
        <v>4808.4239243589745</v>
      </c>
      <c r="AL22" s="24">
        <v>0</v>
      </c>
      <c r="AM22" s="23">
        <f t="shared" si="14"/>
        <v>4808.4239243589745</v>
      </c>
      <c r="AN22" s="25">
        <f t="shared" si="15"/>
        <v>1009.6153846153846</v>
      </c>
      <c r="AO22" s="45"/>
      <c r="AP22" s="27">
        <f t="shared" si="21"/>
        <v>6413.0487179487181</v>
      </c>
    </row>
    <row r="23" spans="1:42" x14ac:dyDescent="0.35">
      <c r="A23" s="11" t="s">
        <v>66</v>
      </c>
      <c r="B23" s="12" t="s">
        <v>91</v>
      </c>
      <c r="C23" s="31">
        <v>30402011301644</v>
      </c>
      <c r="D23" s="43" t="s">
        <v>310</v>
      </c>
      <c r="E23" s="31" t="s">
        <v>90</v>
      </c>
      <c r="F23" s="29" t="s">
        <v>200</v>
      </c>
      <c r="G23" s="16" t="s">
        <v>70</v>
      </c>
      <c r="H23" s="17">
        <v>4000</v>
      </c>
      <c r="I23" s="17">
        <v>3000</v>
      </c>
      <c r="J23" s="17">
        <v>0</v>
      </c>
      <c r="K23" s="18">
        <v>0.56159999999999999</v>
      </c>
      <c r="L23" s="17">
        <f t="shared" si="0"/>
        <v>1684.8</v>
      </c>
      <c r="M23" s="17">
        <f t="shared" si="1"/>
        <v>30</v>
      </c>
      <c r="N23" s="44">
        <v>0</v>
      </c>
      <c r="O23" s="19">
        <f t="shared" si="16"/>
        <v>133.33333333333334</v>
      </c>
      <c r="P23" s="19">
        <f t="shared" si="17"/>
        <v>64.8</v>
      </c>
      <c r="Q23" s="19">
        <f t="shared" si="2"/>
        <v>198.13333333333333</v>
      </c>
      <c r="R23" s="19">
        <f t="shared" si="3"/>
        <v>16.666666666666668</v>
      </c>
      <c r="S23" s="17">
        <v>0</v>
      </c>
      <c r="T23" s="17">
        <f t="shared" si="4"/>
        <v>0</v>
      </c>
      <c r="U23" s="17">
        <v>0</v>
      </c>
      <c r="V23" s="20">
        <f t="shared" si="18"/>
        <v>5684.8</v>
      </c>
      <c r="W23" s="21">
        <v>0</v>
      </c>
      <c r="X23" s="21">
        <f t="shared" si="19"/>
        <v>0</v>
      </c>
      <c r="Y23" s="21">
        <v>0</v>
      </c>
      <c r="Z23" s="21">
        <f t="shared" si="20"/>
        <v>0</v>
      </c>
      <c r="AA23" s="21">
        <v>0</v>
      </c>
      <c r="AB23" s="21">
        <f t="shared" si="5"/>
        <v>0</v>
      </c>
      <c r="AC23" s="22">
        <f t="shared" si="6"/>
        <v>0</v>
      </c>
      <c r="AD23" s="23">
        <f t="shared" si="7"/>
        <v>5684.8</v>
      </c>
      <c r="AE23" s="24">
        <f t="shared" si="8"/>
        <v>5384.6153846153848</v>
      </c>
      <c r="AF23" s="24">
        <f t="shared" si="9"/>
        <v>592.30769230769238</v>
      </c>
      <c r="AG23" s="25">
        <v>1666.6666666666699</v>
      </c>
      <c r="AH23" s="25">
        <f t="shared" si="10"/>
        <v>41109.907692307657</v>
      </c>
      <c r="AI23" s="25">
        <f t="shared" si="11"/>
        <v>9.2492307692304774</v>
      </c>
      <c r="AJ23" s="24">
        <f t="shared" si="12"/>
        <v>2.8424</v>
      </c>
      <c r="AK23" s="23">
        <f t="shared" si="13"/>
        <v>5080.4006769230773</v>
      </c>
      <c r="AL23" s="24">
        <v>0</v>
      </c>
      <c r="AM23" s="23">
        <f t="shared" si="14"/>
        <v>5080.4006769230773</v>
      </c>
      <c r="AN23" s="25">
        <f t="shared" si="15"/>
        <v>1009.6153846153846</v>
      </c>
      <c r="AO23" s="45"/>
      <c r="AP23" s="27">
        <f t="shared" si="21"/>
        <v>6694.4153846153849</v>
      </c>
    </row>
    <row r="24" spans="1:42" x14ac:dyDescent="0.35">
      <c r="A24" s="11" t="s">
        <v>66</v>
      </c>
      <c r="B24" s="12" t="s">
        <v>92</v>
      </c>
      <c r="C24" s="31">
        <v>29505011302266</v>
      </c>
      <c r="D24" s="43" t="s">
        <v>311</v>
      </c>
      <c r="E24" s="31" t="s">
        <v>90</v>
      </c>
      <c r="F24" s="29" t="s">
        <v>201</v>
      </c>
      <c r="G24" s="16" t="s">
        <v>70</v>
      </c>
      <c r="H24" s="17">
        <v>4000</v>
      </c>
      <c r="I24" s="17">
        <v>3000</v>
      </c>
      <c r="J24" s="17">
        <v>0</v>
      </c>
      <c r="K24" s="18">
        <v>0.6875</v>
      </c>
      <c r="L24" s="17">
        <f t="shared" si="0"/>
        <v>2062.5</v>
      </c>
      <c r="M24" s="17">
        <f t="shared" si="1"/>
        <v>30</v>
      </c>
      <c r="N24" s="44">
        <v>0</v>
      </c>
      <c r="O24" s="19">
        <f t="shared" si="16"/>
        <v>133.33333333333334</v>
      </c>
      <c r="P24" s="19">
        <f t="shared" si="17"/>
        <v>79.32692307692308</v>
      </c>
      <c r="Q24" s="19">
        <f t="shared" si="2"/>
        <v>212.66025641025641</v>
      </c>
      <c r="R24" s="19">
        <f t="shared" si="3"/>
        <v>16.666666666666668</v>
      </c>
      <c r="S24" s="17">
        <v>0</v>
      </c>
      <c r="T24" s="17">
        <f t="shared" si="4"/>
        <v>0</v>
      </c>
      <c r="U24" s="17">
        <v>0</v>
      </c>
      <c r="V24" s="20">
        <f t="shared" si="18"/>
        <v>6062.5</v>
      </c>
      <c r="W24" s="21">
        <v>0</v>
      </c>
      <c r="X24" s="21">
        <f t="shared" si="19"/>
        <v>0</v>
      </c>
      <c r="Y24" s="21">
        <v>1</v>
      </c>
      <c r="Z24" s="21">
        <f t="shared" si="20"/>
        <v>133.33333333333334</v>
      </c>
      <c r="AA24" s="21">
        <v>0</v>
      </c>
      <c r="AB24" s="21">
        <f t="shared" si="5"/>
        <v>0</v>
      </c>
      <c r="AC24" s="22">
        <f t="shared" si="6"/>
        <v>133.33333333333334</v>
      </c>
      <c r="AD24" s="23">
        <f t="shared" si="7"/>
        <v>5929.166666666667</v>
      </c>
      <c r="AE24" s="24">
        <f t="shared" si="8"/>
        <v>5384.6153846153848</v>
      </c>
      <c r="AF24" s="24">
        <f t="shared" si="9"/>
        <v>592.30769230769238</v>
      </c>
      <c r="AG24" s="25">
        <v>1666.6666666666699</v>
      </c>
      <c r="AH24" s="25">
        <f t="shared" si="10"/>
        <v>44042.307692307659</v>
      </c>
      <c r="AI24" s="25">
        <f t="shared" si="11"/>
        <v>33.685897435897154</v>
      </c>
      <c r="AJ24" s="24">
        <f t="shared" si="12"/>
        <v>2.9645833333333336</v>
      </c>
      <c r="AK24" s="23">
        <f t="shared" si="13"/>
        <v>5300.2084935897437</v>
      </c>
      <c r="AL24" s="24">
        <v>0</v>
      </c>
      <c r="AM24" s="23">
        <f t="shared" si="14"/>
        <v>5300.2084935897437</v>
      </c>
      <c r="AN24" s="25">
        <f t="shared" si="15"/>
        <v>1009.6153846153846</v>
      </c>
      <c r="AO24" s="45"/>
      <c r="AP24" s="27">
        <f t="shared" si="21"/>
        <v>6938.7820512820517</v>
      </c>
    </row>
    <row r="25" spans="1:42" x14ac:dyDescent="0.35">
      <c r="A25" s="11" t="s">
        <v>66</v>
      </c>
      <c r="B25" s="12" t="s">
        <v>93</v>
      </c>
      <c r="C25" s="31">
        <v>30012080200121</v>
      </c>
      <c r="D25" s="43" t="s">
        <v>312</v>
      </c>
      <c r="E25" s="31" t="s">
        <v>90</v>
      </c>
      <c r="F25" s="29" t="s">
        <v>202</v>
      </c>
      <c r="G25" s="16" t="s">
        <v>70</v>
      </c>
      <c r="H25" s="17">
        <v>4000</v>
      </c>
      <c r="I25" s="17">
        <v>3000</v>
      </c>
      <c r="J25" s="17">
        <v>0</v>
      </c>
      <c r="K25" s="18">
        <v>0.73870000000000002</v>
      </c>
      <c r="L25" s="17">
        <f t="shared" si="0"/>
        <v>2216.1</v>
      </c>
      <c r="M25" s="17">
        <f t="shared" si="1"/>
        <v>30</v>
      </c>
      <c r="N25" s="44">
        <v>0</v>
      </c>
      <c r="O25" s="19">
        <f t="shared" si="16"/>
        <v>133.33333333333334</v>
      </c>
      <c r="P25" s="19">
        <f t="shared" si="17"/>
        <v>85.234615384615381</v>
      </c>
      <c r="Q25" s="19">
        <f t="shared" si="2"/>
        <v>218.56794871794872</v>
      </c>
      <c r="R25" s="19">
        <f t="shared" si="3"/>
        <v>16.666666666666668</v>
      </c>
      <c r="S25" s="17">
        <v>0</v>
      </c>
      <c r="T25" s="17">
        <f t="shared" si="4"/>
        <v>0</v>
      </c>
      <c r="U25" s="17">
        <v>0</v>
      </c>
      <c r="V25" s="20">
        <f t="shared" si="18"/>
        <v>6216.1</v>
      </c>
      <c r="W25" s="21">
        <v>0</v>
      </c>
      <c r="X25" s="21">
        <f t="shared" si="19"/>
        <v>0</v>
      </c>
      <c r="Y25" s="21">
        <v>1</v>
      </c>
      <c r="Z25" s="21">
        <f t="shared" si="20"/>
        <v>133.33333333333334</v>
      </c>
      <c r="AA25" s="21">
        <v>0</v>
      </c>
      <c r="AB25" s="21">
        <f t="shared" si="5"/>
        <v>0</v>
      </c>
      <c r="AC25" s="22">
        <f t="shared" si="6"/>
        <v>133.33333333333334</v>
      </c>
      <c r="AD25" s="23">
        <f t="shared" si="7"/>
        <v>6082.7666666666673</v>
      </c>
      <c r="AE25" s="24">
        <f t="shared" si="8"/>
        <v>5384.6153846153848</v>
      </c>
      <c r="AF25" s="24">
        <f t="shared" si="9"/>
        <v>592.30769230769238</v>
      </c>
      <c r="AG25" s="25">
        <v>1666.6666666666699</v>
      </c>
      <c r="AH25" s="25">
        <f t="shared" si="10"/>
        <v>45885.507692307663</v>
      </c>
      <c r="AI25" s="25">
        <f t="shared" si="11"/>
        <v>49.045897435897196</v>
      </c>
      <c r="AJ25" s="24">
        <f t="shared" si="12"/>
        <v>3.0413833333333335</v>
      </c>
      <c r="AK25" s="23">
        <f t="shared" si="13"/>
        <v>5438.3716935897446</v>
      </c>
      <c r="AL25" s="24">
        <v>0</v>
      </c>
      <c r="AM25" s="23">
        <f t="shared" si="14"/>
        <v>5438.3716935897446</v>
      </c>
      <c r="AN25" s="25">
        <f t="shared" si="15"/>
        <v>1009.6153846153846</v>
      </c>
      <c r="AO25" s="45"/>
      <c r="AP25" s="27">
        <f t="shared" si="21"/>
        <v>7092.3820512820521</v>
      </c>
    </row>
    <row r="26" spans="1:42" x14ac:dyDescent="0.35">
      <c r="A26" s="11" t="s">
        <v>66</v>
      </c>
      <c r="B26" s="12" t="s">
        <v>94</v>
      </c>
      <c r="C26" s="31">
        <v>30304161301683</v>
      </c>
      <c r="D26" s="43" t="s">
        <v>313</v>
      </c>
      <c r="E26" s="31" t="s">
        <v>90</v>
      </c>
      <c r="F26" s="29" t="s">
        <v>203</v>
      </c>
      <c r="G26" s="16" t="s">
        <v>70</v>
      </c>
      <c r="H26" s="17">
        <v>4000</v>
      </c>
      <c r="I26" s="17">
        <v>3000</v>
      </c>
      <c r="J26" s="17">
        <v>0</v>
      </c>
      <c r="K26" s="18">
        <v>0.59670000000000001</v>
      </c>
      <c r="L26" s="17">
        <f t="shared" si="0"/>
        <v>1790.1000000000001</v>
      </c>
      <c r="M26" s="17">
        <f t="shared" si="1"/>
        <v>30</v>
      </c>
      <c r="N26" s="44">
        <v>0</v>
      </c>
      <c r="O26" s="19">
        <f t="shared" si="16"/>
        <v>133.33333333333334</v>
      </c>
      <c r="P26" s="19">
        <f t="shared" si="17"/>
        <v>68.850000000000009</v>
      </c>
      <c r="Q26" s="19">
        <f t="shared" si="2"/>
        <v>202.18333333333334</v>
      </c>
      <c r="R26" s="19">
        <f t="shared" si="3"/>
        <v>16.666666666666668</v>
      </c>
      <c r="S26" s="17">
        <v>0</v>
      </c>
      <c r="T26" s="17">
        <f t="shared" si="4"/>
        <v>0</v>
      </c>
      <c r="U26" s="17">
        <v>0</v>
      </c>
      <c r="V26" s="20">
        <f t="shared" si="18"/>
        <v>5790.1</v>
      </c>
      <c r="W26" s="21">
        <v>0</v>
      </c>
      <c r="X26" s="21">
        <f t="shared" si="19"/>
        <v>0</v>
      </c>
      <c r="Y26" s="21">
        <v>1</v>
      </c>
      <c r="Z26" s="21">
        <f t="shared" si="20"/>
        <v>133.33333333333334</v>
      </c>
      <c r="AA26" s="21">
        <v>0</v>
      </c>
      <c r="AB26" s="21">
        <f t="shared" si="5"/>
        <v>0</v>
      </c>
      <c r="AC26" s="22">
        <f t="shared" si="6"/>
        <v>133.33333333333334</v>
      </c>
      <c r="AD26" s="23">
        <f t="shared" si="7"/>
        <v>5656.7666666666673</v>
      </c>
      <c r="AE26" s="24">
        <f t="shared" si="8"/>
        <v>5384.6153846153848</v>
      </c>
      <c r="AF26" s="24">
        <f t="shared" si="9"/>
        <v>592.30769230769238</v>
      </c>
      <c r="AG26" s="25">
        <v>1666.6666666666699</v>
      </c>
      <c r="AH26" s="25">
        <f t="shared" si="10"/>
        <v>40773.507692307663</v>
      </c>
      <c r="AI26" s="25">
        <f t="shared" si="11"/>
        <v>6.4458974358971934</v>
      </c>
      <c r="AJ26" s="24">
        <f t="shared" si="12"/>
        <v>2.8283833333333339</v>
      </c>
      <c r="AK26" s="23">
        <f t="shared" si="13"/>
        <v>5055.1846935897447</v>
      </c>
      <c r="AL26" s="24">
        <v>0</v>
      </c>
      <c r="AM26" s="23">
        <f t="shared" si="14"/>
        <v>5055.1846935897447</v>
      </c>
      <c r="AN26" s="25">
        <f t="shared" si="15"/>
        <v>1009.6153846153846</v>
      </c>
      <c r="AO26" s="45"/>
      <c r="AP26" s="27">
        <f t="shared" si="21"/>
        <v>6666.3820512820521</v>
      </c>
    </row>
    <row r="27" spans="1:42" x14ac:dyDescent="0.35">
      <c r="A27" s="11" t="s">
        <v>66</v>
      </c>
      <c r="B27" s="12" t="s">
        <v>95</v>
      </c>
      <c r="C27" s="31">
        <v>30306191300803</v>
      </c>
      <c r="D27" s="43" t="s">
        <v>314</v>
      </c>
      <c r="E27" s="31" t="s">
        <v>90</v>
      </c>
      <c r="F27" s="29" t="s">
        <v>204</v>
      </c>
      <c r="G27" s="16" t="s">
        <v>70</v>
      </c>
      <c r="H27" s="17">
        <v>4000</v>
      </c>
      <c r="I27" s="17">
        <v>3000</v>
      </c>
      <c r="J27" s="17">
        <v>0</v>
      </c>
      <c r="K27" s="18">
        <v>0.58040000000000003</v>
      </c>
      <c r="L27" s="17">
        <f t="shared" si="0"/>
        <v>1741.2</v>
      </c>
      <c r="M27" s="17">
        <f t="shared" si="1"/>
        <v>30</v>
      </c>
      <c r="N27" s="44">
        <v>0</v>
      </c>
      <c r="O27" s="19">
        <f t="shared" si="16"/>
        <v>133.33333333333334</v>
      </c>
      <c r="P27" s="19">
        <f t="shared" si="17"/>
        <v>66.969230769230776</v>
      </c>
      <c r="Q27" s="19">
        <f t="shared" si="2"/>
        <v>200.30256410256413</v>
      </c>
      <c r="R27" s="19">
        <f t="shared" si="3"/>
        <v>16.666666666666668</v>
      </c>
      <c r="S27" s="17">
        <v>0</v>
      </c>
      <c r="T27" s="17">
        <f t="shared" si="4"/>
        <v>0</v>
      </c>
      <c r="U27" s="17">
        <v>0</v>
      </c>
      <c r="V27" s="20">
        <f t="shared" si="18"/>
        <v>5741.2</v>
      </c>
      <c r="W27" s="21">
        <v>0</v>
      </c>
      <c r="X27" s="21">
        <f t="shared" si="19"/>
        <v>0</v>
      </c>
      <c r="Y27" s="21">
        <v>0</v>
      </c>
      <c r="Z27" s="21">
        <f t="shared" si="20"/>
        <v>0</v>
      </c>
      <c r="AA27" s="21">
        <v>0</v>
      </c>
      <c r="AB27" s="21">
        <f t="shared" si="5"/>
        <v>0</v>
      </c>
      <c r="AC27" s="22">
        <f t="shared" si="6"/>
        <v>0</v>
      </c>
      <c r="AD27" s="23">
        <f t="shared" si="7"/>
        <v>5741.2</v>
      </c>
      <c r="AE27" s="24">
        <f t="shared" si="8"/>
        <v>5384.6153846153848</v>
      </c>
      <c r="AF27" s="24">
        <f t="shared" si="9"/>
        <v>592.30769230769238</v>
      </c>
      <c r="AG27" s="25">
        <v>1666.6666666666699</v>
      </c>
      <c r="AH27" s="25">
        <f t="shared" si="10"/>
        <v>41786.707692307653</v>
      </c>
      <c r="AI27" s="25">
        <f t="shared" si="11"/>
        <v>14.889230769230442</v>
      </c>
      <c r="AJ27" s="24">
        <f t="shared" si="12"/>
        <v>2.8706</v>
      </c>
      <c r="AK27" s="23">
        <f t="shared" si="13"/>
        <v>5131.1324769230769</v>
      </c>
      <c r="AL27" s="24">
        <v>0</v>
      </c>
      <c r="AM27" s="23">
        <f t="shared" si="14"/>
        <v>5131.1324769230769</v>
      </c>
      <c r="AN27" s="25">
        <f t="shared" si="15"/>
        <v>1009.6153846153846</v>
      </c>
      <c r="AO27" s="45"/>
      <c r="AP27" s="27">
        <f t="shared" si="21"/>
        <v>6750.8153846153846</v>
      </c>
    </row>
    <row r="28" spans="1:42" x14ac:dyDescent="0.35">
      <c r="A28" s="11" t="s">
        <v>66</v>
      </c>
      <c r="B28" s="12" t="s">
        <v>96</v>
      </c>
      <c r="C28" s="31">
        <v>30309141301603</v>
      </c>
      <c r="D28" s="43" t="s">
        <v>315</v>
      </c>
      <c r="E28" s="31" t="s">
        <v>90</v>
      </c>
      <c r="F28" s="29" t="s">
        <v>205</v>
      </c>
      <c r="G28" s="16" t="s">
        <v>70</v>
      </c>
      <c r="H28" s="17">
        <v>4000</v>
      </c>
      <c r="I28" s="17">
        <v>3000</v>
      </c>
      <c r="J28" s="17">
        <v>0</v>
      </c>
      <c r="K28" s="18">
        <v>1.0354000000000001</v>
      </c>
      <c r="L28" s="17">
        <f t="shared" si="0"/>
        <v>3106.2000000000003</v>
      </c>
      <c r="M28" s="17">
        <f t="shared" si="1"/>
        <v>30</v>
      </c>
      <c r="N28" s="44">
        <v>0</v>
      </c>
      <c r="O28" s="19">
        <f t="shared" si="16"/>
        <v>133.33333333333334</v>
      </c>
      <c r="P28" s="19">
        <f t="shared" si="17"/>
        <v>119.46923076923078</v>
      </c>
      <c r="Q28" s="19">
        <f t="shared" si="2"/>
        <v>252.80256410256413</v>
      </c>
      <c r="R28" s="19">
        <f t="shared" si="3"/>
        <v>16.666666666666668</v>
      </c>
      <c r="S28" s="17">
        <v>0</v>
      </c>
      <c r="T28" s="17">
        <f t="shared" si="4"/>
        <v>0</v>
      </c>
      <c r="U28" s="17">
        <v>0</v>
      </c>
      <c r="V28" s="20">
        <f t="shared" si="18"/>
        <v>7106.2000000000007</v>
      </c>
      <c r="W28" s="21">
        <v>0</v>
      </c>
      <c r="X28" s="21">
        <f t="shared" si="19"/>
        <v>0</v>
      </c>
      <c r="Y28" s="21">
        <v>0</v>
      </c>
      <c r="Z28" s="21">
        <f t="shared" si="20"/>
        <v>0</v>
      </c>
      <c r="AA28" s="21">
        <v>0</v>
      </c>
      <c r="AB28" s="21">
        <f t="shared" si="5"/>
        <v>0</v>
      </c>
      <c r="AC28" s="22">
        <f t="shared" si="6"/>
        <v>0</v>
      </c>
      <c r="AD28" s="23">
        <f t="shared" si="7"/>
        <v>7106.2000000000007</v>
      </c>
      <c r="AE28" s="24">
        <f t="shared" si="8"/>
        <v>5384.6153846153848</v>
      </c>
      <c r="AF28" s="24">
        <f t="shared" si="9"/>
        <v>592.30769230769238</v>
      </c>
      <c r="AG28" s="25">
        <v>1666.6666666666699</v>
      </c>
      <c r="AH28" s="25">
        <f t="shared" si="10"/>
        <v>58166.707692307667</v>
      </c>
      <c r="AI28" s="25">
        <f t="shared" si="11"/>
        <v>164.58384615384583</v>
      </c>
      <c r="AJ28" s="24">
        <f t="shared" si="12"/>
        <v>3.5531000000000006</v>
      </c>
      <c r="AK28" s="23">
        <f t="shared" si="13"/>
        <v>6345.7553615384622</v>
      </c>
      <c r="AL28" s="24">
        <v>0</v>
      </c>
      <c r="AM28" s="23">
        <f t="shared" si="14"/>
        <v>6345.7553615384622</v>
      </c>
      <c r="AN28" s="25">
        <f t="shared" si="15"/>
        <v>1009.6153846153846</v>
      </c>
      <c r="AO28" s="45"/>
      <c r="AP28" s="27">
        <f t="shared" si="21"/>
        <v>8115.8153846153855</v>
      </c>
    </row>
    <row r="29" spans="1:42" x14ac:dyDescent="0.35">
      <c r="A29" s="11" t="s">
        <v>66</v>
      </c>
      <c r="B29" s="12" t="s">
        <v>97</v>
      </c>
      <c r="C29" s="31">
        <v>30203211306028</v>
      </c>
      <c r="D29" s="43" t="s">
        <v>316</v>
      </c>
      <c r="E29" s="31" t="s">
        <v>90</v>
      </c>
      <c r="F29" s="29" t="s">
        <v>206</v>
      </c>
      <c r="G29" s="16" t="s">
        <v>70</v>
      </c>
      <c r="H29" s="17">
        <v>4000</v>
      </c>
      <c r="I29" s="17">
        <v>3000</v>
      </c>
      <c r="J29" s="17">
        <v>0</v>
      </c>
      <c r="K29" s="18">
        <v>1.2806999999999999</v>
      </c>
      <c r="L29" s="17">
        <f t="shared" si="0"/>
        <v>3842.1</v>
      </c>
      <c r="M29" s="17">
        <f t="shared" si="1"/>
        <v>30</v>
      </c>
      <c r="N29" s="44">
        <v>0</v>
      </c>
      <c r="O29" s="19">
        <f t="shared" si="16"/>
        <v>133.33333333333334</v>
      </c>
      <c r="P29" s="19">
        <f t="shared" si="17"/>
        <v>147.77307692307693</v>
      </c>
      <c r="Q29" s="19">
        <f t="shared" si="2"/>
        <v>281.1064102564103</v>
      </c>
      <c r="R29" s="19">
        <f t="shared" si="3"/>
        <v>16.666666666666668</v>
      </c>
      <c r="S29" s="17">
        <v>0</v>
      </c>
      <c r="T29" s="17">
        <f t="shared" si="4"/>
        <v>0</v>
      </c>
      <c r="U29" s="17">
        <v>0</v>
      </c>
      <c r="V29" s="20">
        <f t="shared" si="18"/>
        <v>7842.1</v>
      </c>
      <c r="W29" s="21">
        <v>0</v>
      </c>
      <c r="X29" s="21">
        <f t="shared" si="19"/>
        <v>0</v>
      </c>
      <c r="Y29" s="21">
        <v>0</v>
      </c>
      <c r="Z29" s="21">
        <f t="shared" si="20"/>
        <v>0</v>
      </c>
      <c r="AA29" s="21">
        <v>0</v>
      </c>
      <c r="AB29" s="21">
        <f t="shared" si="5"/>
        <v>0</v>
      </c>
      <c r="AC29" s="22">
        <f t="shared" si="6"/>
        <v>0</v>
      </c>
      <c r="AD29" s="23">
        <f t="shared" si="7"/>
        <v>7842.1</v>
      </c>
      <c r="AE29" s="24">
        <f t="shared" si="8"/>
        <v>5384.6153846153848</v>
      </c>
      <c r="AF29" s="24">
        <f t="shared" si="9"/>
        <v>592.30769230769238</v>
      </c>
      <c r="AG29" s="25">
        <v>1666.6666666666699</v>
      </c>
      <c r="AH29" s="25">
        <f t="shared" si="10"/>
        <v>66997.507692307656</v>
      </c>
      <c r="AI29" s="25">
        <f t="shared" si="11"/>
        <v>274.96884615384573</v>
      </c>
      <c r="AJ29" s="24">
        <f t="shared" si="12"/>
        <v>3.9210500000000001</v>
      </c>
      <c r="AK29" s="23">
        <f t="shared" si="13"/>
        <v>6970.9024115384627</v>
      </c>
      <c r="AL29" s="24">
        <v>0</v>
      </c>
      <c r="AM29" s="23">
        <f t="shared" si="14"/>
        <v>6970.9024115384627</v>
      </c>
      <c r="AN29" s="25">
        <f t="shared" si="15"/>
        <v>1009.6153846153846</v>
      </c>
      <c r="AO29" s="45"/>
      <c r="AP29" s="27">
        <f t="shared" si="21"/>
        <v>8851.7153846153851</v>
      </c>
    </row>
    <row r="30" spans="1:42" x14ac:dyDescent="0.35">
      <c r="A30" s="11" t="s">
        <v>66</v>
      </c>
      <c r="B30" s="12" t="s">
        <v>98</v>
      </c>
      <c r="C30" s="31">
        <v>30603271301252</v>
      </c>
      <c r="D30" s="43" t="s">
        <v>317</v>
      </c>
      <c r="E30" s="31" t="s">
        <v>44</v>
      </c>
      <c r="F30" s="29" t="s">
        <v>207</v>
      </c>
      <c r="G30" s="16" t="s">
        <v>70</v>
      </c>
      <c r="H30" s="17">
        <v>4000</v>
      </c>
      <c r="I30" s="17">
        <v>3000</v>
      </c>
      <c r="J30" s="17">
        <v>0</v>
      </c>
      <c r="K30" s="18">
        <v>1.1855</v>
      </c>
      <c r="L30" s="17">
        <f t="shared" si="0"/>
        <v>3556.5</v>
      </c>
      <c r="M30" s="17">
        <f t="shared" si="1"/>
        <v>30</v>
      </c>
      <c r="N30" s="44">
        <v>0</v>
      </c>
      <c r="O30" s="19">
        <f t="shared" si="16"/>
        <v>133.33333333333334</v>
      </c>
      <c r="P30" s="19">
        <f t="shared" si="17"/>
        <v>136.78846153846155</v>
      </c>
      <c r="Q30" s="19">
        <f t="shared" si="2"/>
        <v>270.12179487179492</v>
      </c>
      <c r="R30" s="19">
        <f t="shared" si="3"/>
        <v>16.666666666666668</v>
      </c>
      <c r="S30" s="17">
        <v>0</v>
      </c>
      <c r="T30" s="17">
        <f t="shared" si="4"/>
        <v>0</v>
      </c>
      <c r="U30" s="17">
        <v>0</v>
      </c>
      <c r="V30" s="20">
        <f t="shared" si="18"/>
        <v>7556.5</v>
      </c>
      <c r="W30" s="21">
        <v>0</v>
      </c>
      <c r="X30" s="21">
        <f t="shared" si="19"/>
        <v>0</v>
      </c>
      <c r="Y30" s="21">
        <v>0</v>
      </c>
      <c r="Z30" s="21">
        <f t="shared" si="20"/>
        <v>0</v>
      </c>
      <c r="AA30" s="21">
        <v>0</v>
      </c>
      <c r="AB30" s="21">
        <f t="shared" si="5"/>
        <v>0</v>
      </c>
      <c r="AC30" s="22">
        <f t="shared" si="6"/>
        <v>0</v>
      </c>
      <c r="AD30" s="23">
        <f t="shared" si="7"/>
        <v>7556.5</v>
      </c>
      <c r="AE30" s="24">
        <f t="shared" si="8"/>
        <v>5384.6153846153848</v>
      </c>
      <c r="AF30" s="24">
        <f t="shared" si="9"/>
        <v>592.30769230769238</v>
      </c>
      <c r="AG30" s="25">
        <v>1666.6666666666699</v>
      </c>
      <c r="AH30" s="25">
        <f t="shared" si="10"/>
        <v>63570.307692307659</v>
      </c>
      <c r="AI30" s="25">
        <f t="shared" si="11"/>
        <v>232.12884615384573</v>
      </c>
      <c r="AJ30" s="24">
        <f t="shared" si="12"/>
        <v>3.7782499999999999</v>
      </c>
      <c r="AK30" s="23">
        <f t="shared" si="13"/>
        <v>6728.2852115384612</v>
      </c>
      <c r="AL30" s="24">
        <v>0</v>
      </c>
      <c r="AM30" s="23">
        <f t="shared" si="14"/>
        <v>6728.2852115384612</v>
      </c>
      <c r="AN30" s="25">
        <f t="shared" si="15"/>
        <v>1009.6153846153846</v>
      </c>
      <c r="AO30" s="45"/>
      <c r="AP30" s="27">
        <f t="shared" si="21"/>
        <v>8566.1153846153848</v>
      </c>
    </row>
    <row r="31" spans="1:42" x14ac:dyDescent="0.35">
      <c r="A31" s="11" t="s">
        <v>66</v>
      </c>
      <c r="B31" s="12" t="s">
        <v>99</v>
      </c>
      <c r="C31" s="31">
        <v>29808112100381</v>
      </c>
      <c r="D31" s="43" t="s">
        <v>318</v>
      </c>
      <c r="E31" s="31" t="s">
        <v>90</v>
      </c>
      <c r="F31" s="29" t="s">
        <v>208</v>
      </c>
      <c r="G31" s="16" t="s">
        <v>70</v>
      </c>
      <c r="H31" s="17">
        <v>4000</v>
      </c>
      <c r="I31" s="17">
        <v>3000</v>
      </c>
      <c r="J31" s="17">
        <v>0</v>
      </c>
      <c r="K31" s="18">
        <v>0.44310000000000005</v>
      </c>
      <c r="L31" s="17">
        <f t="shared" si="0"/>
        <v>1329.3000000000002</v>
      </c>
      <c r="M31" s="17">
        <f t="shared" si="1"/>
        <v>30</v>
      </c>
      <c r="N31" s="44">
        <v>0</v>
      </c>
      <c r="O31" s="19">
        <f t="shared" si="16"/>
        <v>133.33333333333334</v>
      </c>
      <c r="P31" s="19">
        <f t="shared" si="17"/>
        <v>51.126923076923084</v>
      </c>
      <c r="Q31" s="19">
        <f t="shared" si="2"/>
        <v>184.46025641025642</v>
      </c>
      <c r="R31" s="19">
        <f t="shared" si="3"/>
        <v>16.666666666666668</v>
      </c>
      <c r="S31" s="17">
        <v>0</v>
      </c>
      <c r="T31" s="17">
        <f t="shared" si="4"/>
        <v>0</v>
      </c>
      <c r="U31" s="17">
        <v>0</v>
      </c>
      <c r="V31" s="20">
        <f t="shared" si="18"/>
        <v>5329.3</v>
      </c>
      <c r="W31" s="21">
        <v>0</v>
      </c>
      <c r="X31" s="21">
        <f t="shared" si="19"/>
        <v>0</v>
      </c>
      <c r="Y31" s="21">
        <v>5</v>
      </c>
      <c r="Z31" s="21">
        <f t="shared" si="20"/>
        <v>666.66666666666674</v>
      </c>
      <c r="AA31" s="21">
        <v>0</v>
      </c>
      <c r="AB31" s="21">
        <f t="shared" si="5"/>
        <v>0</v>
      </c>
      <c r="AC31" s="22">
        <f t="shared" si="6"/>
        <v>666.66666666666674</v>
      </c>
      <c r="AD31" s="23">
        <f t="shared" si="7"/>
        <v>4662.6333333333332</v>
      </c>
      <c r="AE31" s="24">
        <f t="shared" si="8"/>
        <v>5384.6153846153848</v>
      </c>
      <c r="AF31" s="24">
        <f t="shared" si="9"/>
        <v>592.30769230769238</v>
      </c>
      <c r="AG31" s="25">
        <v>1666.6666666666699</v>
      </c>
      <c r="AH31" s="25">
        <f t="shared" si="10"/>
        <v>28843.907692307654</v>
      </c>
      <c r="AI31" s="25">
        <f t="shared" si="11"/>
        <v>0</v>
      </c>
      <c r="AJ31" s="24">
        <f t="shared" si="12"/>
        <v>2.3313166666666665</v>
      </c>
      <c r="AK31" s="23">
        <f t="shared" si="13"/>
        <v>4067.9943243589742</v>
      </c>
      <c r="AL31" s="24">
        <v>0</v>
      </c>
      <c r="AM31" s="23">
        <f t="shared" si="14"/>
        <v>4067.9943243589742</v>
      </c>
      <c r="AN31" s="25">
        <f t="shared" si="15"/>
        <v>1009.6153846153846</v>
      </c>
      <c r="AO31" s="45"/>
      <c r="AP31" s="27">
        <f t="shared" si="21"/>
        <v>5672.248717948718</v>
      </c>
    </row>
    <row r="32" spans="1:42" x14ac:dyDescent="0.35">
      <c r="A32" s="11" t="s">
        <v>66</v>
      </c>
      <c r="B32" s="12" t="s">
        <v>100</v>
      </c>
      <c r="C32" s="31">
        <v>30607091601679</v>
      </c>
      <c r="D32" s="43" t="s">
        <v>319</v>
      </c>
      <c r="E32" s="31" t="s">
        <v>44</v>
      </c>
      <c r="F32" s="29" t="s">
        <v>209</v>
      </c>
      <c r="G32" s="16" t="s">
        <v>70</v>
      </c>
      <c r="H32" s="17">
        <v>4000</v>
      </c>
      <c r="I32" s="17">
        <v>3000</v>
      </c>
      <c r="J32" s="17">
        <v>0</v>
      </c>
      <c r="K32" s="18">
        <v>0.7279000000000001</v>
      </c>
      <c r="L32" s="17">
        <f t="shared" si="0"/>
        <v>2183.7000000000003</v>
      </c>
      <c r="M32" s="17">
        <f t="shared" si="1"/>
        <v>30</v>
      </c>
      <c r="N32" s="44">
        <v>0</v>
      </c>
      <c r="O32" s="19">
        <f t="shared" si="16"/>
        <v>133.33333333333334</v>
      </c>
      <c r="P32" s="19">
        <f t="shared" si="17"/>
        <v>83.98846153846155</v>
      </c>
      <c r="Q32" s="19">
        <f t="shared" si="2"/>
        <v>217.32179487179491</v>
      </c>
      <c r="R32" s="19">
        <f t="shared" si="3"/>
        <v>16.666666666666668</v>
      </c>
      <c r="S32" s="17">
        <v>0</v>
      </c>
      <c r="T32" s="17">
        <f t="shared" si="4"/>
        <v>0</v>
      </c>
      <c r="U32" s="17">
        <v>0</v>
      </c>
      <c r="V32" s="20">
        <f t="shared" si="18"/>
        <v>6183.7000000000007</v>
      </c>
      <c r="W32" s="21">
        <v>0</v>
      </c>
      <c r="X32" s="21">
        <f t="shared" si="19"/>
        <v>0</v>
      </c>
      <c r="Y32" s="21">
        <v>1</v>
      </c>
      <c r="Z32" s="21">
        <f t="shared" si="20"/>
        <v>133.33333333333334</v>
      </c>
      <c r="AA32" s="21">
        <v>0</v>
      </c>
      <c r="AB32" s="21">
        <f t="shared" si="5"/>
        <v>0</v>
      </c>
      <c r="AC32" s="22">
        <f t="shared" si="6"/>
        <v>133.33333333333334</v>
      </c>
      <c r="AD32" s="23">
        <f t="shared" si="7"/>
        <v>6050.3666666666677</v>
      </c>
      <c r="AE32" s="24">
        <f t="shared" si="8"/>
        <v>5384.6153846153848</v>
      </c>
      <c r="AF32" s="24">
        <f t="shared" si="9"/>
        <v>592.30769230769238</v>
      </c>
      <c r="AG32" s="25">
        <v>1666.6666666666699</v>
      </c>
      <c r="AH32" s="25">
        <f t="shared" si="10"/>
        <v>45496.707692307667</v>
      </c>
      <c r="AI32" s="25">
        <f t="shared" si="11"/>
        <v>45.805897435897229</v>
      </c>
      <c r="AJ32" s="24">
        <f t="shared" si="12"/>
        <v>3.025183333333334</v>
      </c>
      <c r="AK32" s="23">
        <f t="shared" si="13"/>
        <v>5409.2278935897448</v>
      </c>
      <c r="AL32" s="24">
        <v>0</v>
      </c>
      <c r="AM32" s="23">
        <f t="shared" si="14"/>
        <v>5409.2278935897448</v>
      </c>
      <c r="AN32" s="25">
        <f t="shared" si="15"/>
        <v>1009.6153846153846</v>
      </c>
      <c r="AO32" s="45"/>
      <c r="AP32" s="27">
        <f t="shared" si="21"/>
        <v>7059.9820512820525</v>
      </c>
    </row>
    <row r="33" spans="1:42" x14ac:dyDescent="0.35">
      <c r="A33" s="11" t="s">
        <v>66</v>
      </c>
      <c r="B33" s="12" t="s">
        <v>101</v>
      </c>
      <c r="C33" s="31">
        <v>30507060102629</v>
      </c>
      <c r="D33" s="43" t="s">
        <v>320</v>
      </c>
      <c r="E33" s="31" t="s">
        <v>90</v>
      </c>
      <c r="F33" s="29" t="s">
        <v>210</v>
      </c>
      <c r="G33" s="16" t="s">
        <v>70</v>
      </c>
      <c r="H33" s="17">
        <v>4000</v>
      </c>
      <c r="I33" s="17">
        <v>3000</v>
      </c>
      <c r="J33" s="17">
        <v>0</v>
      </c>
      <c r="K33" s="18">
        <v>0.65400000000000003</v>
      </c>
      <c r="L33" s="17">
        <f t="shared" si="0"/>
        <v>1962</v>
      </c>
      <c r="M33" s="17">
        <f t="shared" si="1"/>
        <v>30</v>
      </c>
      <c r="N33" s="44">
        <v>0</v>
      </c>
      <c r="O33" s="19">
        <f t="shared" si="16"/>
        <v>133.33333333333334</v>
      </c>
      <c r="P33" s="19">
        <f t="shared" si="17"/>
        <v>75.461538461538467</v>
      </c>
      <c r="Q33" s="19">
        <f t="shared" si="2"/>
        <v>208.79487179487182</v>
      </c>
      <c r="R33" s="19">
        <f t="shared" si="3"/>
        <v>16.666666666666668</v>
      </c>
      <c r="S33" s="17">
        <v>0</v>
      </c>
      <c r="T33" s="17">
        <f t="shared" si="4"/>
        <v>0</v>
      </c>
      <c r="U33" s="17">
        <v>0</v>
      </c>
      <c r="V33" s="20">
        <f t="shared" si="18"/>
        <v>5962</v>
      </c>
      <c r="W33" s="21">
        <v>0</v>
      </c>
      <c r="X33" s="21">
        <f t="shared" si="19"/>
        <v>0</v>
      </c>
      <c r="Y33" s="21">
        <v>4</v>
      </c>
      <c r="Z33" s="21">
        <f t="shared" si="20"/>
        <v>533.33333333333337</v>
      </c>
      <c r="AA33" s="21">
        <v>0</v>
      </c>
      <c r="AB33" s="21">
        <f t="shared" si="5"/>
        <v>0</v>
      </c>
      <c r="AC33" s="22">
        <f t="shared" si="6"/>
        <v>533.33333333333337</v>
      </c>
      <c r="AD33" s="23">
        <f t="shared" si="7"/>
        <v>5428.666666666667</v>
      </c>
      <c r="AE33" s="24">
        <f t="shared" si="8"/>
        <v>5384.6153846153848</v>
      </c>
      <c r="AF33" s="24">
        <f t="shared" si="9"/>
        <v>592.30769230769238</v>
      </c>
      <c r="AG33" s="25">
        <v>1666.6666666666699</v>
      </c>
      <c r="AH33" s="25">
        <f t="shared" si="10"/>
        <v>38036.307692307659</v>
      </c>
      <c r="AI33" s="25">
        <f t="shared" si="11"/>
        <v>0</v>
      </c>
      <c r="AJ33" s="24">
        <f t="shared" si="12"/>
        <v>2.7143333333333337</v>
      </c>
      <c r="AK33" s="23">
        <f t="shared" si="13"/>
        <v>4833.6446410256412</v>
      </c>
      <c r="AL33" s="24">
        <v>0</v>
      </c>
      <c r="AM33" s="23">
        <f t="shared" si="14"/>
        <v>4833.6446410256412</v>
      </c>
      <c r="AN33" s="25">
        <f t="shared" si="15"/>
        <v>1009.6153846153846</v>
      </c>
      <c r="AO33" s="45"/>
      <c r="AP33" s="27">
        <f t="shared" si="21"/>
        <v>6438.2820512820517</v>
      </c>
    </row>
    <row r="34" spans="1:42" x14ac:dyDescent="0.35">
      <c r="A34" s="11" t="s">
        <v>66</v>
      </c>
      <c r="B34" s="12" t="s">
        <v>102</v>
      </c>
      <c r="C34" s="31">
        <v>31012080105718</v>
      </c>
      <c r="D34" s="43" t="s">
        <v>376</v>
      </c>
      <c r="E34" s="31" t="s">
        <v>90</v>
      </c>
      <c r="F34" s="29" t="s">
        <v>377</v>
      </c>
      <c r="G34" s="16" t="s">
        <v>70</v>
      </c>
      <c r="H34" s="17">
        <v>4000</v>
      </c>
      <c r="I34" s="17">
        <v>3000</v>
      </c>
      <c r="J34" s="17">
        <v>0</v>
      </c>
      <c r="K34" s="18">
        <v>0.67370000000000008</v>
      </c>
      <c r="L34" s="17">
        <f t="shared" si="0"/>
        <v>2021.1000000000001</v>
      </c>
      <c r="M34" s="17">
        <f t="shared" si="1"/>
        <v>25</v>
      </c>
      <c r="N34" s="44">
        <v>0</v>
      </c>
      <c r="O34" s="19">
        <f t="shared" si="16"/>
        <v>133.33333333333334</v>
      </c>
      <c r="P34" s="19">
        <f t="shared" si="17"/>
        <v>77.734615384615395</v>
      </c>
      <c r="Q34" s="19">
        <f t="shared" si="2"/>
        <v>211.06794871794875</v>
      </c>
      <c r="R34" s="19">
        <f t="shared" si="3"/>
        <v>16.666666666666668</v>
      </c>
      <c r="S34" s="17">
        <v>0</v>
      </c>
      <c r="T34" s="17">
        <f t="shared" si="4"/>
        <v>0</v>
      </c>
      <c r="U34" s="17">
        <v>0</v>
      </c>
      <c r="V34" s="20">
        <f t="shared" si="18"/>
        <v>6021.1</v>
      </c>
      <c r="W34" s="21">
        <v>5</v>
      </c>
      <c r="X34" s="21">
        <f t="shared" si="19"/>
        <v>666.66666666666674</v>
      </c>
      <c r="Y34" s="21">
        <v>1</v>
      </c>
      <c r="Z34" s="21">
        <f t="shared" si="20"/>
        <v>133.33333333333334</v>
      </c>
      <c r="AA34" s="21">
        <v>0</v>
      </c>
      <c r="AB34" s="21">
        <f t="shared" si="5"/>
        <v>0</v>
      </c>
      <c r="AC34" s="22">
        <f t="shared" si="6"/>
        <v>800.00000000000011</v>
      </c>
      <c r="AD34" s="23">
        <f t="shared" si="7"/>
        <v>5221.1000000000004</v>
      </c>
      <c r="AE34" s="24">
        <f t="shared" si="8"/>
        <v>5384.6153846153848</v>
      </c>
      <c r="AF34" s="24">
        <f t="shared" si="9"/>
        <v>592.30769230769238</v>
      </c>
      <c r="AG34" s="25">
        <v>1666.6666666666699</v>
      </c>
      <c r="AH34" s="25">
        <f t="shared" si="10"/>
        <v>35545.507692307656</v>
      </c>
      <c r="AI34" s="25">
        <f t="shared" si="11"/>
        <v>0</v>
      </c>
      <c r="AJ34" s="24">
        <f t="shared" si="12"/>
        <v>2.6105500000000004</v>
      </c>
      <c r="AK34" s="23">
        <f t="shared" si="13"/>
        <v>4626.1817576923077</v>
      </c>
      <c r="AL34" s="24">
        <v>0</v>
      </c>
      <c r="AM34" s="23">
        <f t="shared" si="14"/>
        <v>4626.1817576923077</v>
      </c>
      <c r="AN34" s="25">
        <f t="shared" si="15"/>
        <v>1009.6153846153846</v>
      </c>
      <c r="AO34" s="45"/>
      <c r="AP34" s="27">
        <f t="shared" si="21"/>
        <v>6230.7153846153851</v>
      </c>
    </row>
    <row r="35" spans="1:42" x14ac:dyDescent="0.35">
      <c r="A35" s="11" t="s">
        <v>66</v>
      </c>
      <c r="B35" s="12" t="s">
        <v>103</v>
      </c>
      <c r="C35" s="31">
        <v>30508051303308</v>
      </c>
      <c r="D35" s="43" t="s">
        <v>369</v>
      </c>
      <c r="E35" s="31" t="s">
        <v>90</v>
      </c>
      <c r="F35" s="29" t="s">
        <v>211</v>
      </c>
      <c r="G35" s="16" t="s">
        <v>70</v>
      </c>
      <c r="H35" s="17">
        <v>4000</v>
      </c>
      <c r="I35" s="17">
        <v>3000</v>
      </c>
      <c r="J35" s="17">
        <v>0</v>
      </c>
      <c r="K35" s="18">
        <v>0.28699999999999998</v>
      </c>
      <c r="L35" s="17">
        <f t="shared" si="0"/>
        <v>860.99999999999989</v>
      </c>
      <c r="M35" s="17">
        <f t="shared" si="1"/>
        <v>20</v>
      </c>
      <c r="N35" s="44">
        <v>0</v>
      </c>
      <c r="O35" s="19">
        <f t="shared" si="16"/>
        <v>133.33333333333334</v>
      </c>
      <c r="P35" s="19">
        <f t="shared" si="17"/>
        <v>33.115384615384613</v>
      </c>
      <c r="Q35" s="19">
        <f t="shared" si="2"/>
        <v>166.44871794871796</v>
      </c>
      <c r="R35" s="19">
        <f t="shared" si="3"/>
        <v>16.666666666666668</v>
      </c>
      <c r="S35" s="17">
        <v>0</v>
      </c>
      <c r="T35" s="17">
        <f t="shared" si="4"/>
        <v>0</v>
      </c>
      <c r="U35" s="17">
        <v>0</v>
      </c>
      <c r="V35" s="20">
        <f t="shared" si="18"/>
        <v>4861</v>
      </c>
      <c r="W35" s="21">
        <v>10</v>
      </c>
      <c r="X35" s="21">
        <f t="shared" si="19"/>
        <v>1333.3333333333335</v>
      </c>
      <c r="Y35" s="21">
        <v>1</v>
      </c>
      <c r="Z35" s="21">
        <f t="shared" si="20"/>
        <v>133.33333333333334</v>
      </c>
      <c r="AA35" s="21">
        <v>0</v>
      </c>
      <c r="AB35" s="21">
        <f t="shared" si="5"/>
        <v>0</v>
      </c>
      <c r="AC35" s="22">
        <f t="shared" si="6"/>
        <v>1466.6666666666667</v>
      </c>
      <c r="AD35" s="23">
        <f t="shared" si="7"/>
        <v>3394.333333333333</v>
      </c>
      <c r="AE35" s="24">
        <f t="shared" si="8"/>
        <v>5384.6153846153848</v>
      </c>
      <c r="AF35" s="24">
        <f t="shared" si="9"/>
        <v>592.30769230769238</v>
      </c>
      <c r="AG35" s="25">
        <v>1666.6666666666699</v>
      </c>
      <c r="AH35" s="25">
        <f t="shared" si="10"/>
        <v>13624.307692307648</v>
      </c>
      <c r="AI35" s="25">
        <f t="shared" si="11"/>
        <v>0</v>
      </c>
      <c r="AJ35" s="24">
        <f t="shared" si="12"/>
        <v>1.6971666666666665</v>
      </c>
      <c r="AK35" s="23">
        <f t="shared" si="13"/>
        <v>2800.3284743589738</v>
      </c>
      <c r="AL35" s="24">
        <v>0</v>
      </c>
      <c r="AM35" s="23">
        <f t="shared" si="14"/>
        <v>2800.3284743589738</v>
      </c>
      <c r="AN35" s="25">
        <f t="shared" si="15"/>
        <v>1009.6153846153846</v>
      </c>
      <c r="AO35" s="45"/>
      <c r="AP35" s="27">
        <f t="shared" si="21"/>
        <v>4403.9487179487178</v>
      </c>
    </row>
    <row r="36" spans="1:42" x14ac:dyDescent="0.35">
      <c r="A36" s="11" t="s">
        <v>66</v>
      </c>
      <c r="B36" s="12" t="s">
        <v>104</v>
      </c>
      <c r="C36" s="31">
        <v>30401011624897</v>
      </c>
      <c r="D36" s="43" t="s">
        <v>321</v>
      </c>
      <c r="E36" s="31" t="s">
        <v>90</v>
      </c>
      <c r="F36" s="29" t="s">
        <v>212</v>
      </c>
      <c r="G36" s="16" t="s">
        <v>68</v>
      </c>
      <c r="H36" s="17">
        <v>5000</v>
      </c>
      <c r="I36" s="17">
        <v>3000</v>
      </c>
      <c r="J36" s="17">
        <v>0</v>
      </c>
      <c r="K36" s="18">
        <v>1.3</v>
      </c>
      <c r="L36" s="17">
        <f t="shared" si="0"/>
        <v>3900</v>
      </c>
      <c r="M36" s="17">
        <f t="shared" si="1"/>
        <v>30</v>
      </c>
      <c r="N36" s="44">
        <v>0</v>
      </c>
      <c r="O36" s="19">
        <f t="shared" si="16"/>
        <v>166.66666666666666</v>
      </c>
      <c r="P36" s="19">
        <f t="shared" si="17"/>
        <v>150</v>
      </c>
      <c r="Q36" s="19">
        <f t="shared" si="2"/>
        <v>316.66666666666663</v>
      </c>
      <c r="R36" s="19">
        <f t="shared" si="3"/>
        <v>20.833333333333332</v>
      </c>
      <c r="S36" s="17">
        <v>0</v>
      </c>
      <c r="T36" s="17">
        <f t="shared" si="4"/>
        <v>0</v>
      </c>
      <c r="U36" s="17"/>
      <c r="V36" s="20">
        <f t="shared" si="18"/>
        <v>8900</v>
      </c>
      <c r="W36" s="21">
        <v>0</v>
      </c>
      <c r="X36" s="21">
        <f t="shared" si="19"/>
        <v>0</v>
      </c>
      <c r="Y36" s="21">
        <v>0</v>
      </c>
      <c r="Z36" s="21">
        <f t="shared" si="20"/>
        <v>0</v>
      </c>
      <c r="AA36" s="21">
        <v>0</v>
      </c>
      <c r="AB36" s="21">
        <f t="shared" si="5"/>
        <v>0</v>
      </c>
      <c r="AC36" s="22">
        <f t="shared" si="6"/>
        <v>0</v>
      </c>
      <c r="AD36" s="23">
        <f t="shared" si="7"/>
        <v>8900</v>
      </c>
      <c r="AE36" s="24">
        <f t="shared" si="8"/>
        <v>5384.6153846153848</v>
      </c>
      <c r="AF36" s="24">
        <f t="shared" si="9"/>
        <v>592.30769230769238</v>
      </c>
      <c r="AG36" s="25">
        <v>1666.6666666666699</v>
      </c>
      <c r="AH36" s="25">
        <f t="shared" si="10"/>
        <v>79692.307692307659</v>
      </c>
      <c r="AI36" s="25">
        <f t="shared" si="11"/>
        <v>474.03846153846098</v>
      </c>
      <c r="AJ36" s="24">
        <f t="shared" si="12"/>
        <v>4.45</v>
      </c>
      <c r="AK36" s="23">
        <f t="shared" si="13"/>
        <v>7829.2038461538477</v>
      </c>
      <c r="AL36" s="24">
        <v>0</v>
      </c>
      <c r="AM36" s="23">
        <f t="shared" si="14"/>
        <v>7829.2038461538477</v>
      </c>
      <c r="AN36" s="25">
        <f t="shared" si="15"/>
        <v>1009.6153846153846</v>
      </c>
      <c r="AO36" s="45"/>
      <c r="AP36" s="27">
        <f t="shared" si="21"/>
        <v>9909.6153846153848</v>
      </c>
    </row>
    <row r="37" spans="1:42" x14ac:dyDescent="0.35">
      <c r="A37" s="11" t="s">
        <v>66</v>
      </c>
      <c r="B37" s="12" t="s">
        <v>105</v>
      </c>
      <c r="C37" s="31">
        <v>30412091302137</v>
      </c>
      <c r="D37" s="43" t="s">
        <v>322</v>
      </c>
      <c r="E37" s="31" t="s">
        <v>44</v>
      </c>
      <c r="F37" s="29" t="s">
        <v>213</v>
      </c>
      <c r="G37" s="16" t="s">
        <v>70</v>
      </c>
      <c r="H37" s="17">
        <v>4000</v>
      </c>
      <c r="I37" s="17">
        <v>3000</v>
      </c>
      <c r="J37" s="17">
        <v>0</v>
      </c>
      <c r="K37" s="18">
        <v>1.2</v>
      </c>
      <c r="L37" s="17">
        <f t="shared" si="0"/>
        <v>3600</v>
      </c>
      <c r="M37" s="17">
        <f t="shared" si="1"/>
        <v>30</v>
      </c>
      <c r="N37" s="44">
        <v>0</v>
      </c>
      <c r="O37" s="19">
        <f t="shared" si="16"/>
        <v>133.33333333333334</v>
      </c>
      <c r="P37" s="19">
        <f t="shared" si="17"/>
        <v>138.46153846153845</v>
      </c>
      <c r="Q37" s="19">
        <f t="shared" si="2"/>
        <v>271.79487179487182</v>
      </c>
      <c r="R37" s="19">
        <f t="shared" si="3"/>
        <v>16.666666666666668</v>
      </c>
      <c r="S37" s="17">
        <v>0</v>
      </c>
      <c r="T37" s="17">
        <f t="shared" si="4"/>
        <v>0</v>
      </c>
      <c r="U37" s="17">
        <v>0</v>
      </c>
      <c r="V37" s="20">
        <f t="shared" si="18"/>
        <v>7600</v>
      </c>
      <c r="W37" s="21">
        <v>0</v>
      </c>
      <c r="X37" s="21">
        <f t="shared" si="19"/>
        <v>0</v>
      </c>
      <c r="Y37" s="21">
        <v>0</v>
      </c>
      <c r="Z37" s="21">
        <f t="shared" si="20"/>
        <v>0</v>
      </c>
      <c r="AA37" s="21">
        <v>0</v>
      </c>
      <c r="AB37" s="21">
        <f t="shared" si="5"/>
        <v>0</v>
      </c>
      <c r="AC37" s="22">
        <f t="shared" si="6"/>
        <v>0</v>
      </c>
      <c r="AD37" s="23">
        <f t="shared" si="7"/>
        <v>7600</v>
      </c>
      <c r="AE37" s="24">
        <f t="shared" si="8"/>
        <v>5384.6153846153848</v>
      </c>
      <c r="AF37" s="24">
        <f t="shared" si="9"/>
        <v>592.30769230769238</v>
      </c>
      <c r="AG37" s="25">
        <v>1666.6666666666699</v>
      </c>
      <c r="AH37" s="25">
        <f t="shared" si="10"/>
        <v>64092.307692307659</v>
      </c>
      <c r="AI37" s="25">
        <f t="shared" si="11"/>
        <v>238.65384615384573</v>
      </c>
      <c r="AJ37" s="24">
        <f t="shared" si="12"/>
        <v>3.8000000000000003</v>
      </c>
      <c r="AK37" s="23">
        <f t="shared" si="13"/>
        <v>6765.2384615384617</v>
      </c>
      <c r="AL37" s="24">
        <v>0</v>
      </c>
      <c r="AM37" s="23">
        <f t="shared" si="14"/>
        <v>6765.2384615384617</v>
      </c>
      <c r="AN37" s="25">
        <f t="shared" si="15"/>
        <v>1009.6153846153846</v>
      </c>
      <c r="AO37" s="45"/>
      <c r="AP37" s="27">
        <f t="shared" si="21"/>
        <v>8609.6153846153848</v>
      </c>
    </row>
    <row r="38" spans="1:42" x14ac:dyDescent="0.35">
      <c r="A38" s="11" t="s">
        <v>66</v>
      </c>
      <c r="B38" s="12" t="s">
        <v>106</v>
      </c>
      <c r="C38" s="31">
        <v>30307211303312</v>
      </c>
      <c r="D38" s="43" t="s">
        <v>323</v>
      </c>
      <c r="E38" s="31" t="s">
        <v>44</v>
      </c>
      <c r="F38" s="29" t="s">
        <v>214</v>
      </c>
      <c r="G38" s="16" t="s">
        <v>70</v>
      </c>
      <c r="H38" s="17">
        <v>4000</v>
      </c>
      <c r="I38" s="17">
        <v>3000</v>
      </c>
      <c r="J38" s="17">
        <v>0</v>
      </c>
      <c r="K38" s="18">
        <v>1.2</v>
      </c>
      <c r="L38" s="17">
        <f t="shared" si="0"/>
        <v>3600</v>
      </c>
      <c r="M38" s="17">
        <f t="shared" si="1"/>
        <v>30</v>
      </c>
      <c r="N38" s="44">
        <v>0</v>
      </c>
      <c r="O38" s="19">
        <f t="shared" si="16"/>
        <v>133.33333333333334</v>
      </c>
      <c r="P38" s="19">
        <f t="shared" si="17"/>
        <v>138.46153846153845</v>
      </c>
      <c r="Q38" s="19">
        <f t="shared" si="2"/>
        <v>271.79487179487182</v>
      </c>
      <c r="R38" s="19">
        <f t="shared" si="3"/>
        <v>16.666666666666668</v>
      </c>
      <c r="S38" s="17">
        <v>0</v>
      </c>
      <c r="T38" s="17">
        <f t="shared" si="4"/>
        <v>0</v>
      </c>
      <c r="U38" s="17">
        <v>0</v>
      </c>
      <c r="V38" s="20">
        <f t="shared" si="18"/>
        <v>7600</v>
      </c>
      <c r="W38" s="21">
        <v>0</v>
      </c>
      <c r="X38" s="21">
        <f t="shared" si="19"/>
        <v>0</v>
      </c>
      <c r="Y38" s="21">
        <v>1</v>
      </c>
      <c r="Z38" s="21">
        <f t="shared" si="20"/>
        <v>133.33333333333334</v>
      </c>
      <c r="AA38" s="21">
        <v>0</v>
      </c>
      <c r="AB38" s="21">
        <f t="shared" si="5"/>
        <v>0</v>
      </c>
      <c r="AC38" s="22">
        <f t="shared" si="6"/>
        <v>133.33333333333334</v>
      </c>
      <c r="AD38" s="23">
        <f t="shared" si="7"/>
        <v>7466.666666666667</v>
      </c>
      <c r="AE38" s="24">
        <f t="shared" si="8"/>
        <v>5384.6153846153848</v>
      </c>
      <c r="AF38" s="24">
        <f t="shared" si="9"/>
        <v>592.30769230769238</v>
      </c>
      <c r="AG38" s="25">
        <v>1666.6666666666699</v>
      </c>
      <c r="AH38" s="25">
        <f t="shared" si="10"/>
        <v>62492.307692307659</v>
      </c>
      <c r="AI38" s="25">
        <f t="shared" si="11"/>
        <v>218.65384615384573</v>
      </c>
      <c r="AJ38" s="24">
        <f t="shared" si="12"/>
        <v>3.7333333333333334</v>
      </c>
      <c r="AK38" s="23">
        <f t="shared" si="13"/>
        <v>6651.9717948717953</v>
      </c>
      <c r="AL38" s="24">
        <v>0</v>
      </c>
      <c r="AM38" s="23">
        <f t="shared" si="14"/>
        <v>6651.9717948717953</v>
      </c>
      <c r="AN38" s="25">
        <f t="shared" si="15"/>
        <v>1009.6153846153846</v>
      </c>
      <c r="AO38" s="45"/>
      <c r="AP38" s="27">
        <f t="shared" si="21"/>
        <v>8476.2820512820508</v>
      </c>
    </row>
    <row r="39" spans="1:42" x14ac:dyDescent="0.35">
      <c r="A39" s="11" t="s">
        <v>66</v>
      </c>
      <c r="B39" s="12" t="s">
        <v>107</v>
      </c>
      <c r="C39" s="31">
        <v>30311201302597</v>
      </c>
      <c r="D39" s="43" t="s">
        <v>324</v>
      </c>
      <c r="E39" s="31" t="s">
        <v>44</v>
      </c>
      <c r="F39" s="29" t="s">
        <v>215</v>
      </c>
      <c r="G39" s="16" t="s">
        <v>70</v>
      </c>
      <c r="H39" s="17">
        <v>4000</v>
      </c>
      <c r="I39" s="17">
        <v>3000</v>
      </c>
      <c r="J39" s="17">
        <v>0</v>
      </c>
      <c r="K39" s="18">
        <v>0.80669999999999997</v>
      </c>
      <c r="L39" s="17">
        <f t="shared" si="0"/>
        <v>2420.1</v>
      </c>
      <c r="M39" s="17">
        <f t="shared" si="1"/>
        <v>30</v>
      </c>
      <c r="N39" s="44">
        <v>0</v>
      </c>
      <c r="O39" s="19">
        <f t="shared" si="16"/>
        <v>133.33333333333334</v>
      </c>
      <c r="P39" s="19">
        <f t="shared" si="17"/>
        <v>93.080769230769221</v>
      </c>
      <c r="Q39" s="19">
        <f t="shared" si="2"/>
        <v>226.41410256410256</v>
      </c>
      <c r="R39" s="19">
        <f t="shared" si="3"/>
        <v>16.666666666666668</v>
      </c>
      <c r="S39" s="17">
        <v>0</v>
      </c>
      <c r="T39" s="17">
        <f t="shared" si="4"/>
        <v>0</v>
      </c>
      <c r="U39" s="17">
        <v>0</v>
      </c>
      <c r="V39" s="20">
        <f t="shared" si="18"/>
        <v>6420.1</v>
      </c>
      <c r="W39" s="21">
        <v>0</v>
      </c>
      <c r="X39" s="21">
        <f t="shared" si="19"/>
        <v>0</v>
      </c>
      <c r="Y39" s="21">
        <v>0</v>
      </c>
      <c r="Z39" s="21">
        <f t="shared" si="20"/>
        <v>0</v>
      </c>
      <c r="AA39" s="21">
        <v>0</v>
      </c>
      <c r="AB39" s="21">
        <f t="shared" si="5"/>
        <v>0</v>
      </c>
      <c r="AC39" s="22">
        <f t="shared" si="6"/>
        <v>0</v>
      </c>
      <c r="AD39" s="23">
        <f t="shared" si="7"/>
        <v>6420.1</v>
      </c>
      <c r="AE39" s="24">
        <f t="shared" si="8"/>
        <v>5384.6153846153848</v>
      </c>
      <c r="AF39" s="24">
        <f t="shared" si="9"/>
        <v>592.30769230769238</v>
      </c>
      <c r="AG39" s="25">
        <v>1666.6666666666699</v>
      </c>
      <c r="AH39" s="25">
        <f t="shared" si="10"/>
        <v>49933.507692307656</v>
      </c>
      <c r="AI39" s="25">
        <f t="shared" si="11"/>
        <v>82.779230769230466</v>
      </c>
      <c r="AJ39" s="24">
        <f t="shared" si="12"/>
        <v>3.2100500000000003</v>
      </c>
      <c r="AK39" s="23">
        <f t="shared" si="13"/>
        <v>5741.8030269230776</v>
      </c>
      <c r="AL39" s="24">
        <v>0</v>
      </c>
      <c r="AM39" s="23">
        <f t="shared" si="14"/>
        <v>5741.8030269230776</v>
      </c>
      <c r="AN39" s="25">
        <f t="shared" si="15"/>
        <v>1009.6153846153846</v>
      </c>
      <c r="AO39" s="45"/>
      <c r="AP39" s="27">
        <f t="shared" si="21"/>
        <v>7429.7153846153851</v>
      </c>
    </row>
    <row r="40" spans="1:42" x14ac:dyDescent="0.35">
      <c r="A40" s="11" t="s">
        <v>66</v>
      </c>
      <c r="B40" s="12" t="s">
        <v>108</v>
      </c>
      <c r="C40" s="31">
        <v>30606081302898</v>
      </c>
      <c r="D40" s="43" t="s">
        <v>325</v>
      </c>
      <c r="E40" s="31" t="s">
        <v>44</v>
      </c>
      <c r="F40" s="29" t="s">
        <v>216</v>
      </c>
      <c r="G40" s="16" t="s">
        <v>70</v>
      </c>
      <c r="H40" s="17">
        <v>4000</v>
      </c>
      <c r="I40" s="17">
        <v>3000</v>
      </c>
      <c r="J40" s="17">
        <v>0</v>
      </c>
      <c r="K40" s="18">
        <v>0.7743000000000001</v>
      </c>
      <c r="L40" s="17">
        <f t="shared" si="0"/>
        <v>2322.9</v>
      </c>
      <c r="M40" s="17">
        <f t="shared" si="1"/>
        <v>30</v>
      </c>
      <c r="N40" s="44">
        <v>0</v>
      </c>
      <c r="O40" s="19">
        <f t="shared" si="16"/>
        <v>133.33333333333334</v>
      </c>
      <c r="P40" s="19">
        <f t="shared" si="17"/>
        <v>89.342307692307699</v>
      </c>
      <c r="Q40" s="19">
        <f t="shared" si="2"/>
        <v>222.67564102564103</v>
      </c>
      <c r="R40" s="19">
        <f t="shared" si="3"/>
        <v>16.666666666666668</v>
      </c>
      <c r="S40" s="17">
        <v>0</v>
      </c>
      <c r="T40" s="17">
        <f t="shared" si="4"/>
        <v>0</v>
      </c>
      <c r="U40" s="17">
        <v>0</v>
      </c>
      <c r="V40" s="20">
        <f t="shared" si="18"/>
        <v>6322.9</v>
      </c>
      <c r="W40" s="21">
        <v>0</v>
      </c>
      <c r="X40" s="21">
        <f t="shared" si="19"/>
        <v>0</v>
      </c>
      <c r="Y40" s="21">
        <v>0</v>
      </c>
      <c r="Z40" s="21">
        <f t="shared" si="20"/>
        <v>0</v>
      </c>
      <c r="AA40" s="21">
        <v>0</v>
      </c>
      <c r="AB40" s="21">
        <f t="shared" si="5"/>
        <v>0</v>
      </c>
      <c r="AC40" s="22">
        <f t="shared" si="6"/>
        <v>0</v>
      </c>
      <c r="AD40" s="23">
        <f t="shared" si="7"/>
        <v>6322.9</v>
      </c>
      <c r="AE40" s="24">
        <f t="shared" si="8"/>
        <v>5384.6153846153848</v>
      </c>
      <c r="AF40" s="24">
        <f t="shared" si="9"/>
        <v>592.30769230769238</v>
      </c>
      <c r="AG40" s="25">
        <v>1666.6666666666699</v>
      </c>
      <c r="AH40" s="25">
        <f t="shared" si="10"/>
        <v>48767.107692307647</v>
      </c>
      <c r="AI40" s="25">
        <f t="shared" si="11"/>
        <v>73.059230769230396</v>
      </c>
      <c r="AJ40" s="24">
        <f t="shared" si="12"/>
        <v>3.1614499999999999</v>
      </c>
      <c r="AK40" s="23">
        <f t="shared" si="13"/>
        <v>5654.3716269230772</v>
      </c>
      <c r="AL40" s="24">
        <v>0</v>
      </c>
      <c r="AM40" s="23">
        <f t="shared" si="14"/>
        <v>5654.3716269230772</v>
      </c>
      <c r="AN40" s="25">
        <f t="shared" si="15"/>
        <v>1009.6153846153846</v>
      </c>
      <c r="AO40" s="45"/>
      <c r="AP40" s="27">
        <f t="shared" si="21"/>
        <v>7332.5153846153844</v>
      </c>
    </row>
    <row r="41" spans="1:42" x14ac:dyDescent="0.35">
      <c r="A41" s="11" t="s">
        <v>66</v>
      </c>
      <c r="B41" s="12" t="s">
        <v>109</v>
      </c>
      <c r="C41" s="31">
        <v>30311130100937</v>
      </c>
      <c r="D41" s="43" t="s">
        <v>326</v>
      </c>
      <c r="E41" s="31" t="s">
        <v>44</v>
      </c>
      <c r="F41" s="29" t="s">
        <v>217</v>
      </c>
      <c r="G41" s="16" t="s">
        <v>70</v>
      </c>
      <c r="H41" s="17">
        <v>4000</v>
      </c>
      <c r="I41" s="17">
        <v>3000</v>
      </c>
      <c r="J41" s="17">
        <v>0</v>
      </c>
      <c r="K41" s="18">
        <v>0.64879999999999993</v>
      </c>
      <c r="L41" s="17">
        <f t="shared" si="0"/>
        <v>1946.3999999999999</v>
      </c>
      <c r="M41" s="17">
        <f t="shared" si="1"/>
        <v>30</v>
      </c>
      <c r="N41" s="44">
        <v>0</v>
      </c>
      <c r="O41" s="19">
        <f t="shared" si="16"/>
        <v>133.33333333333334</v>
      </c>
      <c r="P41" s="19">
        <f t="shared" si="17"/>
        <v>74.861538461538458</v>
      </c>
      <c r="Q41" s="19">
        <f t="shared" si="2"/>
        <v>208.1948717948718</v>
      </c>
      <c r="R41" s="19">
        <f t="shared" si="3"/>
        <v>16.666666666666668</v>
      </c>
      <c r="S41" s="17">
        <v>0</v>
      </c>
      <c r="T41" s="17">
        <f t="shared" si="4"/>
        <v>0</v>
      </c>
      <c r="U41" s="17">
        <v>0</v>
      </c>
      <c r="V41" s="20">
        <f t="shared" si="18"/>
        <v>5946.4</v>
      </c>
      <c r="W41" s="21">
        <v>0</v>
      </c>
      <c r="X41" s="21">
        <f t="shared" si="19"/>
        <v>0</v>
      </c>
      <c r="Y41" s="21">
        <v>0</v>
      </c>
      <c r="Z41" s="21">
        <f t="shared" si="20"/>
        <v>0</v>
      </c>
      <c r="AA41" s="21">
        <v>0</v>
      </c>
      <c r="AB41" s="21">
        <f t="shared" si="5"/>
        <v>0</v>
      </c>
      <c r="AC41" s="22">
        <f t="shared" si="6"/>
        <v>0</v>
      </c>
      <c r="AD41" s="23">
        <f t="shared" si="7"/>
        <v>5946.4</v>
      </c>
      <c r="AE41" s="24">
        <f t="shared" si="8"/>
        <v>5384.6153846153848</v>
      </c>
      <c r="AF41" s="24">
        <f t="shared" si="9"/>
        <v>592.30769230769238</v>
      </c>
      <c r="AG41" s="25">
        <v>1666.6666666666699</v>
      </c>
      <c r="AH41" s="25">
        <f t="shared" si="10"/>
        <v>44249.107692307647</v>
      </c>
      <c r="AI41" s="25">
        <f t="shared" si="11"/>
        <v>35.409230769230398</v>
      </c>
      <c r="AJ41" s="24">
        <f t="shared" si="12"/>
        <v>2.9731999999999998</v>
      </c>
      <c r="AK41" s="23">
        <f t="shared" si="13"/>
        <v>5315.7098769230761</v>
      </c>
      <c r="AL41" s="24">
        <v>0</v>
      </c>
      <c r="AM41" s="23">
        <f t="shared" si="14"/>
        <v>5315.7098769230761</v>
      </c>
      <c r="AN41" s="25">
        <f t="shared" si="15"/>
        <v>1009.6153846153846</v>
      </c>
      <c r="AO41" s="45"/>
      <c r="AP41" s="27">
        <f t="shared" si="21"/>
        <v>6956.0153846153844</v>
      </c>
    </row>
    <row r="42" spans="1:42" x14ac:dyDescent="0.35">
      <c r="A42" s="11" t="s">
        <v>66</v>
      </c>
      <c r="B42" s="12" t="s">
        <v>110</v>
      </c>
      <c r="C42" s="31">
        <v>30506211300553</v>
      </c>
      <c r="D42" s="43" t="s">
        <v>327</v>
      </c>
      <c r="E42" s="31" t="s">
        <v>44</v>
      </c>
      <c r="F42" s="29" t="s">
        <v>218</v>
      </c>
      <c r="G42" s="16" t="s">
        <v>70</v>
      </c>
      <c r="H42" s="17">
        <v>4000</v>
      </c>
      <c r="I42" s="17">
        <v>3000</v>
      </c>
      <c r="J42" s="17">
        <v>0</v>
      </c>
      <c r="K42" s="18">
        <v>0.7972999999999999</v>
      </c>
      <c r="L42" s="17">
        <f t="shared" si="0"/>
        <v>2391.8999999999996</v>
      </c>
      <c r="M42" s="17">
        <f t="shared" si="1"/>
        <v>30</v>
      </c>
      <c r="N42" s="44">
        <v>0</v>
      </c>
      <c r="O42" s="19">
        <f t="shared" si="16"/>
        <v>133.33333333333334</v>
      </c>
      <c r="P42" s="19">
        <f t="shared" si="17"/>
        <v>91.996153846153831</v>
      </c>
      <c r="Q42" s="19">
        <f t="shared" si="2"/>
        <v>225.32948717948716</v>
      </c>
      <c r="R42" s="19">
        <f t="shared" si="3"/>
        <v>16.666666666666668</v>
      </c>
      <c r="S42" s="17">
        <v>0</v>
      </c>
      <c r="T42" s="17">
        <f t="shared" si="4"/>
        <v>0</v>
      </c>
      <c r="U42" s="17">
        <v>0</v>
      </c>
      <c r="V42" s="20">
        <f t="shared" si="18"/>
        <v>6391.9</v>
      </c>
      <c r="W42" s="21">
        <v>0</v>
      </c>
      <c r="X42" s="21">
        <f t="shared" si="19"/>
        <v>0</v>
      </c>
      <c r="Y42" s="21">
        <v>0</v>
      </c>
      <c r="Z42" s="21">
        <f t="shared" si="20"/>
        <v>0</v>
      </c>
      <c r="AA42" s="21">
        <v>0</v>
      </c>
      <c r="AB42" s="21">
        <f t="shared" si="5"/>
        <v>0</v>
      </c>
      <c r="AC42" s="22">
        <f t="shared" si="6"/>
        <v>0</v>
      </c>
      <c r="AD42" s="23">
        <f t="shared" si="7"/>
        <v>6391.9</v>
      </c>
      <c r="AE42" s="24">
        <f t="shared" si="8"/>
        <v>5384.6153846153848</v>
      </c>
      <c r="AF42" s="24">
        <f t="shared" si="9"/>
        <v>592.30769230769238</v>
      </c>
      <c r="AG42" s="25">
        <v>1666.6666666666699</v>
      </c>
      <c r="AH42" s="25">
        <f t="shared" si="10"/>
        <v>49595.107692307647</v>
      </c>
      <c r="AI42" s="25">
        <f t="shared" si="11"/>
        <v>79.959230769230388</v>
      </c>
      <c r="AJ42" s="24">
        <f t="shared" si="12"/>
        <v>3.1959499999999998</v>
      </c>
      <c r="AK42" s="23">
        <f t="shared" si="13"/>
        <v>5716.4371269230769</v>
      </c>
      <c r="AL42" s="24">
        <v>0</v>
      </c>
      <c r="AM42" s="23">
        <f t="shared" si="14"/>
        <v>5716.4371269230769</v>
      </c>
      <c r="AN42" s="25">
        <f t="shared" si="15"/>
        <v>1009.6153846153846</v>
      </c>
      <c r="AO42" s="45"/>
      <c r="AP42" s="27">
        <f t="shared" si="21"/>
        <v>7401.5153846153844</v>
      </c>
    </row>
    <row r="43" spans="1:42" x14ac:dyDescent="0.35">
      <c r="A43" s="11" t="s">
        <v>66</v>
      </c>
      <c r="B43" s="12" t="s">
        <v>111</v>
      </c>
      <c r="C43" s="31">
        <v>30302021302334</v>
      </c>
      <c r="D43" s="43" t="s">
        <v>120</v>
      </c>
      <c r="E43" s="31" t="s">
        <v>44</v>
      </c>
      <c r="F43" s="29" t="s">
        <v>219</v>
      </c>
      <c r="G43" s="16" t="s">
        <v>70</v>
      </c>
      <c r="H43" s="17">
        <v>4000</v>
      </c>
      <c r="I43" s="17">
        <v>3000</v>
      </c>
      <c r="J43" s="17">
        <v>0</v>
      </c>
      <c r="K43" s="18">
        <v>1.2827999999999999</v>
      </c>
      <c r="L43" s="17">
        <f t="shared" si="0"/>
        <v>3848.3999999999996</v>
      </c>
      <c r="M43" s="17">
        <f t="shared" si="1"/>
        <v>30</v>
      </c>
      <c r="N43" s="44">
        <v>0</v>
      </c>
      <c r="O43" s="19">
        <f t="shared" si="16"/>
        <v>133.33333333333334</v>
      </c>
      <c r="P43" s="19">
        <f t="shared" si="17"/>
        <v>148.01538461538459</v>
      </c>
      <c r="Q43" s="19">
        <f t="shared" si="2"/>
        <v>281.34871794871793</v>
      </c>
      <c r="R43" s="19">
        <f t="shared" si="3"/>
        <v>16.666666666666668</v>
      </c>
      <c r="S43" s="17">
        <v>0</v>
      </c>
      <c r="T43" s="17">
        <f t="shared" si="4"/>
        <v>0</v>
      </c>
      <c r="U43" s="17">
        <v>0</v>
      </c>
      <c r="V43" s="20">
        <f t="shared" si="18"/>
        <v>7848.4</v>
      </c>
      <c r="W43" s="21">
        <v>0</v>
      </c>
      <c r="X43" s="21">
        <f t="shared" si="19"/>
        <v>0</v>
      </c>
      <c r="Y43" s="21">
        <v>0</v>
      </c>
      <c r="Z43" s="21">
        <f t="shared" si="20"/>
        <v>0</v>
      </c>
      <c r="AA43" s="21">
        <v>0</v>
      </c>
      <c r="AB43" s="21">
        <f t="shared" si="5"/>
        <v>0</v>
      </c>
      <c r="AC43" s="22">
        <f t="shared" si="6"/>
        <v>0</v>
      </c>
      <c r="AD43" s="23">
        <f t="shared" si="7"/>
        <v>7848.4</v>
      </c>
      <c r="AE43" s="24">
        <f t="shared" si="8"/>
        <v>5384.6153846153848</v>
      </c>
      <c r="AF43" s="24">
        <f t="shared" si="9"/>
        <v>592.30769230769238</v>
      </c>
      <c r="AG43" s="25">
        <v>1666.6666666666699</v>
      </c>
      <c r="AH43" s="25">
        <f t="shared" si="10"/>
        <v>67073.107692307647</v>
      </c>
      <c r="AI43" s="25">
        <f t="shared" si="11"/>
        <v>275.91384615384555</v>
      </c>
      <c r="AJ43" s="24">
        <f t="shared" si="12"/>
        <v>3.9241999999999999</v>
      </c>
      <c r="AK43" s="23">
        <f t="shared" si="13"/>
        <v>6976.2542615384609</v>
      </c>
      <c r="AL43" s="24">
        <v>0</v>
      </c>
      <c r="AM43" s="23">
        <f t="shared" si="14"/>
        <v>6976.2542615384609</v>
      </c>
      <c r="AN43" s="25">
        <f t="shared" si="15"/>
        <v>1009.6153846153846</v>
      </c>
      <c r="AO43" s="45"/>
      <c r="AP43" s="27">
        <f t="shared" si="21"/>
        <v>8858.0153846153844</v>
      </c>
    </row>
    <row r="44" spans="1:42" x14ac:dyDescent="0.35">
      <c r="A44" s="11" t="s">
        <v>66</v>
      </c>
      <c r="B44" s="12" t="s">
        <v>112</v>
      </c>
      <c r="C44" s="31">
        <v>30309131303934</v>
      </c>
      <c r="D44" s="43" t="s">
        <v>328</v>
      </c>
      <c r="E44" s="31" t="s">
        <v>44</v>
      </c>
      <c r="F44" s="29" t="s">
        <v>220</v>
      </c>
      <c r="G44" s="16" t="s">
        <v>70</v>
      </c>
      <c r="H44" s="17">
        <v>4000</v>
      </c>
      <c r="I44" s="17">
        <v>3000</v>
      </c>
      <c r="J44" s="17">
        <v>0</v>
      </c>
      <c r="K44" s="18">
        <v>1.1361000000000001</v>
      </c>
      <c r="L44" s="17">
        <f t="shared" si="0"/>
        <v>3408.3</v>
      </c>
      <c r="M44" s="17">
        <f t="shared" si="1"/>
        <v>30</v>
      </c>
      <c r="N44" s="44">
        <v>0</v>
      </c>
      <c r="O44" s="19">
        <f t="shared" si="16"/>
        <v>133.33333333333334</v>
      </c>
      <c r="P44" s="19">
        <f t="shared" si="17"/>
        <v>131.08846153846156</v>
      </c>
      <c r="Q44" s="19">
        <f t="shared" si="2"/>
        <v>264.42179487179487</v>
      </c>
      <c r="R44" s="19">
        <f t="shared" si="3"/>
        <v>16.666666666666668</v>
      </c>
      <c r="S44" s="17">
        <v>0</v>
      </c>
      <c r="T44" s="17">
        <f t="shared" si="4"/>
        <v>0</v>
      </c>
      <c r="U44" s="17">
        <v>0</v>
      </c>
      <c r="V44" s="20">
        <f t="shared" si="18"/>
        <v>7408.3</v>
      </c>
      <c r="W44" s="21">
        <v>0</v>
      </c>
      <c r="X44" s="21">
        <f t="shared" si="19"/>
        <v>0</v>
      </c>
      <c r="Y44" s="21">
        <v>1</v>
      </c>
      <c r="Z44" s="21">
        <f t="shared" si="20"/>
        <v>133.33333333333334</v>
      </c>
      <c r="AA44" s="21">
        <v>0</v>
      </c>
      <c r="AB44" s="21">
        <f t="shared" si="5"/>
        <v>0</v>
      </c>
      <c r="AC44" s="22">
        <f t="shared" si="6"/>
        <v>133.33333333333334</v>
      </c>
      <c r="AD44" s="23">
        <f t="shared" si="7"/>
        <v>7274.9666666666672</v>
      </c>
      <c r="AE44" s="24">
        <f t="shared" si="8"/>
        <v>5384.6153846153848</v>
      </c>
      <c r="AF44" s="24">
        <f t="shared" si="9"/>
        <v>592.30769230769238</v>
      </c>
      <c r="AG44" s="25">
        <v>1666.6666666666699</v>
      </c>
      <c r="AH44" s="25">
        <f t="shared" si="10"/>
        <v>60191.907692307665</v>
      </c>
      <c r="AI44" s="25">
        <f t="shared" si="11"/>
        <v>189.89884615384582</v>
      </c>
      <c r="AJ44" s="24">
        <f t="shared" si="12"/>
        <v>3.6374833333333338</v>
      </c>
      <c r="AK44" s="23">
        <f t="shared" si="13"/>
        <v>6489.1226448717962</v>
      </c>
      <c r="AL44" s="24">
        <v>0</v>
      </c>
      <c r="AM44" s="23">
        <f t="shared" si="14"/>
        <v>6489.1226448717962</v>
      </c>
      <c r="AN44" s="25">
        <f t="shared" si="15"/>
        <v>1009.6153846153846</v>
      </c>
      <c r="AO44" s="45"/>
      <c r="AP44" s="27">
        <f t="shared" si="21"/>
        <v>8284.5820512820519</v>
      </c>
    </row>
    <row r="45" spans="1:42" x14ac:dyDescent="0.35">
      <c r="A45" s="11" t="s">
        <v>66</v>
      </c>
      <c r="B45" s="12" t="s">
        <v>113</v>
      </c>
      <c r="C45" s="31">
        <v>30707081300098</v>
      </c>
      <c r="D45" s="43" t="s">
        <v>329</v>
      </c>
      <c r="E45" s="31" t="s">
        <v>44</v>
      </c>
      <c r="F45" s="29" t="s">
        <v>221</v>
      </c>
      <c r="G45" s="16" t="s">
        <v>70</v>
      </c>
      <c r="H45" s="17">
        <v>4000</v>
      </c>
      <c r="I45" s="17">
        <v>3000</v>
      </c>
      <c r="J45" s="17">
        <v>0</v>
      </c>
      <c r="K45" s="18">
        <v>0.76980000000000004</v>
      </c>
      <c r="L45" s="17">
        <f t="shared" si="0"/>
        <v>2309.4</v>
      </c>
      <c r="M45" s="17">
        <f t="shared" si="1"/>
        <v>30</v>
      </c>
      <c r="N45" s="44">
        <v>0</v>
      </c>
      <c r="O45" s="19">
        <f t="shared" si="16"/>
        <v>133.33333333333334</v>
      </c>
      <c r="P45" s="19">
        <f t="shared" si="17"/>
        <v>88.823076923076925</v>
      </c>
      <c r="Q45" s="19">
        <f t="shared" si="2"/>
        <v>222.15641025641025</v>
      </c>
      <c r="R45" s="19">
        <f t="shared" si="3"/>
        <v>16.666666666666668</v>
      </c>
      <c r="S45" s="17">
        <v>0</v>
      </c>
      <c r="T45" s="17">
        <f t="shared" si="4"/>
        <v>0</v>
      </c>
      <c r="U45" s="17">
        <v>0</v>
      </c>
      <c r="V45" s="20">
        <f t="shared" si="18"/>
        <v>6309.4</v>
      </c>
      <c r="W45" s="21">
        <v>0</v>
      </c>
      <c r="X45" s="21">
        <f t="shared" si="19"/>
        <v>0</v>
      </c>
      <c r="Y45" s="21">
        <v>2</v>
      </c>
      <c r="Z45" s="21">
        <f t="shared" si="20"/>
        <v>266.66666666666669</v>
      </c>
      <c r="AA45" s="21">
        <v>0</v>
      </c>
      <c r="AB45" s="21">
        <f t="shared" si="5"/>
        <v>0</v>
      </c>
      <c r="AC45" s="22">
        <f t="shared" si="6"/>
        <v>266.66666666666669</v>
      </c>
      <c r="AD45" s="23">
        <f t="shared" si="7"/>
        <v>6042.7333333333327</v>
      </c>
      <c r="AE45" s="24">
        <f t="shared" si="8"/>
        <v>5384.6153846153848</v>
      </c>
      <c r="AF45" s="24">
        <f t="shared" si="9"/>
        <v>592.30769230769238</v>
      </c>
      <c r="AG45" s="25">
        <v>1666.6666666666699</v>
      </c>
      <c r="AH45" s="25">
        <f t="shared" si="10"/>
        <v>45405.107692307647</v>
      </c>
      <c r="AI45" s="25">
        <f t="shared" si="11"/>
        <v>45.042564102563723</v>
      </c>
      <c r="AJ45" s="24">
        <f t="shared" si="12"/>
        <v>3.0213666666666663</v>
      </c>
      <c r="AK45" s="23">
        <f t="shared" si="13"/>
        <v>5402.3617102564094</v>
      </c>
      <c r="AL45" s="24">
        <v>0</v>
      </c>
      <c r="AM45" s="23">
        <f t="shared" si="14"/>
        <v>5402.3617102564094</v>
      </c>
      <c r="AN45" s="25">
        <f t="shared" si="15"/>
        <v>1009.6153846153846</v>
      </c>
      <c r="AO45" s="45"/>
      <c r="AP45" s="27">
        <f t="shared" si="21"/>
        <v>7052.3487179487174</v>
      </c>
    </row>
    <row r="46" spans="1:42" x14ac:dyDescent="0.35">
      <c r="A46" s="11" t="s">
        <v>66</v>
      </c>
      <c r="B46" s="12" t="s">
        <v>114</v>
      </c>
      <c r="C46" s="31">
        <v>30501181301213</v>
      </c>
      <c r="D46" s="43" t="s">
        <v>330</v>
      </c>
      <c r="E46" s="31" t="s">
        <v>90</v>
      </c>
      <c r="F46" s="29" t="s">
        <v>222</v>
      </c>
      <c r="G46" s="16" t="s">
        <v>70</v>
      </c>
      <c r="H46" s="17">
        <v>4000</v>
      </c>
      <c r="I46" s="17">
        <v>3000</v>
      </c>
      <c r="J46" s="17">
        <v>0</v>
      </c>
      <c r="K46" s="18">
        <v>0.88180000000000003</v>
      </c>
      <c r="L46" s="17">
        <f t="shared" si="0"/>
        <v>2645.4</v>
      </c>
      <c r="M46" s="17">
        <f t="shared" si="1"/>
        <v>30</v>
      </c>
      <c r="N46" s="44">
        <v>0</v>
      </c>
      <c r="O46" s="19">
        <f t="shared" si="16"/>
        <v>133.33333333333334</v>
      </c>
      <c r="P46" s="19">
        <f t="shared" si="17"/>
        <v>101.74615384615385</v>
      </c>
      <c r="Q46" s="19">
        <f t="shared" si="2"/>
        <v>235.07948717948719</v>
      </c>
      <c r="R46" s="19">
        <f t="shared" si="3"/>
        <v>16.666666666666668</v>
      </c>
      <c r="S46" s="17">
        <v>0</v>
      </c>
      <c r="T46" s="17">
        <f t="shared" si="4"/>
        <v>0</v>
      </c>
      <c r="U46" s="17">
        <v>0</v>
      </c>
      <c r="V46" s="20">
        <f t="shared" si="18"/>
        <v>6645.4</v>
      </c>
      <c r="W46" s="21">
        <v>0</v>
      </c>
      <c r="X46" s="21">
        <f t="shared" si="19"/>
        <v>0</v>
      </c>
      <c r="Y46" s="21">
        <v>0</v>
      </c>
      <c r="Z46" s="21">
        <f t="shared" si="20"/>
        <v>0</v>
      </c>
      <c r="AA46" s="21">
        <v>0</v>
      </c>
      <c r="AB46" s="21">
        <f t="shared" si="5"/>
        <v>0</v>
      </c>
      <c r="AC46" s="22">
        <f t="shared" si="6"/>
        <v>0</v>
      </c>
      <c r="AD46" s="23">
        <f t="shared" si="7"/>
        <v>6645.4</v>
      </c>
      <c r="AE46" s="24">
        <f t="shared" si="8"/>
        <v>5384.6153846153848</v>
      </c>
      <c r="AF46" s="24">
        <f t="shared" si="9"/>
        <v>592.30769230769238</v>
      </c>
      <c r="AG46" s="25">
        <v>1666.6666666666699</v>
      </c>
      <c r="AH46" s="25">
        <f t="shared" si="10"/>
        <v>52637.107692307647</v>
      </c>
      <c r="AI46" s="25">
        <f t="shared" si="11"/>
        <v>105.3092307692304</v>
      </c>
      <c r="AJ46" s="24">
        <f t="shared" si="12"/>
        <v>3.3226999999999998</v>
      </c>
      <c r="AK46" s="23">
        <f t="shared" si="13"/>
        <v>5944.4603769230771</v>
      </c>
      <c r="AL46" s="24">
        <v>0</v>
      </c>
      <c r="AM46" s="23">
        <f t="shared" si="14"/>
        <v>5944.4603769230771</v>
      </c>
      <c r="AN46" s="25">
        <f t="shared" si="15"/>
        <v>1009.6153846153846</v>
      </c>
      <c r="AO46" s="45"/>
      <c r="AP46" s="27">
        <f t="shared" si="21"/>
        <v>7655.0153846153844</v>
      </c>
    </row>
    <row r="47" spans="1:42" x14ac:dyDescent="0.35">
      <c r="A47" s="11" t="s">
        <v>66</v>
      </c>
      <c r="B47" s="12" t="s">
        <v>115</v>
      </c>
      <c r="C47" s="31">
        <v>30302061701835</v>
      </c>
      <c r="D47" s="43" t="s">
        <v>331</v>
      </c>
      <c r="E47" s="31" t="s">
        <v>90</v>
      </c>
      <c r="F47" s="29" t="s">
        <v>223</v>
      </c>
      <c r="G47" s="16" t="s">
        <v>70</v>
      </c>
      <c r="H47" s="17">
        <v>4000</v>
      </c>
      <c r="I47" s="17">
        <v>3000</v>
      </c>
      <c r="J47" s="17">
        <v>0</v>
      </c>
      <c r="K47" s="18">
        <v>0.5958</v>
      </c>
      <c r="L47" s="17">
        <f t="shared" si="0"/>
        <v>1787.4</v>
      </c>
      <c r="M47" s="17">
        <f t="shared" si="1"/>
        <v>30</v>
      </c>
      <c r="N47" s="44">
        <v>0</v>
      </c>
      <c r="O47" s="19">
        <f t="shared" si="16"/>
        <v>133.33333333333334</v>
      </c>
      <c r="P47" s="19">
        <f t="shared" si="17"/>
        <v>68.746153846153845</v>
      </c>
      <c r="Q47" s="19">
        <f t="shared" si="2"/>
        <v>202.07948717948719</v>
      </c>
      <c r="R47" s="19">
        <f t="shared" si="3"/>
        <v>16.666666666666668</v>
      </c>
      <c r="S47" s="17">
        <v>0</v>
      </c>
      <c r="T47" s="17">
        <f t="shared" si="4"/>
        <v>0</v>
      </c>
      <c r="U47" s="17">
        <v>0</v>
      </c>
      <c r="V47" s="20">
        <f t="shared" si="18"/>
        <v>5787.4</v>
      </c>
      <c r="W47" s="21">
        <v>0</v>
      </c>
      <c r="X47" s="21">
        <f t="shared" si="19"/>
        <v>0</v>
      </c>
      <c r="Y47" s="21">
        <v>2</v>
      </c>
      <c r="Z47" s="21">
        <f t="shared" si="20"/>
        <v>266.66666666666669</v>
      </c>
      <c r="AA47" s="21">
        <v>0</v>
      </c>
      <c r="AB47" s="21">
        <f t="shared" si="5"/>
        <v>0</v>
      </c>
      <c r="AC47" s="22">
        <f t="shared" si="6"/>
        <v>266.66666666666669</v>
      </c>
      <c r="AD47" s="23">
        <f t="shared" si="7"/>
        <v>5520.7333333333327</v>
      </c>
      <c r="AE47" s="24">
        <f t="shared" si="8"/>
        <v>5384.6153846153848</v>
      </c>
      <c r="AF47" s="24">
        <f t="shared" si="9"/>
        <v>592.30769230769238</v>
      </c>
      <c r="AG47" s="25">
        <v>1666.6666666666699</v>
      </c>
      <c r="AH47" s="25">
        <f t="shared" si="10"/>
        <v>39141.107692307647</v>
      </c>
      <c r="AI47" s="25">
        <f t="shared" si="11"/>
        <v>0</v>
      </c>
      <c r="AJ47" s="24">
        <f t="shared" si="12"/>
        <v>2.7603666666666662</v>
      </c>
      <c r="AK47" s="23">
        <f t="shared" si="13"/>
        <v>4925.6652743589739</v>
      </c>
      <c r="AL47" s="24">
        <v>0</v>
      </c>
      <c r="AM47" s="23">
        <f t="shared" si="14"/>
        <v>4925.6652743589739</v>
      </c>
      <c r="AN47" s="25">
        <f t="shared" si="15"/>
        <v>1009.6153846153846</v>
      </c>
      <c r="AO47" s="45"/>
      <c r="AP47" s="27">
        <f t="shared" si="21"/>
        <v>6530.3487179487174</v>
      </c>
    </row>
    <row r="48" spans="1:42" x14ac:dyDescent="0.35">
      <c r="A48" s="11" t="s">
        <v>66</v>
      </c>
      <c r="B48" s="12" t="s">
        <v>116</v>
      </c>
      <c r="C48" s="31">
        <v>29904301300137</v>
      </c>
      <c r="D48" s="43" t="s">
        <v>332</v>
      </c>
      <c r="E48" s="31" t="s">
        <v>90</v>
      </c>
      <c r="F48" s="29" t="s">
        <v>224</v>
      </c>
      <c r="G48" s="16" t="s">
        <v>70</v>
      </c>
      <c r="H48" s="17">
        <v>4000</v>
      </c>
      <c r="I48" s="17">
        <v>3000</v>
      </c>
      <c r="J48" s="17">
        <v>0</v>
      </c>
      <c r="K48" s="18">
        <v>0.65700000000000003</v>
      </c>
      <c r="L48" s="17">
        <f t="shared" si="0"/>
        <v>1971</v>
      </c>
      <c r="M48" s="17">
        <f t="shared" si="1"/>
        <v>30</v>
      </c>
      <c r="N48" s="44">
        <v>0</v>
      </c>
      <c r="O48" s="19">
        <f t="shared" si="16"/>
        <v>133.33333333333334</v>
      </c>
      <c r="P48" s="19">
        <f t="shared" si="17"/>
        <v>75.807692307692307</v>
      </c>
      <c r="Q48" s="19">
        <f t="shared" si="2"/>
        <v>209.14102564102564</v>
      </c>
      <c r="R48" s="19">
        <f t="shared" si="3"/>
        <v>16.666666666666668</v>
      </c>
      <c r="S48" s="17">
        <v>0</v>
      </c>
      <c r="T48" s="17">
        <f t="shared" si="4"/>
        <v>0</v>
      </c>
      <c r="U48" s="17">
        <v>0</v>
      </c>
      <c r="V48" s="20">
        <f t="shared" si="18"/>
        <v>5971</v>
      </c>
      <c r="W48" s="21">
        <v>0</v>
      </c>
      <c r="X48" s="21">
        <f t="shared" si="19"/>
        <v>0</v>
      </c>
      <c r="Y48" s="21">
        <v>0</v>
      </c>
      <c r="Z48" s="21">
        <f t="shared" si="20"/>
        <v>0</v>
      </c>
      <c r="AA48" s="21">
        <v>0</v>
      </c>
      <c r="AB48" s="21">
        <f t="shared" si="5"/>
        <v>0</v>
      </c>
      <c r="AC48" s="22">
        <f t="shared" si="6"/>
        <v>0</v>
      </c>
      <c r="AD48" s="23">
        <f t="shared" si="7"/>
        <v>5971</v>
      </c>
      <c r="AE48" s="24">
        <f t="shared" si="8"/>
        <v>5384.6153846153848</v>
      </c>
      <c r="AF48" s="24">
        <f t="shared" si="9"/>
        <v>592.30769230769238</v>
      </c>
      <c r="AG48" s="25">
        <v>1666.6666666666699</v>
      </c>
      <c r="AH48" s="25">
        <f t="shared" si="10"/>
        <v>44544.307692307659</v>
      </c>
      <c r="AI48" s="25">
        <f t="shared" si="11"/>
        <v>37.869230769230491</v>
      </c>
      <c r="AJ48" s="24">
        <f t="shared" si="12"/>
        <v>2.9855</v>
      </c>
      <c r="AK48" s="23">
        <f t="shared" si="13"/>
        <v>5337.837576923077</v>
      </c>
      <c r="AL48" s="24">
        <v>0</v>
      </c>
      <c r="AM48" s="23">
        <f t="shared" si="14"/>
        <v>5337.837576923077</v>
      </c>
      <c r="AN48" s="25">
        <f t="shared" si="15"/>
        <v>1009.6153846153846</v>
      </c>
      <c r="AO48" s="45"/>
      <c r="AP48" s="27">
        <f t="shared" si="21"/>
        <v>6980.6153846153848</v>
      </c>
    </row>
    <row r="49" spans="1:42" x14ac:dyDescent="0.35">
      <c r="A49" s="11" t="s">
        <v>66</v>
      </c>
      <c r="B49" s="12" t="s">
        <v>117</v>
      </c>
      <c r="C49" s="31">
        <v>30310011505698</v>
      </c>
      <c r="D49" s="43" t="s">
        <v>333</v>
      </c>
      <c r="E49" s="31" t="s">
        <v>90</v>
      </c>
      <c r="F49" s="29" t="s">
        <v>225</v>
      </c>
      <c r="G49" s="16" t="s">
        <v>70</v>
      </c>
      <c r="H49" s="17">
        <v>4000</v>
      </c>
      <c r="I49" s="17">
        <v>3000</v>
      </c>
      <c r="J49" s="17">
        <v>0</v>
      </c>
      <c r="K49" s="18">
        <v>0.81899999999999995</v>
      </c>
      <c r="L49" s="17">
        <f t="shared" si="0"/>
        <v>2457</v>
      </c>
      <c r="M49" s="17">
        <f t="shared" si="1"/>
        <v>30</v>
      </c>
      <c r="N49" s="44">
        <v>0</v>
      </c>
      <c r="O49" s="19">
        <f t="shared" si="16"/>
        <v>133.33333333333334</v>
      </c>
      <c r="P49" s="19">
        <f t="shared" si="17"/>
        <v>94.5</v>
      </c>
      <c r="Q49" s="19">
        <f t="shared" si="2"/>
        <v>227.83333333333334</v>
      </c>
      <c r="R49" s="19">
        <f t="shared" si="3"/>
        <v>16.666666666666668</v>
      </c>
      <c r="S49" s="17">
        <v>0</v>
      </c>
      <c r="T49" s="17">
        <f t="shared" si="4"/>
        <v>0</v>
      </c>
      <c r="U49" s="17">
        <v>0</v>
      </c>
      <c r="V49" s="20">
        <f t="shared" si="18"/>
        <v>6457</v>
      </c>
      <c r="W49" s="21">
        <v>0</v>
      </c>
      <c r="X49" s="21">
        <f t="shared" si="19"/>
        <v>0</v>
      </c>
      <c r="Y49" s="21">
        <v>2</v>
      </c>
      <c r="Z49" s="21">
        <f t="shared" si="20"/>
        <v>266.66666666666669</v>
      </c>
      <c r="AA49" s="21">
        <v>0</v>
      </c>
      <c r="AB49" s="21">
        <f t="shared" si="5"/>
        <v>0</v>
      </c>
      <c r="AC49" s="22">
        <f t="shared" si="6"/>
        <v>266.66666666666669</v>
      </c>
      <c r="AD49" s="23">
        <f t="shared" si="7"/>
        <v>6190.333333333333</v>
      </c>
      <c r="AE49" s="24">
        <f t="shared" si="8"/>
        <v>5384.6153846153848</v>
      </c>
      <c r="AF49" s="24">
        <f t="shared" si="9"/>
        <v>592.30769230769238</v>
      </c>
      <c r="AG49" s="25">
        <v>1666.6666666666699</v>
      </c>
      <c r="AH49" s="25">
        <f t="shared" si="10"/>
        <v>47176.307692307651</v>
      </c>
      <c r="AI49" s="25">
        <f t="shared" si="11"/>
        <v>59.802564102563764</v>
      </c>
      <c r="AJ49" s="24">
        <f t="shared" si="12"/>
        <v>3.0951666666666666</v>
      </c>
      <c r="AK49" s="23">
        <f t="shared" si="13"/>
        <v>5535.1279102564104</v>
      </c>
      <c r="AL49" s="24">
        <v>0</v>
      </c>
      <c r="AM49" s="23">
        <f t="shared" si="14"/>
        <v>5535.1279102564104</v>
      </c>
      <c r="AN49" s="25">
        <f t="shared" si="15"/>
        <v>1009.6153846153846</v>
      </c>
      <c r="AO49" s="45"/>
      <c r="AP49" s="27">
        <f t="shared" si="21"/>
        <v>7199.9487179487178</v>
      </c>
    </row>
    <row r="50" spans="1:42" x14ac:dyDescent="0.35">
      <c r="A50" s="11" t="s">
        <v>66</v>
      </c>
      <c r="B50" s="12" t="s">
        <v>118</v>
      </c>
      <c r="C50" s="31">
        <v>30505241301558</v>
      </c>
      <c r="D50" s="43" t="s">
        <v>334</v>
      </c>
      <c r="E50" s="31" t="s">
        <v>90</v>
      </c>
      <c r="F50" s="29" t="s">
        <v>226</v>
      </c>
      <c r="G50" s="16" t="s">
        <v>70</v>
      </c>
      <c r="H50" s="17">
        <v>4000</v>
      </c>
      <c r="I50" s="17">
        <v>3000</v>
      </c>
      <c r="J50" s="17">
        <v>0</v>
      </c>
      <c r="K50" s="18">
        <v>0.59899999999999998</v>
      </c>
      <c r="L50" s="17">
        <f t="shared" si="0"/>
        <v>1797</v>
      </c>
      <c r="M50" s="17">
        <f t="shared" si="1"/>
        <v>30</v>
      </c>
      <c r="N50" s="44">
        <v>0</v>
      </c>
      <c r="O50" s="19">
        <f t="shared" si="16"/>
        <v>133.33333333333334</v>
      </c>
      <c r="P50" s="19">
        <f t="shared" si="17"/>
        <v>69.115384615384613</v>
      </c>
      <c r="Q50" s="19">
        <f t="shared" si="2"/>
        <v>202.44871794871796</v>
      </c>
      <c r="R50" s="19">
        <f t="shared" si="3"/>
        <v>16.666666666666668</v>
      </c>
      <c r="S50" s="17">
        <v>0</v>
      </c>
      <c r="T50" s="17">
        <f t="shared" si="4"/>
        <v>0</v>
      </c>
      <c r="U50" s="17">
        <v>0</v>
      </c>
      <c r="V50" s="20">
        <f t="shared" si="18"/>
        <v>5797</v>
      </c>
      <c r="W50" s="21">
        <v>0</v>
      </c>
      <c r="X50" s="21">
        <f t="shared" si="19"/>
        <v>0</v>
      </c>
      <c r="Y50" s="21">
        <v>0</v>
      </c>
      <c r="Z50" s="21">
        <f t="shared" si="20"/>
        <v>0</v>
      </c>
      <c r="AA50" s="21">
        <v>0</v>
      </c>
      <c r="AB50" s="21">
        <f t="shared" si="5"/>
        <v>0</v>
      </c>
      <c r="AC50" s="22">
        <f t="shared" si="6"/>
        <v>0</v>
      </c>
      <c r="AD50" s="23">
        <f t="shared" si="7"/>
        <v>5797</v>
      </c>
      <c r="AE50" s="24">
        <f t="shared" si="8"/>
        <v>5384.6153846153848</v>
      </c>
      <c r="AF50" s="24">
        <f t="shared" si="9"/>
        <v>592.30769230769238</v>
      </c>
      <c r="AG50" s="25">
        <v>1666.6666666666699</v>
      </c>
      <c r="AH50" s="25">
        <f t="shared" si="10"/>
        <v>42456.307692307659</v>
      </c>
      <c r="AI50" s="25">
        <f t="shared" si="11"/>
        <v>20.469230769230489</v>
      </c>
      <c r="AJ50" s="24">
        <f t="shared" si="12"/>
        <v>2.8984999999999999</v>
      </c>
      <c r="AK50" s="23">
        <f t="shared" si="13"/>
        <v>5181.3245769230771</v>
      </c>
      <c r="AL50" s="24">
        <v>0</v>
      </c>
      <c r="AM50" s="23">
        <f t="shared" si="14"/>
        <v>5181.3245769230771</v>
      </c>
      <c r="AN50" s="25">
        <f t="shared" si="15"/>
        <v>1009.6153846153846</v>
      </c>
      <c r="AO50" s="45"/>
      <c r="AP50" s="27">
        <f t="shared" si="21"/>
        <v>6806.6153846153848</v>
      </c>
    </row>
    <row r="51" spans="1:42" x14ac:dyDescent="0.35">
      <c r="A51" s="11" t="s">
        <v>66</v>
      </c>
      <c r="B51" s="12" t="s">
        <v>119</v>
      </c>
      <c r="C51" s="31">
        <v>30411091301898</v>
      </c>
      <c r="D51" s="43" t="s">
        <v>335</v>
      </c>
      <c r="E51" s="31" t="s">
        <v>90</v>
      </c>
      <c r="F51" s="29" t="s">
        <v>227</v>
      </c>
      <c r="G51" s="16" t="s">
        <v>70</v>
      </c>
      <c r="H51" s="17">
        <v>4000</v>
      </c>
      <c r="I51" s="17">
        <v>3000</v>
      </c>
      <c r="J51" s="17">
        <v>0</v>
      </c>
      <c r="K51" s="18">
        <v>0.49149999999999999</v>
      </c>
      <c r="L51" s="17">
        <f t="shared" si="0"/>
        <v>1474.5</v>
      </c>
      <c r="M51" s="17">
        <f t="shared" si="1"/>
        <v>30</v>
      </c>
      <c r="N51" s="44">
        <v>0</v>
      </c>
      <c r="O51" s="19">
        <f t="shared" si="16"/>
        <v>133.33333333333334</v>
      </c>
      <c r="P51" s="19">
        <f t="shared" si="17"/>
        <v>56.71153846153846</v>
      </c>
      <c r="Q51" s="19">
        <f t="shared" si="2"/>
        <v>190.0448717948718</v>
      </c>
      <c r="R51" s="19">
        <f t="shared" si="3"/>
        <v>16.666666666666668</v>
      </c>
      <c r="S51" s="17">
        <v>0</v>
      </c>
      <c r="T51" s="17">
        <f t="shared" si="4"/>
        <v>0</v>
      </c>
      <c r="U51" s="17">
        <v>0</v>
      </c>
      <c r="V51" s="20">
        <f t="shared" si="18"/>
        <v>5474.5</v>
      </c>
      <c r="W51" s="21">
        <v>0</v>
      </c>
      <c r="X51" s="21">
        <f t="shared" si="19"/>
        <v>0</v>
      </c>
      <c r="Y51" s="21">
        <v>2</v>
      </c>
      <c r="Z51" s="21">
        <f t="shared" si="20"/>
        <v>266.66666666666669</v>
      </c>
      <c r="AA51" s="21">
        <v>0</v>
      </c>
      <c r="AB51" s="21">
        <f t="shared" si="5"/>
        <v>0</v>
      </c>
      <c r="AC51" s="22">
        <f t="shared" si="6"/>
        <v>266.66666666666669</v>
      </c>
      <c r="AD51" s="23">
        <f t="shared" si="7"/>
        <v>5207.833333333333</v>
      </c>
      <c r="AE51" s="24">
        <f t="shared" si="8"/>
        <v>5384.6153846153848</v>
      </c>
      <c r="AF51" s="24">
        <f t="shared" si="9"/>
        <v>592.30769230769238</v>
      </c>
      <c r="AG51" s="25">
        <v>1666.6666666666699</v>
      </c>
      <c r="AH51" s="25">
        <f t="shared" si="10"/>
        <v>35386.307692307651</v>
      </c>
      <c r="AI51" s="25">
        <f t="shared" si="11"/>
        <v>0</v>
      </c>
      <c r="AJ51" s="24">
        <f t="shared" si="12"/>
        <v>2.6039166666666667</v>
      </c>
      <c r="AK51" s="23">
        <f t="shared" si="13"/>
        <v>4612.9217243589737</v>
      </c>
      <c r="AL51" s="24">
        <v>0</v>
      </c>
      <c r="AM51" s="23">
        <f t="shared" si="14"/>
        <v>4612.9217243589737</v>
      </c>
      <c r="AN51" s="25">
        <f t="shared" si="15"/>
        <v>1009.6153846153846</v>
      </c>
      <c r="AO51" s="45"/>
      <c r="AP51" s="27">
        <f t="shared" si="21"/>
        <v>6217.4487179487178</v>
      </c>
    </row>
    <row r="52" spans="1:42" x14ac:dyDescent="0.35">
      <c r="A52" s="11" t="s">
        <v>66</v>
      </c>
      <c r="B52" s="12" t="s">
        <v>121</v>
      </c>
      <c r="C52" s="31">
        <v>30507171303992</v>
      </c>
      <c r="D52" s="43" t="s">
        <v>336</v>
      </c>
      <c r="E52" s="31" t="s">
        <v>44</v>
      </c>
      <c r="F52" s="29" t="s">
        <v>228</v>
      </c>
      <c r="G52" s="16" t="s">
        <v>70</v>
      </c>
      <c r="H52" s="17">
        <v>4000</v>
      </c>
      <c r="I52" s="17">
        <v>3000</v>
      </c>
      <c r="J52" s="17">
        <v>0</v>
      </c>
      <c r="K52" s="18">
        <v>0.6653</v>
      </c>
      <c r="L52" s="17">
        <f t="shared" si="0"/>
        <v>1995.9</v>
      </c>
      <c r="M52" s="17">
        <f t="shared" si="1"/>
        <v>30</v>
      </c>
      <c r="N52" s="44">
        <v>0</v>
      </c>
      <c r="O52" s="19">
        <f t="shared" si="16"/>
        <v>133.33333333333334</v>
      </c>
      <c r="P52" s="19">
        <f t="shared" si="17"/>
        <v>76.765384615384619</v>
      </c>
      <c r="Q52" s="19">
        <f t="shared" si="2"/>
        <v>210.09871794871796</v>
      </c>
      <c r="R52" s="19">
        <f t="shared" si="3"/>
        <v>16.666666666666668</v>
      </c>
      <c r="S52" s="17">
        <v>0</v>
      </c>
      <c r="T52" s="17">
        <f t="shared" si="4"/>
        <v>0</v>
      </c>
      <c r="U52" s="17">
        <v>0</v>
      </c>
      <c r="V52" s="20">
        <f t="shared" si="18"/>
        <v>5995.9</v>
      </c>
      <c r="W52" s="21">
        <v>0</v>
      </c>
      <c r="X52" s="21">
        <f t="shared" si="19"/>
        <v>0</v>
      </c>
      <c r="Y52" s="21">
        <v>1</v>
      </c>
      <c r="Z52" s="21">
        <f t="shared" si="20"/>
        <v>133.33333333333334</v>
      </c>
      <c r="AA52" s="21">
        <v>0</v>
      </c>
      <c r="AB52" s="21">
        <f t="shared" si="5"/>
        <v>0</v>
      </c>
      <c r="AC52" s="22">
        <f t="shared" si="6"/>
        <v>133.33333333333334</v>
      </c>
      <c r="AD52" s="23">
        <f t="shared" si="7"/>
        <v>5862.5666666666666</v>
      </c>
      <c r="AE52" s="24">
        <f t="shared" si="8"/>
        <v>5384.6153846153848</v>
      </c>
      <c r="AF52" s="24">
        <f t="shared" si="9"/>
        <v>592.30769230769238</v>
      </c>
      <c r="AG52" s="25">
        <v>1666.6666666666699</v>
      </c>
      <c r="AH52" s="25">
        <f t="shared" si="10"/>
        <v>43243.107692307654</v>
      </c>
      <c r="AI52" s="25">
        <f t="shared" si="11"/>
        <v>27.025897435897122</v>
      </c>
      <c r="AJ52" s="24">
        <f t="shared" si="12"/>
        <v>2.9312833333333335</v>
      </c>
      <c r="AK52" s="23">
        <f t="shared" si="13"/>
        <v>5240.3017935897442</v>
      </c>
      <c r="AL52" s="24">
        <v>0</v>
      </c>
      <c r="AM52" s="23">
        <f t="shared" si="14"/>
        <v>5240.3017935897442</v>
      </c>
      <c r="AN52" s="25">
        <f t="shared" si="15"/>
        <v>1009.6153846153846</v>
      </c>
      <c r="AO52" s="45"/>
      <c r="AP52" s="27">
        <f t="shared" si="21"/>
        <v>6872.1820512820514</v>
      </c>
    </row>
    <row r="53" spans="1:42" x14ac:dyDescent="0.35">
      <c r="A53" s="11" t="s">
        <v>66</v>
      </c>
      <c r="B53" s="12" t="s">
        <v>122</v>
      </c>
      <c r="C53" s="31">
        <v>30504040103832</v>
      </c>
      <c r="D53" s="43" t="s">
        <v>337</v>
      </c>
      <c r="E53" s="31" t="s">
        <v>90</v>
      </c>
      <c r="F53" s="29" t="s">
        <v>229</v>
      </c>
      <c r="G53" s="16" t="s">
        <v>70</v>
      </c>
      <c r="H53" s="17">
        <v>4000</v>
      </c>
      <c r="I53" s="17">
        <v>3000</v>
      </c>
      <c r="J53" s="17">
        <v>0</v>
      </c>
      <c r="K53" s="18">
        <v>0.36990000000000001</v>
      </c>
      <c r="L53" s="17">
        <f t="shared" si="0"/>
        <v>1109.7</v>
      </c>
      <c r="M53" s="17">
        <f t="shared" si="1"/>
        <v>30</v>
      </c>
      <c r="N53" s="44">
        <v>0</v>
      </c>
      <c r="O53" s="19">
        <f t="shared" si="16"/>
        <v>133.33333333333334</v>
      </c>
      <c r="P53" s="19">
        <f t="shared" si="17"/>
        <v>42.680769230769229</v>
      </c>
      <c r="Q53" s="19">
        <f t="shared" si="2"/>
        <v>176.01410256410259</v>
      </c>
      <c r="R53" s="19">
        <f t="shared" si="3"/>
        <v>16.666666666666668</v>
      </c>
      <c r="S53" s="17">
        <v>0</v>
      </c>
      <c r="T53" s="17">
        <f t="shared" si="4"/>
        <v>0</v>
      </c>
      <c r="U53" s="17">
        <v>0</v>
      </c>
      <c r="V53" s="20">
        <f t="shared" si="18"/>
        <v>5109.7</v>
      </c>
      <c r="W53" s="21">
        <v>0</v>
      </c>
      <c r="X53" s="21">
        <f t="shared" si="19"/>
        <v>0</v>
      </c>
      <c r="Y53" s="21">
        <v>4</v>
      </c>
      <c r="Z53" s="21">
        <f t="shared" si="20"/>
        <v>533.33333333333337</v>
      </c>
      <c r="AA53" s="21">
        <v>0</v>
      </c>
      <c r="AB53" s="21">
        <f t="shared" si="5"/>
        <v>0</v>
      </c>
      <c r="AC53" s="22">
        <f t="shared" si="6"/>
        <v>533.33333333333337</v>
      </c>
      <c r="AD53" s="23">
        <f t="shared" si="7"/>
        <v>4576.3666666666668</v>
      </c>
      <c r="AE53" s="24">
        <f t="shared" si="8"/>
        <v>5384.6153846153848</v>
      </c>
      <c r="AF53" s="24">
        <f t="shared" si="9"/>
        <v>592.30769230769238</v>
      </c>
      <c r="AG53" s="25">
        <v>1666.6666666666699</v>
      </c>
      <c r="AH53" s="25">
        <f t="shared" si="10"/>
        <v>27808.707692307657</v>
      </c>
      <c r="AI53" s="25">
        <f t="shared" si="11"/>
        <v>0</v>
      </c>
      <c r="AJ53" s="24">
        <f t="shared" si="12"/>
        <v>2.2881833333333335</v>
      </c>
      <c r="AK53" s="23">
        <f t="shared" si="13"/>
        <v>3981.7707910256413</v>
      </c>
      <c r="AL53" s="24">
        <v>0</v>
      </c>
      <c r="AM53" s="23">
        <f t="shared" si="14"/>
        <v>3981.7707910256413</v>
      </c>
      <c r="AN53" s="25">
        <f t="shared" si="15"/>
        <v>1009.6153846153846</v>
      </c>
      <c r="AO53" s="45"/>
      <c r="AP53" s="27">
        <f t="shared" si="21"/>
        <v>5585.9820512820515</v>
      </c>
    </row>
    <row r="54" spans="1:42" x14ac:dyDescent="0.35">
      <c r="A54" s="11" t="s">
        <v>66</v>
      </c>
      <c r="B54" s="12" t="s">
        <v>123</v>
      </c>
      <c r="C54" s="31">
        <v>30410011331155</v>
      </c>
      <c r="D54" s="43" t="s">
        <v>338</v>
      </c>
      <c r="E54" s="31" t="s">
        <v>90</v>
      </c>
      <c r="F54" s="29" t="s">
        <v>230</v>
      </c>
      <c r="G54" s="16" t="s">
        <v>70</v>
      </c>
      <c r="H54" s="17">
        <v>4000</v>
      </c>
      <c r="I54" s="17">
        <v>3000</v>
      </c>
      <c r="J54" s="17">
        <v>0</v>
      </c>
      <c r="K54" s="18">
        <v>0.5302</v>
      </c>
      <c r="L54" s="17">
        <f t="shared" si="0"/>
        <v>1590.6</v>
      </c>
      <c r="M54" s="17">
        <f t="shared" si="1"/>
        <v>30</v>
      </c>
      <c r="N54" s="44">
        <v>0</v>
      </c>
      <c r="O54" s="19">
        <f t="shared" si="16"/>
        <v>133.33333333333334</v>
      </c>
      <c r="P54" s="19">
        <f t="shared" si="17"/>
        <v>61.176923076923075</v>
      </c>
      <c r="Q54" s="19">
        <f t="shared" si="2"/>
        <v>194.51025641025643</v>
      </c>
      <c r="R54" s="19">
        <f t="shared" si="3"/>
        <v>16.666666666666668</v>
      </c>
      <c r="S54" s="17">
        <v>0</v>
      </c>
      <c r="T54" s="17">
        <f t="shared" si="4"/>
        <v>0</v>
      </c>
      <c r="U54" s="17">
        <v>0</v>
      </c>
      <c r="V54" s="20">
        <f t="shared" si="18"/>
        <v>5590.6</v>
      </c>
      <c r="W54" s="21">
        <v>0</v>
      </c>
      <c r="X54" s="21">
        <f t="shared" si="19"/>
        <v>0</v>
      </c>
      <c r="Y54" s="21">
        <v>2</v>
      </c>
      <c r="Z54" s="21">
        <f t="shared" si="20"/>
        <v>266.66666666666669</v>
      </c>
      <c r="AA54" s="21">
        <v>0</v>
      </c>
      <c r="AB54" s="21">
        <f t="shared" si="5"/>
        <v>0</v>
      </c>
      <c r="AC54" s="22">
        <f t="shared" si="6"/>
        <v>266.66666666666669</v>
      </c>
      <c r="AD54" s="23">
        <f t="shared" si="7"/>
        <v>5323.9333333333334</v>
      </c>
      <c r="AE54" s="24">
        <f t="shared" si="8"/>
        <v>5384.6153846153848</v>
      </c>
      <c r="AF54" s="24">
        <f t="shared" si="9"/>
        <v>592.30769230769238</v>
      </c>
      <c r="AG54" s="25">
        <v>1666.6666666666699</v>
      </c>
      <c r="AH54" s="25">
        <f t="shared" si="10"/>
        <v>36779.507692307656</v>
      </c>
      <c r="AI54" s="25">
        <f t="shared" si="11"/>
        <v>0</v>
      </c>
      <c r="AJ54" s="24">
        <f t="shared" si="12"/>
        <v>2.6619666666666668</v>
      </c>
      <c r="AK54" s="23">
        <f t="shared" si="13"/>
        <v>4728.9636743589745</v>
      </c>
      <c r="AL54" s="24">
        <v>0</v>
      </c>
      <c r="AM54" s="23">
        <f t="shared" si="14"/>
        <v>4728.9636743589745</v>
      </c>
      <c r="AN54" s="25">
        <f t="shared" si="15"/>
        <v>1009.6153846153846</v>
      </c>
      <c r="AO54" s="45"/>
      <c r="AP54" s="27">
        <f t="shared" si="21"/>
        <v>6333.5487179487181</v>
      </c>
    </row>
    <row r="55" spans="1:42" x14ac:dyDescent="0.35">
      <c r="A55" s="11" t="s">
        <v>66</v>
      </c>
      <c r="B55" s="12" t="s">
        <v>124</v>
      </c>
      <c r="C55" s="31">
        <v>30508281303692</v>
      </c>
      <c r="D55" s="43" t="s">
        <v>371</v>
      </c>
      <c r="E55" s="31" t="s">
        <v>90</v>
      </c>
      <c r="F55" s="29" t="s">
        <v>231</v>
      </c>
      <c r="G55" s="16" t="s">
        <v>70</v>
      </c>
      <c r="H55" s="17">
        <v>4000</v>
      </c>
      <c r="I55" s="17">
        <v>3000</v>
      </c>
      <c r="J55" s="17">
        <v>0</v>
      </c>
      <c r="K55" s="18">
        <v>0.24670000000000003</v>
      </c>
      <c r="L55" s="17">
        <f t="shared" si="0"/>
        <v>740.10000000000014</v>
      </c>
      <c r="M55" s="17">
        <f t="shared" si="1"/>
        <v>30</v>
      </c>
      <c r="N55" s="44">
        <v>0</v>
      </c>
      <c r="O55" s="19">
        <f t="shared" si="16"/>
        <v>133.33333333333334</v>
      </c>
      <c r="P55" s="19">
        <f t="shared" si="17"/>
        <v>28.465384615384622</v>
      </c>
      <c r="Q55" s="19">
        <f t="shared" si="2"/>
        <v>161.79871794871798</v>
      </c>
      <c r="R55" s="19">
        <f t="shared" si="3"/>
        <v>16.666666666666668</v>
      </c>
      <c r="S55" s="17">
        <v>0</v>
      </c>
      <c r="T55" s="17">
        <f t="shared" si="4"/>
        <v>0</v>
      </c>
      <c r="U55" s="17">
        <v>0</v>
      </c>
      <c r="V55" s="20">
        <f t="shared" si="18"/>
        <v>4740.1000000000004</v>
      </c>
      <c r="W55" s="21">
        <v>0</v>
      </c>
      <c r="X55" s="21">
        <f t="shared" si="19"/>
        <v>0</v>
      </c>
      <c r="Y55" s="21">
        <v>2</v>
      </c>
      <c r="Z55" s="21">
        <f t="shared" si="20"/>
        <v>266.66666666666669</v>
      </c>
      <c r="AA55" s="21">
        <v>0</v>
      </c>
      <c r="AB55" s="21">
        <f t="shared" si="5"/>
        <v>0</v>
      </c>
      <c r="AC55" s="22">
        <f t="shared" si="6"/>
        <v>266.66666666666669</v>
      </c>
      <c r="AD55" s="23">
        <f t="shared" si="7"/>
        <v>4473.4333333333334</v>
      </c>
      <c r="AE55" s="24">
        <f t="shared" si="8"/>
        <v>5384.6153846153848</v>
      </c>
      <c r="AF55" s="24">
        <f t="shared" si="9"/>
        <v>592.30769230769238</v>
      </c>
      <c r="AG55" s="25">
        <v>1666.6666666666699</v>
      </c>
      <c r="AH55" s="25">
        <f t="shared" si="10"/>
        <v>26573.507692307656</v>
      </c>
      <c r="AI55" s="25">
        <f t="shared" si="11"/>
        <v>0</v>
      </c>
      <c r="AJ55" s="24">
        <f t="shared" si="12"/>
        <v>2.2367166666666667</v>
      </c>
      <c r="AK55" s="23">
        <f t="shared" si="13"/>
        <v>3878.8889243589742</v>
      </c>
      <c r="AL55" s="24">
        <v>0</v>
      </c>
      <c r="AM55" s="23">
        <f t="shared" si="14"/>
        <v>3878.8889243589742</v>
      </c>
      <c r="AN55" s="25">
        <f t="shared" si="15"/>
        <v>1009.6153846153846</v>
      </c>
      <c r="AO55" s="45"/>
      <c r="AP55" s="27">
        <f t="shared" si="21"/>
        <v>5483.0487179487181</v>
      </c>
    </row>
    <row r="56" spans="1:42" x14ac:dyDescent="0.35">
      <c r="A56" s="11" t="s">
        <v>66</v>
      </c>
      <c r="B56" s="12" t="s">
        <v>125</v>
      </c>
      <c r="C56" s="31">
        <v>30604251302771</v>
      </c>
      <c r="D56" s="43" t="s">
        <v>370</v>
      </c>
      <c r="E56" s="31" t="s">
        <v>90</v>
      </c>
      <c r="F56" s="29" t="s">
        <v>232</v>
      </c>
      <c r="G56" s="16" t="s">
        <v>70</v>
      </c>
      <c r="H56" s="17">
        <v>4000</v>
      </c>
      <c r="I56" s="17">
        <v>3000</v>
      </c>
      <c r="J56" s="17">
        <v>0</v>
      </c>
      <c r="K56" s="18">
        <v>0.4824</v>
      </c>
      <c r="L56" s="17">
        <f t="shared" si="0"/>
        <v>1447.2</v>
      </c>
      <c r="M56" s="17">
        <f t="shared" si="1"/>
        <v>26</v>
      </c>
      <c r="N56" s="44">
        <v>0</v>
      </c>
      <c r="O56" s="19">
        <f t="shared" si="16"/>
        <v>133.33333333333334</v>
      </c>
      <c r="P56" s="19">
        <f t="shared" si="17"/>
        <v>55.661538461538463</v>
      </c>
      <c r="Q56" s="19">
        <f t="shared" si="2"/>
        <v>188.99487179487181</v>
      </c>
      <c r="R56" s="19">
        <f t="shared" si="3"/>
        <v>16.666666666666668</v>
      </c>
      <c r="S56" s="17">
        <v>0</v>
      </c>
      <c r="T56" s="17">
        <f t="shared" si="4"/>
        <v>0</v>
      </c>
      <c r="U56" s="17">
        <v>0</v>
      </c>
      <c r="V56" s="20">
        <f t="shared" si="18"/>
        <v>5447.2</v>
      </c>
      <c r="W56" s="21">
        <v>4</v>
      </c>
      <c r="X56" s="21">
        <f t="shared" si="19"/>
        <v>533.33333333333337</v>
      </c>
      <c r="Y56" s="21">
        <v>3</v>
      </c>
      <c r="Z56" s="21">
        <f t="shared" si="20"/>
        <v>400</v>
      </c>
      <c r="AA56" s="21">
        <v>0</v>
      </c>
      <c r="AB56" s="21">
        <f t="shared" si="5"/>
        <v>0</v>
      </c>
      <c r="AC56" s="22">
        <f t="shared" si="6"/>
        <v>933.33333333333337</v>
      </c>
      <c r="AD56" s="23">
        <f t="shared" si="7"/>
        <v>4513.8666666666668</v>
      </c>
      <c r="AE56" s="24">
        <f t="shared" si="8"/>
        <v>5384.6153846153848</v>
      </c>
      <c r="AF56" s="24">
        <f t="shared" si="9"/>
        <v>592.30769230769238</v>
      </c>
      <c r="AG56" s="25">
        <v>1666.6666666666699</v>
      </c>
      <c r="AH56" s="25">
        <f t="shared" si="10"/>
        <v>27058.707692307657</v>
      </c>
      <c r="AI56" s="25">
        <f t="shared" si="11"/>
        <v>0</v>
      </c>
      <c r="AJ56" s="24">
        <f t="shared" si="12"/>
        <v>2.2569333333333335</v>
      </c>
      <c r="AK56" s="23">
        <f t="shared" si="13"/>
        <v>3919.3020410256413</v>
      </c>
      <c r="AL56" s="24">
        <v>0</v>
      </c>
      <c r="AM56" s="23">
        <f t="shared" si="14"/>
        <v>3919.3020410256413</v>
      </c>
      <c r="AN56" s="25">
        <f t="shared" si="15"/>
        <v>1009.6153846153846</v>
      </c>
      <c r="AO56" s="45"/>
      <c r="AP56" s="27">
        <f t="shared" si="21"/>
        <v>5523.4820512820515</v>
      </c>
    </row>
    <row r="57" spans="1:42" x14ac:dyDescent="0.35">
      <c r="A57" s="11" t="s">
        <v>66</v>
      </c>
      <c r="B57" s="12" t="s">
        <v>126</v>
      </c>
      <c r="C57" s="31">
        <v>30507092301836</v>
      </c>
      <c r="D57" s="43" t="s">
        <v>372</v>
      </c>
      <c r="E57" s="31" t="s">
        <v>90</v>
      </c>
      <c r="F57" s="29" t="s">
        <v>233</v>
      </c>
      <c r="G57" s="16" t="s">
        <v>70</v>
      </c>
      <c r="H57" s="17">
        <v>4000</v>
      </c>
      <c r="I57" s="17">
        <v>3000</v>
      </c>
      <c r="J57" s="17">
        <v>0</v>
      </c>
      <c r="K57" s="18">
        <v>4.4299999999999999E-2</v>
      </c>
      <c r="L57" s="17">
        <f t="shared" si="0"/>
        <v>132.9</v>
      </c>
      <c r="M57" s="17">
        <f t="shared" si="1"/>
        <v>17</v>
      </c>
      <c r="N57" s="44">
        <v>0</v>
      </c>
      <c r="O57" s="19">
        <f t="shared" si="16"/>
        <v>133.33333333333334</v>
      </c>
      <c r="P57" s="19">
        <f t="shared" si="17"/>
        <v>5.111538461538462</v>
      </c>
      <c r="Q57" s="19">
        <f t="shared" si="2"/>
        <v>138.4448717948718</v>
      </c>
      <c r="R57" s="19">
        <f t="shared" si="3"/>
        <v>16.666666666666668</v>
      </c>
      <c r="S57" s="17">
        <v>0</v>
      </c>
      <c r="T57" s="17">
        <f t="shared" si="4"/>
        <v>0</v>
      </c>
      <c r="U57" s="17">
        <v>0</v>
      </c>
      <c r="V57" s="20">
        <f t="shared" si="18"/>
        <v>4132.8999999999996</v>
      </c>
      <c r="W57" s="21">
        <v>13</v>
      </c>
      <c r="X57" s="21">
        <f t="shared" si="19"/>
        <v>1733.3333333333335</v>
      </c>
      <c r="Y57" s="21">
        <v>1</v>
      </c>
      <c r="Z57" s="21">
        <f t="shared" si="20"/>
        <v>133.33333333333334</v>
      </c>
      <c r="AA57" s="21">
        <v>0</v>
      </c>
      <c r="AB57" s="21">
        <f t="shared" si="5"/>
        <v>0</v>
      </c>
      <c r="AC57" s="22">
        <f t="shared" si="6"/>
        <v>1866.6666666666667</v>
      </c>
      <c r="AD57" s="23">
        <f t="shared" si="7"/>
        <v>2266.2333333333327</v>
      </c>
      <c r="AE57" s="24">
        <f t="shared" si="8"/>
        <v>5384.6153846153848</v>
      </c>
      <c r="AF57" s="24">
        <f t="shared" si="9"/>
        <v>592.30769230769238</v>
      </c>
      <c r="AG57" s="25">
        <v>1666.6666666666699</v>
      </c>
      <c r="AH57" s="25">
        <f t="shared" si="10"/>
        <v>87.107692307644356</v>
      </c>
      <c r="AI57" s="25">
        <f t="shared" si="11"/>
        <v>0</v>
      </c>
      <c r="AJ57" s="24">
        <f t="shared" si="12"/>
        <v>1.1331166666666663</v>
      </c>
      <c r="AK57" s="23">
        <f t="shared" si="13"/>
        <v>1672.7925243589737</v>
      </c>
      <c r="AL57" s="24">
        <v>0</v>
      </c>
      <c r="AM57" s="23">
        <f t="shared" si="14"/>
        <v>1672.7925243589737</v>
      </c>
      <c r="AN57" s="25">
        <f t="shared" si="15"/>
        <v>1009.6153846153846</v>
      </c>
      <c r="AO57" s="45"/>
      <c r="AP57" s="27">
        <f t="shared" si="21"/>
        <v>3275.8487179487174</v>
      </c>
    </row>
    <row r="58" spans="1:42" x14ac:dyDescent="0.35">
      <c r="A58" s="11" t="s">
        <v>66</v>
      </c>
      <c r="B58" s="12" t="s">
        <v>127</v>
      </c>
      <c r="C58" s="31">
        <v>30610181301535</v>
      </c>
      <c r="D58" s="43" t="s">
        <v>373</v>
      </c>
      <c r="E58" s="31" t="s">
        <v>90</v>
      </c>
      <c r="F58" s="29" t="s">
        <v>234</v>
      </c>
      <c r="G58" s="16" t="s">
        <v>70</v>
      </c>
      <c r="H58" s="17">
        <v>4000</v>
      </c>
      <c r="I58" s="17">
        <v>3000</v>
      </c>
      <c r="J58" s="17">
        <v>0</v>
      </c>
      <c r="K58" s="18">
        <v>2.8500000000000001E-2</v>
      </c>
      <c r="L58" s="17">
        <f t="shared" ref="L58:L78" si="22">+I58*K58</f>
        <v>85.5</v>
      </c>
      <c r="M58" s="17">
        <f t="shared" ref="M58:M78" si="23">30-W58</f>
        <v>12</v>
      </c>
      <c r="N58" s="44">
        <v>0</v>
      </c>
      <c r="O58" s="19">
        <f t="shared" si="16"/>
        <v>133.33333333333334</v>
      </c>
      <c r="P58" s="19">
        <f t="shared" si="17"/>
        <v>3.2884615384615383</v>
      </c>
      <c r="Q58" s="19">
        <f t="shared" ref="Q58:Q78" si="24">P58+O58</f>
        <v>136.62179487179489</v>
      </c>
      <c r="R58" s="19">
        <f t="shared" ref="R58:R78" si="25">+O58/8</f>
        <v>16.666666666666668</v>
      </c>
      <c r="S58" s="17">
        <v>0</v>
      </c>
      <c r="T58" s="17">
        <f t="shared" ref="T58:T78" si="26">+R58*S58</f>
        <v>0</v>
      </c>
      <c r="U58" s="17">
        <v>0</v>
      </c>
      <c r="V58" s="20">
        <f t="shared" si="18"/>
        <v>4085.5</v>
      </c>
      <c r="W58" s="21">
        <v>18</v>
      </c>
      <c r="X58" s="21">
        <f t="shared" si="19"/>
        <v>2400</v>
      </c>
      <c r="Y58" s="21">
        <v>0</v>
      </c>
      <c r="Z58" s="21">
        <f t="shared" si="20"/>
        <v>0</v>
      </c>
      <c r="AA58" s="21">
        <v>0</v>
      </c>
      <c r="AB58" s="21">
        <f t="shared" ref="AB58:AB78" si="27">O58*AA58</f>
        <v>0</v>
      </c>
      <c r="AC58" s="22">
        <f t="shared" ref="AC58:AC78" si="28">X58+Z58+AB58</f>
        <v>2400</v>
      </c>
      <c r="AD58" s="23">
        <f t="shared" si="7"/>
        <v>1685.5</v>
      </c>
      <c r="AE58" s="24">
        <v>0</v>
      </c>
      <c r="AF58" s="24">
        <v>0</v>
      </c>
      <c r="AG58" s="25">
        <v>1666.6666666666699</v>
      </c>
      <c r="AH58" s="25">
        <f t="shared" ref="AH58:AH78" si="29">(AD58-AF58-AG58)*12</f>
        <v>225.99999999996089</v>
      </c>
      <c r="AI58" s="25">
        <f t="shared" ref="AI58:AI78" si="30">IF(AND(AH58&gt;40000,AH58&lt;=55000),(AH58-40000)*10%,
IF(AND(AH58&gt;55000,AH58&lt;=70000),(AH58-55000)*15%+15000*10%,
IF(AND(AH58&gt;70000,AH58&lt;=200000),(AH58-70000)*20%+15000*10%+15000*15%,
IF(AND(AH58&gt;200000,AH58&lt;=400000),(AH58-200000)*22.5%+15000*10%+15000*15%+130000*20%,
IF(AND(AH58&gt;400000,AH58&lt;=600000),(AH58-400000)*25%+15000*10%+15000*15%+130000*20%+200000*22.5%,
IF(AND(AH58&gt;600000,AH58&lt;=700000),(AH58-400000)*25%+55000*10%+15000*15%+130000*20%+200000*22.5%,
IF(AND(AH58&gt;700000,AH58&lt;=800000),(AH58-400000)*25%+70000*15%+130000*20%+200000*22.5%,
IF(AND(AH58&gt;800000,AH58&lt;=900000),(AH58-400000)*25%+200000*20%+200000*22.5%,
IF(AND(AH58&gt;900000,AH58&lt;=1200000),(AH58-400000)*25%+400000*22.5%,
IF(AH58&gt;1200000,(AH58-1200000)*27.5%+1200000*25%))))))))))/12</f>
        <v>0</v>
      </c>
      <c r="AJ58" s="24">
        <f t="shared" ref="AJ58:AJ78" si="31">+AD58*0.0005</f>
        <v>0.84275</v>
      </c>
      <c r="AK58" s="23">
        <f t="shared" ref="AK58:AK78" si="32">+AD58-AF58-AI58-AJ58</f>
        <v>1684.65725</v>
      </c>
      <c r="AL58" s="24">
        <v>0</v>
      </c>
      <c r="AM58" s="23">
        <f t="shared" ref="AM58:AM78" si="33">+AK58-AL58</f>
        <v>1684.65725</v>
      </c>
      <c r="AN58" s="25">
        <f t="shared" ref="AN58:AN78" si="34">+AE58*0.1875</f>
        <v>0</v>
      </c>
      <c r="AO58" s="45"/>
      <c r="AP58" s="27">
        <f t="shared" si="21"/>
        <v>1685.5</v>
      </c>
    </row>
    <row r="59" spans="1:42" x14ac:dyDescent="0.35">
      <c r="A59" s="11" t="s">
        <v>66</v>
      </c>
      <c r="B59" s="12" t="s">
        <v>128</v>
      </c>
      <c r="C59" s="31">
        <v>30304031300111</v>
      </c>
      <c r="D59" s="43" t="s">
        <v>389</v>
      </c>
      <c r="E59" s="31" t="s">
        <v>90</v>
      </c>
      <c r="F59" s="29" t="s">
        <v>235</v>
      </c>
      <c r="G59" s="16" t="s">
        <v>70</v>
      </c>
      <c r="H59" s="17">
        <v>4000</v>
      </c>
      <c r="I59" s="17">
        <v>3000</v>
      </c>
      <c r="J59" s="17">
        <v>0</v>
      </c>
      <c r="K59" s="18">
        <v>1.67E-2</v>
      </c>
      <c r="L59" s="17">
        <f t="shared" si="22"/>
        <v>50.1</v>
      </c>
      <c r="M59" s="17">
        <f t="shared" si="23"/>
        <v>8</v>
      </c>
      <c r="N59" s="44">
        <v>0</v>
      </c>
      <c r="O59" s="19">
        <f t="shared" ref="O59:O78" si="35">H59/30</f>
        <v>133.33333333333334</v>
      </c>
      <c r="P59" s="19">
        <f t="shared" ref="P59:P66" si="36">L59/26</f>
        <v>1.926923076923077</v>
      </c>
      <c r="Q59" s="19">
        <f t="shared" si="24"/>
        <v>135.26025641025643</v>
      </c>
      <c r="R59" s="19">
        <f t="shared" si="25"/>
        <v>16.666666666666668</v>
      </c>
      <c r="S59" s="17">
        <v>0</v>
      </c>
      <c r="T59" s="17">
        <f t="shared" si="26"/>
        <v>0</v>
      </c>
      <c r="U59" s="17">
        <v>0</v>
      </c>
      <c r="V59" s="20">
        <f t="shared" ref="V59:V78" si="37">H59+L59+T59+U59+J59</f>
        <v>4050.1</v>
      </c>
      <c r="W59" s="21">
        <v>22</v>
      </c>
      <c r="X59" s="21">
        <f t="shared" si="19"/>
        <v>2933.3333333333335</v>
      </c>
      <c r="Y59" s="21">
        <v>0</v>
      </c>
      <c r="Z59" s="21">
        <f t="shared" si="20"/>
        <v>0</v>
      </c>
      <c r="AA59" s="21">
        <v>0</v>
      </c>
      <c r="AB59" s="21">
        <f t="shared" si="27"/>
        <v>0</v>
      </c>
      <c r="AC59" s="22">
        <f t="shared" si="28"/>
        <v>2933.3333333333335</v>
      </c>
      <c r="AD59" s="23">
        <f t="shared" si="7"/>
        <v>1116.7666666666664</v>
      </c>
      <c r="AE59" s="24">
        <v>0</v>
      </c>
      <c r="AF59" s="24">
        <v>0</v>
      </c>
      <c r="AG59" s="25">
        <v>1666.6666666666699</v>
      </c>
      <c r="AH59" s="25">
        <f t="shared" si="29"/>
        <v>-6598.800000000042</v>
      </c>
      <c r="AI59" s="25">
        <f t="shared" si="30"/>
        <v>0</v>
      </c>
      <c r="AJ59" s="24">
        <f t="shared" si="31"/>
        <v>0.55838333333333323</v>
      </c>
      <c r="AK59" s="23">
        <f t="shared" si="32"/>
        <v>1116.2082833333332</v>
      </c>
      <c r="AL59" s="24">
        <v>0</v>
      </c>
      <c r="AM59" s="23">
        <f t="shared" si="33"/>
        <v>1116.2082833333332</v>
      </c>
      <c r="AN59" s="25">
        <f t="shared" si="34"/>
        <v>0</v>
      </c>
      <c r="AO59" s="45"/>
      <c r="AP59" s="27">
        <f t="shared" ref="AP59:AP78" si="38">AD59+AN59</f>
        <v>1116.7666666666664</v>
      </c>
    </row>
    <row r="60" spans="1:42" x14ac:dyDescent="0.35">
      <c r="A60" s="11" t="s">
        <v>66</v>
      </c>
      <c r="B60" s="12" t="s">
        <v>129</v>
      </c>
      <c r="C60" s="31">
        <v>30004081204314</v>
      </c>
      <c r="D60" s="43" t="s">
        <v>339</v>
      </c>
      <c r="E60" s="31" t="s">
        <v>44</v>
      </c>
      <c r="F60" s="29" t="s">
        <v>236</v>
      </c>
      <c r="G60" s="16" t="s">
        <v>68</v>
      </c>
      <c r="H60" s="17">
        <v>5000</v>
      </c>
      <c r="I60" s="17">
        <v>3000</v>
      </c>
      <c r="J60" s="17">
        <v>0</v>
      </c>
      <c r="K60" s="18">
        <v>1.3</v>
      </c>
      <c r="L60" s="17">
        <f t="shared" si="22"/>
        <v>3900</v>
      </c>
      <c r="M60" s="17">
        <f t="shared" si="23"/>
        <v>30</v>
      </c>
      <c r="N60" s="44">
        <v>0</v>
      </c>
      <c r="O60" s="19">
        <f t="shared" si="35"/>
        <v>166.66666666666666</v>
      </c>
      <c r="P60" s="19">
        <f t="shared" si="36"/>
        <v>150</v>
      </c>
      <c r="Q60" s="19">
        <f t="shared" si="24"/>
        <v>316.66666666666663</v>
      </c>
      <c r="R60" s="19">
        <f t="shared" si="25"/>
        <v>20.833333333333332</v>
      </c>
      <c r="S60" s="17">
        <v>0</v>
      </c>
      <c r="T60" s="17">
        <f t="shared" si="26"/>
        <v>0</v>
      </c>
      <c r="U60" s="17">
        <v>0</v>
      </c>
      <c r="V60" s="20">
        <f t="shared" si="37"/>
        <v>8900</v>
      </c>
      <c r="W60" s="21">
        <v>0</v>
      </c>
      <c r="X60" s="21">
        <f t="shared" si="19"/>
        <v>0</v>
      </c>
      <c r="Y60" s="21">
        <v>0</v>
      </c>
      <c r="Z60" s="21">
        <f t="shared" si="20"/>
        <v>0</v>
      </c>
      <c r="AA60" s="21">
        <v>0</v>
      </c>
      <c r="AB60" s="21">
        <f t="shared" si="27"/>
        <v>0</v>
      </c>
      <c r="AC60" s="22">
        <f t="shared" si="28"/>
        <v>0</v>
      </c>
      <c r="AD60" s="23">
        <f t="shared" si="7"/>
        <v>8900</v>
      </c>
      <c r="AE60" s="24">
        <f t="shared" si="8"/>
        <v>5384.6153846153848</v>
      </c>
      <c r="AF60" s="24">
        <f t="shared" si="9"/>
        <v>592.30769230769238</v>
      </c>
      <c r="AG60" s="25">
        <v>1666.6666666666699</v>
      </c>
      <c r="AH60" s="25">
        <f t="shared" si="29"/>
        <v>79692.307692307659</v>
      </c>
      <c r="AI60" s="25">
        <f t="shared" si="30"/>
        <v>474.03846153846098</v>
      </c>
      <c r="AJ60" s="24">
        <f t="shared" si="31"/>
        <v>4.45</v>
      </c>
      <c r="AK60" s="23">
        <f t="shared" si="32"/>
        <v>7829.2038461538477</v>
      </c>
      <c r="AL60" s="24">
        <v>0</v>
      </c>
      <c r="AM60" s="23">
        <f t="shared" si="33"/>
        <v>7829.2038461538477</v>
      </c>
      <c r="AN60" s="25">
        <f t="shared" si="34"/>
        <v>1009.6153846153846</v>
      </c>
      <c r="AO60" s="45"/>
      <c r="AP60" s="27">
        <f t="shared" si="38"/>
        <v>9909.6153846153848</v>
      </c>
    </row>
    <row r="61" spans="1:42" x14ac:dyDescent="0.35">
      <c r="A61" s="11" t="s">
        <v>66</v>
      </c>
      <c r="B61" s="12" t="s">
        <v>130</v>
      </c>
      <c r="C61" s="31">
        <v>30309131303454</v>
      </c>
      <c r="D61" s="43" t="s">
        <v>340</v>
      </c>
      <c r="E61" s="31" t="s">
        <v>90</v>
      </c>
      <c r="F61" s="29" t="s">
        <v>237</v>
      </c>
      <c r="G61" s="16" t="s">
        <v>70</v>
      </c>
      <c r="H61" s="17">
        <v>4000</v>
      </c>
      <c r="I61" s="17">
        <v>3000</v>
      </c>
      <c r="J61" s="17">
        <v>0</v>
      </c>
      <c r="K61" s="18">
        <v>1.0517000000000001</v>
      </c>
      <c r="L61" s="17">
        <f t="shared" si="22"/>
        <v>3155.1000000000004</v>
      </c>
      <c r="M61" s="17">
        <f t="shared" si="23"/>
        <v>30</v>
      </c>
      <c r="N61" s="44">
        <v>0</v>
      </c>
      <c r="O61" s="19">
        <f t="shared" si="35"/>
        <v>133.33333333333334</v>
      </c>
      <c r="P61" s="19">
        <f t="shared" si="36"/>
        <v>121.35000000000001</v>
      </c>
      <c r="Q61" s="19">
        <f t="shared" si="24"/>
        <v>254.68333333333334</v>
      </c>
      <c r="R61" s="19">
        <f t="shared" si="25"/>
        <v>16.666666666666668</v>
      </c>
      <c r="S61" s="17">
        <v>0</v>
      </c>
      <c r="T61" s="17">
        <f t="shared" si="26"/>
        <v>0</v>
      </c>
      <c r="U61" s="17">
        <v>0</v>
      </c>
      <c r="V61" s="20">
        <f t="shared" si="37"/>
        <v>7155.1</v>
      </c>
      <c r="W61" s="21">
        <v>0</v>
      </c>
      <c r="X61" s="21">
        <f t="shared" si="19"/>
        <v>0</v>
      </c>
      <c r="Y61" s="21">
        <v>1</v>
      </c>
      <c r="Z61" s="21">
        <f t="shared" si="20"/>
        <v>133.33333333333334</v>
      </c>
      <c r="AA61" s="21">
        <v>0</v>
      </c>
      <c r="AB61" s="21">
        <f t="shared" si="27"/>
        <v>0</v>
      </c>
      <c r="AC61" s="22">
        <f t="shared" si="28"/>
        <v>133.33333333333334</v>
      </c>
      <c r="AD61" s="23">
        <f t="shared" si="7"/>
        <v>7021.7666666666673</v>
      </c>
      <c r="AE61" s="24">
        <f t="shared" si="8"/>
        <v>5384.6153846153848</v>
      </c>
      <c r="AF61" s="24">
        <f t="shared" si="9"/>
        <v>592.30769230769238</v>
      </c>
      <c r="AG61" s="25">
        <v>1666.6666666666699</v>
      </c>
      <c r="AH61" s="25">
        <f t="shared" si="29"/>
        <v>57153.507692307663</v>
      </c>
      <c r="AI61" s="25">
        <f t="shared" si="30"/>
        <v>151.91884615384581</v>
      </c>
      <c r="AJ61" s="24">
        <f t="shared" si="31"/>
        <v>3.5108833333333336</v>
      </c>
      <c r="AK61" s="23">
        <f t="shared" si="32"/>
        <v>6274.0292448717955</v>
      </c>
      <c r="AL61" s="24">
        <v>0</v>
      </c>
      <c r="AM61" s="23">
        <f t="shared" si="33"/>
        <v>6274.0292448717955</v>
      </c>
      <c r="AN61" s="25">
        <f t="shared" si="34"/>
        <v>1009.6153846153846</v>
      </c>
      <c r="AO61" s="45"/>
      <c r="AP61" s="27">
        <f t="shared" si="38"/>
        <v>8031.3820512820521</v>
      </c>
    </row>
    <row r="62" spans="1:42" x14ac:dyDescent="0.35">
      <c r="A62" s="11" t="s">
        <v>66</v>
      </c>
      <c r="B62" s="12" t="s">
        <v>131</v>
      </c>
      <c r="C62" s="31">
        <v>30608221900475</v>
      </c>
      <c r="D62" s="43" t="s">
        <v>341</v>
      </c>
      <c r="E62" s="31" t="s">
        <v>44</v>
      </c>
      <c r="F62" s="29" t="s">
        <v>238</v>
      </c>
      <c r="G62" s="16" t="s">
        <v>70</v>
      </c>
      <c r="H62" s="17">
        <v>4000</v>
      </c>
      <c r="I62" s="17">
        <v>3000</v>
      </c>
      <c r="J62" s="17">
        <v>0</v>
      </c>
      <c r="K62" s="18">
        <v>0.85809999999999997</v>
      </c>
      <c r="L62" s="17">
        <f t="shared" si="22"/>
        <v>2574.2999999999997</v>
      </c>
      <c r="M62" s="17">
        <f t="shared" si="23"/>
        <v>30</v>
      </c>
      <c r="N62" s="44">
        <v>0</v>
      </c>
      <c r="O62" s="19">
        <f t="shared" si="35"/>
        <v>133.33333333333334</v>
      </c>
      <c r="P62" s="19">
        <f t="shared" si="36"/>
        <v>99.01153846153845</v>
      </c>
      <c r="Q62" s="19">
        <f t="shared" si="24"/>
        <v>232.34487179487178</v>
      </c>
      <c r="R62" s="19">
        <f t="shared" si="25"/>
        <v>16.666666666666668</v>
      </c>
      <c r="S62" s="17">
        <v>0</v>
      </c>
      <c r="T62" s="17">
        <f t="shared" si="26"/>
        <v>0</v>
      </c>
      <c r="U62" s="17">
        <v>0</v>
      </c>
      <c r="V62" s="20">
        <f t="shared" si="37"/>
        <v>6574.2999999999993</v>
      </c>
      <c r="W62" s="21">
        <v>0</v>
      </c>
      <c r="X62" s="21">
        <f t="shared" si="19"/>
        <v>0</v>
      </c>
      <c r="Y62" s="21">
        <v>1</v>
      </c>
      <c r="Z62" s="21">
        <f t="shared" si="20"/>
        <v>133.33333333333334</v>
      </c>
      <c r="AA62" s="21">
        <v>0</v>
      </c>
      <c r="AB62" s="21">
        <f t="shared" si="27"/>
        <v>0</v>
      </c>
      <c r="AC62" s="22">
        <f t="shared" si="28"/>
        <v>133.33333333333334</v>
      </c>
      <c r="AD62" s="23">
        <f t="shared" si="7"/>
        <v>6440.9666666666662</v>
      </c>
      <c r="AE62" s="24">
        <f t="shared" si="8"/>
        <v>5384.6153846153848</v>
      </c>
      <c r="AF62" s="24">
        <f t="shared" si="9"/>
        <v>592.30769230769238</v>
      </c>
      <c r="AG62" s="25">
        <v>1666.6666666666699</v>
      </c>
      <c r="AH62" s="25">
        <f t="shared" si="29"/>
        <v>50183.90769230765</v>
      </c>
      <c r="AI62" s="25">
        <f t="shared" si="30"/>
        <v>84.865897435897082</v>
      </c>
      <c r="AJ62" s="24">
        <f t="shared" si="31"/>
        <v>3.2204833333333331</v>
      </c>
      <c r="AK62" s="23">
        <f t="shared" si="32"/>
        <v>5760.5725935897435</v>
      </c>
      <c r="AL62" s="24">
        <v>0</v>
      </c>
      <c r="AM62" s="23">
        <f t="shared" si="33"/>
        <v>5760.5725935897435</v>
      </c>
      <c r="AN62" s="25">
        <f t="shared" si="34"/>
        <v>1009.6153846153846</v>
      </c>
      <c r="AO62" s="45"/>
      <c r="AP62" s="27">
        <f t="shared" si="38"/>
        <v>7450.582051282051</v>
      </c>
    </row>
    <row r="63" spans="1:42" x14ac:dyDescent="0.35">
      <c r="A63" s="11" t="s">
        <v>66</v>
      </c>
      <c r="B63" s="12" t="s">
        <v>132</v>
      </c>
      <c r="C63" s="31">
        <v>29808212100397</v>
      </c>
      <c r="D63" s="43" t="s">
        <v>342</v>
      </c>
      <c r="E63" s="31" t="s">
        <v>90</v>
      </c>
      <c r="F63" s="29" t="s">
        <v>239</v>
      </c>
      <c r="G63" s="16" t="s">
        <v>70</v>
      </c>
      <c r="H63" s="17">
        <v>4000</v>
      </c>
      <c r="I63" s="17">
        <v>3000</v>
      </c>
      <c r="J63" s="17">
        <v>0</v>
      </c>
      <c r="K63" s="18">
        <v>1.1193</v>
      </c>
      <c r="L63" s="17">
        <f t="shared" si="22"/>
        <v>3357.9</v>
      </c>
      <c r="M63" s="17">
        <f t="shared" si="23"/>
        <v>30</v>
      </c>
      <c r="N63" s="44">
        <v>0</v>
      </c>
      <c r="O63" s="19">
        <f t="shared" si="35"/>
        <v>133.33333333333334</v>
      </c>
      <c r="P63" s="19">
        <f t="shared" si="36"/>
        <v>129.15</v>
      </c>
      <c r="Q63" s="19">
        <f t="shared" si="24"/>
        <v>262.48333333333335</v>
      </c>
      <c r="R63" s="19">
        <f t="shared" si="25"/>
        <v>16.666666666666668</v>
      </c>
      <c r="S63" s="17">
        <v>0</v>
      </c>
      <c r="T63" s="17">
        <f t="shared" si="26"/>
        <v>0</v>
      </c>
      <c r="U63" s="17">
        <v>0</v>
      </c>
      <c r="V63" s="20">
        <f t="shared" si="37"/>
        <v>7357.9</v>
      </c>
      <c r="W63" s="21">
        <v>0</v>
      </c>
      <c r="X63" s="21">
        <f t="shared" si="19"/>
        <v>0</v>
      </c>
      <c r="Y63" s="21">
        <v>0</v>
      </c>
      <c r="Z63" s="21">
        <f t="shared" si="20"/>
        <v>0</v>
      </c>
      <c r="AA63" s="21">
        <v>0</v>
      </c>
      <c r="AB63" s="21">
        <f t="shared" si="27"/>
        <v>0</v>
      </c>
      <c r="AC63" s="22">
        <f t="shared" si="28"/>
        <v>0</v>
      </c>
      <c r="AD63" s="23">
        <f t="shared" si="7"/>
        <v>7357.9</v>
      </c>
      <c r="AE63" s="24">
        <f t="shared" si="8"/>
        <v>5384.6153846153848</v>
      </c>
      <c r="AF63" s="24">
        <f t="shared" si="9"/>
        <v>592.30769230769238</v>
      </c>
      <c r="AG63" s="25">
        <v>1666.6666666666699</v>
      </c>
      <c r="AH63" s="25">
        <f t="shared" si="29"/>
        <v>61187.107692307647</v>
      </c>
      <c r="AI63" s="25">
        <f t="shared" si="30"/>
        <v>202.33884615384559</v>
      </c>
      <c r="AJ63" s="24">
        <f t="shared" si="31"/>
        <v>3.6789499999999999</v>
      </c>
      <c r="AK63" s="23">
        <f t="shared" si="32"/>
        <v>6559.5745115384616</v>
      </c>
      <c r="AL63" s="24">
        <v>0</v>
      </c>
      <c r="AM63" s="23">
        <f t="shared" si="33"/>
        <v>6559.5745115384616</v>
      </c>
      <c r="AN63" s="25">
        <f t="shared" si="34"/>
        <v>1009.6153846153846</v>
      </c>
      <c r="AO63" s="45"/>
      <c r="AP63" s="27">
        <f t="shared" si="38"/>
        <v>8367.5153846153844</v>
      </c>
    </row>
    <row r="64" spans="1:42" x14ac:dyDescent="0.35">
      <c r="A64" s="11" t="s">
        <v>66</v>
      </c>
      <c r="B64" s="12" t="s">
        <v>133</v>
      </c>
      <c r="C64" s="31">
        <v>30511231301991</v>
      </c>
      <c r="D64" s="43" t="s">
        <v>343</v>
      </c>
      <c r="E64" s="31" t="s">
        <v>44</v>
      </c>
      <c r="F64" s="29" t="s">
        <v>240</v>
      </c>
      <c r="G64" s="16" t="s">
        <v>70</v>
      </c>
      <c r="H64" s="17">
        <v>4000</v>
      </c>
      <c r="I64" s="17">
        <v>3000</v>
      </c>
      <c r="J64" s="17">
        <v>0</v>
      </c>
      <c r="K64" s="18">
        <v>0.48360000000000009</v>
      </c>
      <c r="L64" s="17">
        <f t="shared" si="22"/>
        <v>1450.8000000000002</v>
      </c>
      <c r="M64" s="17">
        <f t="shared" si="23"/>
        <v>30</v>
      </c>
      <c r="N64" s="44">
        <v>0</v>
      </c>
      <c r="O64" s="19">
        <f t="shared" si="35"/>
        <v>133.33333333333334</v>
      </c>
      <c r="P64" s="19">
        <f t="shared" si="36"/>
        <v>55.800000000000004</v>
      </c>
      <c r="Q64" s="19">
        <f t="shared" si="24"/>
        <v>189.13333333333335</v>
      </c>
      <c r="R64" s="19">
        <f t="shared" si="25"/>
        <v>16.666666666666668</v>
      </c>
      <c r="S64" s="17">
        <v>0</v>
      </c>
      <c r="T64" s="17">
        <f t="shared" si="26"/>
        <v>0</v>
      </c>
      <c r="U64" s="17">
        <v>0</v>
      </c>
      <c r="V64" s="20">
        <f t="shared" si="37"/>
        <v>5450.8</v>
      </c>
      <c r="W64" s="21">
        <v>0</v>
      </c>
      <c r="X64" s="21">
        <f t="shared" si="19"/>
        <v>0</v>
      </c>
      <c r="Y64" s="21">
        <v>0</v>
      </c>
      <c r="Z64" s="21">
        <f t="shared" si="20"/>
        <v>0</v>
      </c>
      <c r="AA64" s="21">
        <v>0</v>
      </c>
      <c r="AB64" s="21">
        <f t="shared" si="27"/>
        <v>0</v>
      </c>
      <c r="AC64" s="22">
        <f t="shared" si="28"/>
        <v>0</v>
      </c>
      <c r="AD64" s="23">
        <f t="shared" si="7"/>
        <v>5450.8</v>
      </c>
      <c r="AE64" s="24">
        <f t="shared" si="8"/>
        <v>5384.6153846153848</v>
      </c>
      <c r="AF64" s="24">
        <f t="shared" si="9"/>
        <v>592.30769230769238</v>
      </c>
      <c r="AG64" s="25">
        <v>1666.6666666666699</v>
      </c>
      <c r="AH64" s="25">
        <f t="shared" si="29"/>
        <v>38301.907692307657</v>
      </c>
      <c r="AI64" s="25">
        <f t="shared" si="30"/>
        <v>0</v>
      </c>
      <c r="AJ64" s="24">
        <f t="shared" si="31"/>
        <v>2.7254</v>
      </c>
      <c r="AK64" s="23">
        <f t="shared" si="32"/>
        <v>4855.7669076923075</v>
      </c>
      <c r="AL64" s="24">
        <v>0</v>
      </c>
      <c r="AM64" s="23">
        <f t="shared" si="33"/>
        <v>4855.7669076923075</v>
      </c>
      <c r="AN64" s="25">
        <f t="shared" si="34"/>
        <v>1009.6153846153846</v>
      </c>
      <c r="AO64" s="45"/>
      <c r="AP64" s="27">
        <f t="shared" si="38"/>
        <v>6460.4153846153849</v>
      </c>
    </row>
    <row r="65" spans="1:42" x14ac:dyDescent="0.35">
      <c r="A65" s="11" t="s">
        <v>66</v>
      </c>
      <c r="B65" s="12" t="s">
        <v>134</v>
      </c>
      <c r="C65" s="31">
        <v>30709301307652</v>
      </c>
      <c r="D65" s="43" t="s">
        <v>344</v>
      </c>
      <c r="E65" s="31" t="s">
        <v>90</v>
      </c>
      <c r="F65" s="29" t="s">
        <v>241</v>
      </c>
      <c r="G65" s="16" t="s">
        <v>70</v>
      </c>
      <c r="H65" s="17">
        <v>4000</v>
      </c>
      <c r="I65" s="17">
        <v>3000</v>
      </c>
      <c r="J65" s="17">
        <v>0</v>
      </c>
      <c r="K65" s="18">
        <v>1.0713999999999999</v>
      </c>
      <c r="L65" s="17">
        <f t="shared" si="22"/>
        <v>3214.2</v>
      </c>
      <c r="M65" s="17">
        <f t="shared" si="23"/>
        <v>30</v>
      </c>
      <c r="N65" s="44">
        <v>0</v>
      </c>
      <c r="O65" s="19">
        <f t="shared" si="35"/>
        <v>133.33333333333334</v>
      </c>
      <c r="P65" s="19">
        <f t="shared" si="36"/>
        <v>123.62307692307692</v>
      </c>
      <c r="Q65" s="19">
        <f t="shared" si="24"/>
        <v>256.95641025641027</v>
      </c>
      <c r="R65" s="19">
        <f t="shared" si="25"/>
        <v>16.666666666666668</v>
      </c>
      <c r="S65" s="17">
        <v>0</v>
      </c>
      <c r="T65" s="17">
        <f t="shared" si="26"/>
        <v>0</v>
      </c>
      <c r="U65" s="17">
        <v>0</v>
      </c>
      <c r="V65" s="20">
        <f t="shared" si="37"/>
        <v>7214.2</v>
      </c>
      <c r="W65" s="21">
        <v>0</v>
      </c>
      <c r="X65" s="21">
        <f t="shared" si="19"/>
        <v>0</v>
      </c>
      <c r="Y65" s="21">
        <v>1</v>
      </c>
      <c r="Z65" s="21">
        <f t="shared" si="20"/>
        <v>133.33333333333334</v>
      </c>
      <c r="AA65" s="21">
        <v>0</v>
      </c>
      <c r="AB65" s="21">
        <f t="shared" si="27"/>
        <v>0</v>
      </c>
      <c r="AC65" s="22">
        <f t="shared" si="28"/>
        <v>133.33333333333334</v>
      </c>
      <c r="AD65" s="23">
        <f t="shared" si="7"/>
        <v>7080.8666666666668</v>
      </c>
      <c r="AE65" s="24">
        <f t="shared" si="8"/>
        <v>5384.6153846153848</v>
      </c>
      <c r="AF65" s="24">
        <f t="shared" si="9"/>
        <v>592.30769230769238</v>
      </c>
      <c r="AG65" s="25">
        <v>1666.6666666666699</v>
      </c>
      <c r="AH65" s="25">
        <f t="shared" si="29"/>
        <v>57862.707692307653</v>
      </c>
      <c r="AI65" s="25">
        <f t="shared" si="30"/>
        <v>160.78384615384564</v>
      </c>
      <c r="AJ65" s="24">
        <f t="shared" si="31"/>
        <v>3.5404333333333335</v>
      </c>
      <c r="AK65" s="23">
        <f t="shared" si="32"/>
        <v>6324.234694871795</v>
      </c>
      <c r="AL65" s="24">
        <v>0</v>
      </c>
      <c r="AM65" s="23">
        <f t="shared" si="33"/>
        <v>6324.234694871795</v>
      </c>
      <c r="AN65" s="25">
        <f t="shared" si="34"/>
        <v>1009.6153846153846</v>
      </c>
      <c r="AO65" s="45"/>
      <c r="AP65" s="27">
        <f t="shared" si="38"/>
        <v>8090.4820512820515</v>
      </c>
    </row>
    <row r="66" spans="1:42" x14ac:dyDescent="0.35">
      <c r="A66" s="11" t="s">
        <v>66</v>
      </c>
      <c r="B66" s="12" t="s">
        <v>135</v>
      </c>
      <c r="C66" s="31">
        <v>30507280104053</v>
      </c>
      <c r="D66" s="43" t="s">
        <v>345</v>
      </c>
      <c r="E66" s="31" t="s">
        <v>90</v>
      </c>
      <c r="F66" s="29" t="s">
        <v>242</v>
      </c>
      <c r="G66" s="16" t="s">
        <v>70</v>
      </c>
      <c r="H66" s="17">
        <v>4000</v>
      </c>
      <c r="I66" s="17">
        <v>3000</v>
      </c>
      <c r="J66" s="17">
        <v>0</v>
      </c>
      <c r="K66" s="18">
        <v>1.3505</v>
      </c>
      <c r="L66" s="17">
        <f t="shared" si="22"/>
        <v>4051.5</v>
      </c>
      <c r="M66" s="17">
        <f t="shared" si="23"/>
        <v>30</v>
      </c>
      <c r="N66" s="44">
        <v>0</v>
      </c>
      <c r="O66" s="19">
        <f t="shared" si="35"/>
        <v>133.33333333333334</v>
      </c>
      <c r="P66" s="19">
        <f t="shared" si="36"/>
        <v>155.82692307692307</v>
      </c>
      <c r="Q66" s="19">
        <f t="shared" si="24"/>
        <v>289.16025641025641</v>
      </c>
      <c r="R66" s="19">
        <f t="shared" si="25"/>
        <v>16.666666666666668</v>
      </c>
      <c r="S66" s="17">
        <v>0</v>
      </c>
      <c r="T66" s="17">
        <f t="shared" si="26"/>
        <v>0</v>
      </c>
      <c r="U66" s="17">
        <v>0</v>
      </c>
      <c r="V66" s="20">
        <f t="shared" si="37"/>
        <v>8051.5</v>
      </c>
      <c r="W66" s="21">
        <v>0</v>
      </c>
      <c r="X66" s="21">
        <f t="shared" si="19"/>
        <v>0</v>
      </c>
      <c r="Y66" s="21">
        <v>0</v>
      </c>
      <c r="Z66" s="21">
        <f t="shared" si="20"/>
        <v>0</v>
      </c>
      <c r="AA66" s="21">
        <v>0</v>
      </c>
      <c r="AB66" s="21">
        <f t="shared" si="27"/>
        <v>0</v>
      </c>
      <c r="AC66" s="22">
        <f t="shared" si="28"/>
        <v>0</v>
      </c>
      <c r="AD66" s="23">
        <f t="shared" ref="AD66:AD78" si="39">V66-AC66</f>
        <v>8051.5</v>
      </c>
      <c r="AE66" s="24">
        <f t="shared" ref="AE66:AE76" si="40">7000/1.3</f>
        <v>5384.6153846153848</v>
      </c>
      <c r="AF66" s="24">
        <f t="shared" ref="AF66:AF76" si="41">+AE66*0.11</f>
        <v>592.30769230769238</v>
      </c>
      <c r="AG66" s="25">
        <v>1667.6666666666699</v>
      </c>
      <c r="AH66" s="25">
        <f t="shared" si="29"/>
        <v>69498.307692307659</v>
      </c>
      <c r="AI66" s="25">
        <f t="shared" si="30"/>
        <v>306.22884615384572</v>
      </c>
      <c r="AJ66" s="24">
        <f t="shared" si="31"/>
        <v>4.0257500000000004</v>
      </c>
      <c r="AK66" s="23">
        <f t="shared" si="32"/>
        <v>7148.9377115384623</v>
      </c>
      <c r="AL66" s="24">
        <v>0</v>
      </c>
      <c r="AM66" s="23">
        <f t="shared" si="33"/>
        <v>7148.9377115384623</v>
      </c>
      <c r="AN66" s="25">
        <f t="shared" si="34"/>
        <v>1009.6153846153846</v>
      </c>
      <c r="AO66" s="45"/>
      <c r="AP66" s="27">
        <f t="shared" si="38"/>
        <v>9061.1153846153848</v>
      </c>
    </row>
    <row r="67" spans="1:42" x14ac:dyDescent="0.35">
      <c r="A67" s="11" t="s">
        <v>66</v>
      </c>
      <c r="B67" s="12" t="s">
        <v>136</v>
      </c>
      <c r="C67" s="31">
        <v>30506122702893</v>
      </c>
      <c r="D67" s="43" t="s">
        <v>346</v>
      </c>
      <c r="E67" s="31" t="s">
        <v>44</v>
      </c>
      <c r="F67" s="29" t="s">
        <v>243</v>
      </c>
      <c r="G67" s="16" t="s">
        <v>70</v>
      </c>
      <c r="H67" s="17">
        <v>4000</v>
      </c>
      <c r="I67" s="17">
        <v>3000</v>
      </c>
      <c r="J67" s="17">
        <v>0</v>
      </c>
      <c r="K67" s="18">
        <v>0.83860000000000001</v>
      </c>
      <c r="L67" s="17">
        <f t="shared" si="22"/>
        <v>2515.8000000000002</v>
      </c>
      <c r="M67" s="17">
        <f t="shared" si="23"/>
        <v>30</v>
      </c>
      <c r="N67" s="44">
        <v>0</v>
      </c>
      <c r="O67" s="19">
        <f t="shared" si="35"/>
        <v>133.33333333333334</v>
      </c>
      <c r="P67" s="19">
        <f t="shared" ref="P67:P78" si="42">L67/30</f>
        <v>83.86</v>
      </c>
      <c r="Q67" s="19">
        <f t="shared" si="24"/>
        <v>217.19333333333333</v>
      </c>
      <c r="R67" s="19">
        <f t="shared" si="25"/>
        <v>16.666666666666668</v>
      </c>
      <c r="S67" s="17">
        <v>0</v>
      </c>
      <c r="T67" s="17">
        <f t="shared" si="26"/>
        <v>0</v>
      </c>
      <c r="U67" s="17">
        <v>0</v>
      </c>
      <c r="V67" s="20">
        <f t="shared" si="37"/>
        <v>6515.8</v>
      </c>
      <c r="W67" s="21">
        <v>0</v>
      </c>
      <c r="X67" s="21">
        <f t="shared" ref="X67:X78" si="43">O67*W67</f>
        <v>0</v>
      </c>
      <c r="Y67" s="21">
        <v>2</v>
      </c>
      <c r="Z67" s="21">
        <f t="shared" ref="Z67:Z76" si="44">O67*Y67</f>
        <v>266.66666666666669</v>
      </c>
      <c r="AA67" s="21">
        <v>0</v>
      </c>
      <c r="AB67" s="21">
        <f t="shared" si="27"/>
        <v>0</v>
      </c>
      <c r="AC67" s="22">
        <f t="shared" si="28"/>
        <v>266.66666666666669</v>
      </c>
      <c r="AD67" s="23">
        <f t="shared" si="39"/>
        <v>6249.1333333333332</v>
      </c>
      <c r="AE67" s="24">
        <f t="shared" si="40"/>
        <v>5384.6153846153848</v>
      </c>
      <c r="AF67" s="24">
        <f t="shared" si="41"/>
        <v>592.30769230769238</v>
      </c>
      <c r="AG67" s="25">
        <v>1666.6666666666699</v>
      </c>
      <c r="AH67" s="25">
        <f t="shared" si="29"/>
        <v>47881.90769230765</v>
      </c>
      <c r="AI67" s="25">
        <f t="shared" si="30"/>
        <v>65.682564102563745</v>
      </c>
      <c r="AJ67" s="24">
        <f t="shared" si="31"/>
        <v>3.1245666666666665</v>
      </c>
      <c r="AK67" s="23">
        <f t="shared" si="32"/>
        <v>5588.018510256411</v>
      </c>
      <c r="AL67" s="24">
        <v>0</v>
      </c>
      <c r="AM67" s="23">
        <f t="shared" si="33"/>
        <v>5588.018510256411</v>
      </c>
      <c r="AN67" s="25">
        <f t="shared" si="34"/>
        <v>1009.6153846153846</v>
      </c>
      <c r="AO67" s="45"/>
      <c r="AP67" s="27">
        <f t="shared" si="38"/>
        <v>7258.748717948718</v>
      </c>
    </row>
    <row r="68" spans="1:42" x14ac:dyDescent="0.35">
      <c r="A68" s="11" t="s">
        <v>66</v>
      </c>
      <c r="B68" s="12" t="s">
        <v>137</v>
      </c>
      <c r="C68" s="31">
        <v>30407071306698</v>
      </c>
      <c r="D68" s="43" t="s">
        <v>347</v>
      </c>
      <c r="E68" s="31" t="s">
        <v>90</v>
      </c>
      <c r="F68" s="29" t="s">
        <v>244</v>
      </c>
      <c r="G68" s="16" t="s">
        <v>70</v>
      </c>
      <c r="H68" s="17">
        <v>4000</v>
      </c>
      <c r="I68" s="17">
        <v>3000</v>
      </c>
      <c r="J68" s="17">
        <v>0</v>
      </c>
      <c r="K68" s="18">
        <v>0.67789999999999995</v>
      </c>
      <c r="L68" s="17">
        <f t="shared" si="22"/>
        <v>2033.6999999999998</v>
      </c>
      <c r="M68" s="17">
        <f t="shared" si="23"/>
        <v>30</v>
      </c>
      <c r="N68" s="44">
        <v>0</v>
      </c>
      <c r="O68" s="19">
        <f t="shared" si="35"/>
        <v>133.33333333333334</v>
      </c>
      <c r="P68" s="19">
        <f t="shared" si="42"/>
        <v>67.789999999999992</v>
      </c>
      <c r="Q68" s="19">
        <f t="shared" si="24"/>
        <v>201.12333333333333</v>
      </c>
      <c r="R68" s="19">
        <f t="shared" si="25"/>
        <v>16.666666666666668</v>
      </c>
      <c r="S68" s="17">
        <v>0</v>
      </c>
      <c r="T68" s="17">
        <f t="shared" si="26"/>
        <v>0</v>
      </c>
      <c r="U68" s="17">
        <v>0</v>
      </c>
      <c r="V68" s="20">
        <f t="shared" si="37"/>
        <v>6033.7</v>
      </c>
      <c r="W68" s="21">
        <v>0</v>
      </c>
      <c r="X68" s="21">
        <f t="shared" si="43"/>
        <v>0</v>
      </c>
      <c r="Y68" s="21">
        <v>1</v>
      </c>
      <c r="Z68" s="21">
        <f t="shared" si="44"/>
        <v>133.33333333333334</v>
      </c>
      <c r="AA68" s="21">
        <v>0</v>
      </c>
      <c r="AB68" s="21">
        <f t="shared" si="27"/>
        <v>0</v>
      </c>
      <c r="AC68" s="22">
        <f t="shared" si="28"/>
        <v>133.33333333333334</v>
      </c>
      <c r="AD68" s="23">
        <f t="shared" si="39"/>
        <v>5900.3666666666668</v>
      </c>
      <c r="AE68" s="24">
        <f t="shared" si="40"/>
        <v>5384.6153846153848</v>
      </c>
      <c r="AF68" s="24">
        <f t="shared" si="41"/>
        <v>592.30769230769238</v>
      </c>
      <c r="AG68" s="25">
        <v>1666.6666666666699</v>
      </c>
      <c r="AH68" s="25">
        <f t="shared" si="29"/>
        <v>43696.707692307653</v>
      </c>
      <c r="AI68" s="25">
        <f t="shared" si="30"/>
        <v>30.805897435897108</v>
      </c>
      <c r="AJ68" s="24">
        <f t="shared" si="31"/>
        <v>2.9501833333333334</v>
      </c>
      <c r="AK68" s="23">
        <f t="shared" si="32"/>
        <v>5274.3028935897437</v>
      </c>
      <c r="AL68" s="24">
        <v>0</v>
      </c>
      <c r="AM68" s="23">
        <f t="shared" si="33"/>
        <v>5274.3028935897437</v>
      </c>
      <c r="AN68" s="25">
        <f t="shared" si="34"/>
        <v>1009.6153846153846</v>
      </c>
      <c r="AO68" s="45"/>
      <c r="AP68" s="27">
        <f t="shared" si="38"/>
        <v>6909.9820512820515</v>
      </c>
    </row>
    <row r="69" spans="1:42" x14ac:dyDescent="0.35">
      <c r="A69" s="11" t="s">
        <v>66</v>
      </c>
      <c r="B69" s="12" t="s">
        <v>138</v>
      </c>
      <c r="C69" s="31">
        <v>30612021300152</v>
      </c>
      <c r="D69" s="43" t="s">
        <v>348</v>
      </c>
      <c r="E69" s="31" t="s">
        <v>44</v>
      </c>
      <c r="F69" s="29" t="s">
        <v>245</v>
      </c>
      <c r="G69" s="16" t="s">
        <v>70</v>
      </c>
      <c r="H69" s="17">
        <v>4000</v>
      </c>
      <c r="I69" s="17">
        <v>3000</v>
      </c>
      <c r="J69" s="17">
        <v>0</v>
      </c>
      <c r="K69" s="18">
        <v>0.80599999999999994</v>
      </c>
      <c r="L69" s="17">
        <f t="shared" si="22"/>
        <v>2418</v>
      </c>
      <c r="M69" s="17">
        <f t="shared" si="23"/>
        <v>30</v>
      </c>
      <c r="N69" s="44">
        <v>0</v>
      </c>
      <c r="O69" s="19">
        <f t="shared" si="35"/>
        <v>133.33333333333334</v>
      </c>
      <c r="P69" s="19">
        <f t="shared" si="42"/>
        <v>80.599999999999994</v>
      </c>
      <c r="Q69" s="19">
        <f t="shared" si="24"/>
        <v>213.93333333333334</v>
      </c>
      <c r="R69" s="19">
        <f t="shared" si="25"/>
        <v>16.666666666666668</v>
      </c>
      <c r="S69" s="17">
        <v>0</v>
      </c>
      <c r="T69" s="17">
        <f t="shared" si="26"/>
        <v>0</v>
      </c>
      <c r="U69" s="17">
        <v>0</v>
      </c>
      <c r="V69" s="20">
        <f t="shared" si="37"/>
        <v>6418</v>
      </c>
      <c r="W69" s="21">
        <v>0</v>
      </c>
      <c r="X69" s="21">
        <f t="shared" si="43"/>
        <v>0</v>
      </c>
      <c r="Y69" s="21">
        <v>2</v>
      </c>
      <c r="Z69" s="21">
        <f t="shared" si="44"/>
        <v>266.66666666666669</v>
      </c>
      <c r="AA69" s="21">
        <v>0</v>
      </c>
      <c r="AB69" s="21">
        <f t="shared" si="27"/>
        <v>0</v>
      </c>
      <c r="AC69" s="22">
        <f t="shared" si="28"/>
        <v>266.66666666666669</v>
      </c>
      <c r="AD69" s="23">
        <f t="shared" si="39"/>
        <v>6151.333333333333</v>
      </c>
      <c r="AE69" s="24">
        <f t="shared" si="40"/>
        <v>5384.6153846153848</v>
      </c>
      <c r="AF69" s="24">
        <f t="shared" si="41"/>
        <v>592.30769230769238</v>
      </c>
      <c r="AG69" s="25">
        <v>1666.6666666666699</v>
      </c>
      <c r="AH69" s="25">
        <f t="shared" si="29"/>
        <v>46708.307692307651</v>
      </c>
      <c r="AI69" s="25">
        <f t="shared" si="30"/>
        <v>55.902564102563765</v>
      </c>
      <c r="AJ69" s="24">
        <f t="shared" si="31"/>
        <v>3.0756666666666668</v>
      </c>
      <c r="AK69" s="23">
        <f t="shared" si="32"/>
        <v>5500.0474102564103</v>
      </c>
      <c r="AL69" s="24">
        <v>0</v>
      </c>
      <c r="AM69" s="23">
        <f t="shared" si="33"/>
        <v>5500.0474102564103</v>
      </c>
      <c r="AN69" s="25">
        <f t="shared" si="34"/>
        <v>1009.6153846153846</v>
      </c>
      <c r="AO69" s="45"/>
      <c r="AP69" s="27">
        <f t="shared" si="38"/>
        <v>7160.9487179487178</v>
      </c>
    </row>
    <row r="70" spans="1:42" x14ac:dyDescent="0.35">
      <c r="A70" s="11" t="s">
        <v>66</v>
      </c>
      <c r="B70" s="12" t="s">
        <v>139</v>
      </c>
      <c r="C70" s="31">
        <v>30004011307558</v>
      </c>
      <c r="D70" s="43" t="s">
        <v>349</v>
      </c>
      <c r="E70" s="31" t="s">
        <v>90</v>
      </c>
      <c r="F70" s="29" t="s">
        <v>246</v>
      </c>
      <c r="G70" s="16" t="s">
        <v>70</v>
      </c>
      <c r="H70" s="17">
        <v>4000</v>
      </c>
      <c r="I70" s="17">
        <v>3000</v>
      </c>
      <c r="J70" s="17">
        <v>0</v>
      </c>
      <c r="K70" s="18">
        <v>0.65300000000000014</v>
      </c>
      <c r="L70" s="17">
        <f t="shared" si="22"/>
        <v>1959.0000000000005</v>
      </c>
      <c r="M70" s="17">
        <f t="shared" si="23"/>
        <v>30</v>
      </c>
      <c r="N70" s="44">
        <v>0</v>
      </c>
      <c r="O70" s="19">
        <f t="shared" si="35"/>
        <v>133.33333333333334</v>
      </c>
      <c r="P70" s="19">
        <f t="shared" si="42"/>
        <v>65.300000000000011</v>
      </c>
      <c r="Q70" s="19">
        <f t="shared" si="24"/>
        <v>198.63333333333335</v>
      </c>
      <c r="R70" s="19">
        <f t="shared" si="25"/>
        <v>16.666666666666668</v>
      </c>
      <c r="S70" s="17">
        <v>0</v>
      </c>
      <c r="T70" s="17">
        <f t="shared" si="26"/>
        <v>0</v>
      </c>
      <c r="U70" s="17">
        <v>0</v>
      </c>
      <c r="V70" s="20">
        <f t="shared" si="37"/>
        <v>5959</v>
      </c>
      <c r="W70" s="21">
        <v>0</v>
      </c>
      <c r="X70" s="21">
        <f t="shared" si="43"/>
        <v>0</v>
      </c>
      <c r="Y70" s="21">
        <v>0</v>
      </c>
      <c r="Z70" s="21">
        <f t="shared" si="44"/>
        <v>0</v>
      </c>
      <c r="AA70" s="21">
        <v>0</v>
      </c>
      <c r="AB70" s="21">
        <f t="shared" si="27"/>
        <v>0</v>
      </c>
      <c r="AC70" s="22">
        <f t="shared" si="28"/>
        <v>0</v>
      </c>
      <c r="AD70" s="23">
        <f t="shared" si="39"/>
        <v>5959</v>
      </c>
      <c r="AE70" s="24">
        <f t="shared" si="40"/>
        <v>5384.6153846153848</v>
      </c>
      <c r="AF70" s="24">
        <f t="shared" si="41"/>
        <v>592.30769230769238</v>
      </c>
      <c r="AG70" s="25">
        <v>1666.6666666666699</v>
      </c>
      <c r="AH70" s="25">
        <f t="shared" si="29"/>
        <v>44400.307692307659</v>
      </c>
      <c r="AI70" s="25">
        <f t="shared" si="30"/>
        <v>36.669230769230488</v>
      </c>
      <c r="AJ70" s="24">
        <f t="shared" si="31"/>
        <v>2.9795000000000003</v>
      </c>
      <c r="AK70" s="23">
        <f t="shared" si="32"/>
        <v>5327.0435769230771</v>
      </c>
      <c r="AL70" s="24">
        <v>0</v>
      </c>
      <c r="AM70" s="23">
        <f t="shared" si="33"/>
        <v>5327.0435769230771</v>
      </c>
      <c r="AN70" s="25">
        <f t="shared" si="34"/>
        <v>1009.6153846153846</v>
      </c>
      <c r="AO70" s="45"/>
      <c r="AP70" s="27">
        <f t="shared" si="38"/>
        <v>6968.6153846153848</v>
      </c>
    </row>
    <row r="71" spans="1:42" x14ac:dyDescent="0.35">
      <c r="A71" s="11" t="s">
        <v>66</v>
      </c>
      <c r="B71" s="12" t="s">
        <v>140</v>
      </c>
      <c r="C71" s="31">
        <v>30602011315474</v>
      </c>
      <c r="D71" s="43" t="s">
        <v>350</v>
      </c>
      <c r="E71" s="31" t="s">
        <v>90</v>
      </c>
      <c r="F71" s="29" t="s">
        <v>247</v>
      </c>
      <c r="G71" s="16" t="s">
        <v>70</v>
      </c>
      <c r="H71" s="17">
        <v>4000</v>
      </c>
      <c r="I71" s="17">
        <v>3000</v>
      </c>
      <c r="J71" s="17">
        <v>0</v>
      </c>
      <c r="K71" s="18">
        <v>0.36269999999999997</v>
      </c>
      <c r="L71" s="17">
        <f t="shared" si="22"/>
        <v>1088.0999999999999</v>
      </c>
      <c r="M71" s="17">
        <f t="shared" si="23"/>
        <v>30</v>
      </c>
      <c r="N71" s="44">
        <v>0</v>
      </c>
      <c r="O71" s="19">
        <f t="shared" si="35"/>
        <v>133.33333333333334</v>
      </c>
      <c r="P71" s="19">
        <f t="shared" si="42"/>
        <v>36.269999999999996</v>
      </c>
      <c r="Q71" s="19">
        <f t="shared" si="24"/>
        <v>169.60333333333335</v>
      </c>
      <c r="R71" s="19">
        <f t="shared" si="25"/>
        <v>16.666666666666668</v>
      </c>
      <c r="S71" s="17">
        <v>0</v>
      </c>
      <c r="T71" s="17">
        <f t="shared" si="26"/>
        <v>0</v>
      </c>
      <c r="U71" s="17">
        <v>0</v>
      </c>
      <c r="V71" s="20">
        <f t="shared" si="37"/>
        <v>5088.1000000000004</v>
      </c>
      <c r="W71" s="21">
        <v>0</v>
      </c>
      <c r="X71" s="21">
        <f t="shared" si="43"/>
        <v>0</v>
      </c>
      <c r="Y71" s="21">
        <v>0</v>
      </c>
      <c r="Z71" s="21">
        <f t="shared" si="44"/>
        <v>0</v>
      </c>
      <c r="AA71" s="21">
        <v>0</v>
      </c>
      <c r="AB71" s="21">
        <f t="shared" si="27"/>
        <v>0</v>
      </c>
      <c r="AC71" s="22">
        <f t="shared" si="28"/>
        <v>0</v>
      </c>
      <c r="AD71" s="23">
        <f t="shared" si="39"/>
        <v>5088.1000000000004</v>
      </c>
      <c r="AE71" s="24">
        <f t="shared" si="40"/>
        <v>5384.6153846153848</v>
      </c>
      <c r="AF71" s="24">
        <f t="shared" si="41"/>
        <v>592.30769230769238</v>
      </c>
      <c r="AG71" s="25">
        <v>1666.6666666666699</v>
      </c>
      <c r="AH71" s="25">
        <f t="shared" si="29"/>
        <v>33949.507692307656</v>
      </c>
      <c r="AI71" s="25">
        <f t="shared" si="30"/>
        <v>0</v>
      </c>
      <c r="AJ71" s="24">
        <f t="shared" si="31"/>
        <v>2.5440500000000004</v>
      </c>
      <c r="AK71" s="23">
        <f t="shared" si="32"/>
        <v>4493.2482576923076</v>
      </c>
      <c r="AL71" s="24">
        <v>0</v>
      </c>
      <c r="AM71" s="23">
        <f t="shared" si="33"/>
        <v>4493.2482576923076</v>
      </c>
      <c r="AN71" s="25">
        <f t="shared" si="34"/>
        <v>1009.6153846153846</v>
      </c>
      <c r="AO71" s="45"/>
      <c r="AP71" s="27">
        <f t="shared" si="38"/>
        <v>6097.7153846153851</v>
      </c>
    </row>
    <row r="72" spans="1:42" x14ac:dyDescent="0.35">
      <c r="A72" s="11" t="s">
        <v>66</v>
      </c>
      <c r="B72" s="12" t="s">
        <v>141</v>
      </c>
      <c r="C72" s="31">
        <v>30612221701119</v>
      </c>
      <c r="D72" s="43" t="s">
        <v>351</v>
      </c>
      <c r="E72" s="31" t="s">
        <v>90</v>
      </c>
      <c r="F72" s="29" t="s">
        <v>248</v>
      </c>
      <c r="G72" s="16" t="s">
        <v>70</v>
      </c>
      <c r="H72" s="17">
        <v>4000</v>
      </c>
      <c r="I72" s="17">
        <v>3000</v>
      </c>
      <c r="J72" s="17">
        <v>0</v>
      </c>
      <c r="K72" s="18">
        <v>0.31409999999999999</v>
      </c>
      <c r="L72" s="17">
        <f t="shared" si="22"/>
        <v>942.3</v>
      </c>
      <c r="M72" s="17">
        <f t="shared" si="23"/>
        <v>30</v>
      </c>
      <c r="N72" s="44">
        <v>0</v>
      </c>
      <c r="O72" s="19">
        <f t="shared" si="35"/>
        <v>133.33333333333334</v>
      </c>
      <c r="P72" s="19">
        <f t="shared" si="42"/>
        <v>31.41</v>
      </c>
      <c r="Q72" s="19">
        <f t="shared" si="24"/>
        <v>164.74333333333334</v>
      </c>
      <c r="R72" s="19">
        <f t="shared" si="25"/>
        <v>16.666666666666668</v>
      </c>
      <c r="S72" s="17">
        <v>0</v>
      </c>
      <c r="T72" s="17">
        <f t="shared" si="26"/>
        <v>0</v>
      </c>
      <c r="U72" s="17">
        <v>0</v>
      </c>
      <c r="V72" s="20">
        <f t="shared" si="37"/>
        <v>4942.3</v>
      </c>
      <c r="W72" s="21">
        <v>0</v>
      </c>
      <c r="X72" s="21">
        <f t="shared" si="43"/>
        <v>0</v>
      </c>
      <c r="Y72" s="21">
        <v>2</v>
      </c>
      <c r="Z72" s="21">
        <f t="shared" si="44"/>
        <v>266.66666666666669</v>
      </c>
      <c r="AA72" s="21">
        <v>0</v>
      </c>
      <c r="AB72" s="21">
        <f t="shared" si="27"/>
        <v>0</v>
      </c>
      <c r="AC72" s="22">
        <f t="shared" si="28"/>
        <v>266.66666666666669</v>
      </c>
      <c r="AD72" s="23">
        <f t="shared" si="39"/>
        <v>4675.6333333333332</v>
      </c>
      <c r="AE72" s="24">
        <f t="shared" si="40"/>
        <v>5384.6153846153848</v>
      </c>
      <c r="AF72" s="24">
        <f t="shared" si="41"/>
        <v>592.30769230769238</v>
      </c>
      <c r="AG72" s="25">
        <v>1666.6666666666699</v>
      </c>
      <c r="AH72" s="25">
        <f t="shared" si="29"/>
        <v>28999.907692307654</v>
      </c>
      <c r="AI72" s="25">
        <f t="shared" si="30"/>
        <v>0</v>
      </c>
      <c r="AJ72" s="24">
        <f t="shared" si="31"/>
        <v>2.3378166666666669</v>
      </c>
      <c r="AK72" s="23">
        <f t="shared" si="32"/>
        <v>4080.9878243589742</v>
      </c>
      <c r="AL72" s="24">
        <v>0</v>
      </c>
      <c r="AM72" s="23">
        <f t="shared" si="33"/>
        <v>4080.9878243589742</v>
      </c>
      <c r="AN72" s="25">
        <f t="shared" si="34"/>
        <v>1009.6153846153846</v>
      </c>
      <c r="AO72" s="45"/>
      <c r="AP72" s="27">
        <f t="shared" si="38"/>
        <v>5685.248717948718</v>
      </c>
    </row>
    <row r="73" spans="1:42" x14ac:dyDescent="0.35">
      <c r="A73" s="11" t="s">
        <v>66</v>
      </c>
      <c r="B73" s="12" t="s">
        <v>142</v>
      </c>
      <c r="C73" s="31">
        <v>30112041500392</v>
      </c>
      <c r="D73" s="43" t="s">
        <v>352</v>
      </c>
      <c r="E73" s="31" t="s">
        <v>90</v>
      </c>
      <c r="F73" s="29" t="s">
        <v>249</v>
      </c>
      <c r="G73" s="16" t="s">
        <v>70</v>
      </c>
      <c r="H73" s="17">
        <v>4000</v>
      </c>
      <c r="I73" s="17">
        <v>3000</v>
      </c>
      <c r="J73" s="17">
        <v>0</v>
      </c>
      <c r="K73" s="18">
        <v>0.28270000000000001</v>
      </c>
      <c r="L73" s="17">
        <f t="shared" si="22"/>
        <v>848.1</v>
      </c>
      <c r="M73" s="17">
        <f t="shared" si="23"/>
        <v>30</v>
      </c>
      <c r="N73" s="44">
        <v>0</v>
      </c>
      <c r="O73" s="19">
        <f t="shared" si="35"/>
        <v>133.33333333333334</v>
      </c>
      <c r="P73" s="19">
        <f t="shared" si="42"/>
        <v>28.27</v>
      </c>
      <c r="Q73" s="19">
        <f t="shared" si="24"/>
        <v>161.60333333333335</v>
      </c>
      <c r="R73" s="19">
        <f t="shared" si="25"/>
        <v>16.666666666666668</v>
      </c>
      <c r="S73" s="17">
        <v>0</v>
      </c>
      <c r="T73" s="17">
        <f t="shared" si="26"/>
        <v>0</v>
      </c>
      <c r="U73" s="17">
        <v>0</v>
      </c>
      <c r="V73" s="20">
        <f t="shared" si="37"/>
        <v>4848.1000000000004</v>
      </c>
      <c r="W73" s="21">
        <v>0</v>
      </c>
      <c r="X73" s="21">
        <f t="shared" si="43"/>
        <v>0</v>
      </c>
      <c r="Y73" s="21">
        <v>3</v>
      </c>
      <c r="Z73" s="21">
        <f t="shared" si="44"/>
        <v>400</v>
      </c>
      <c r="AA73" s="21">
        <v>0</v>
      </c>
      <c r="AB73" s="21">
        <f t="shared" si="27"/>
        <v>0</v>
      </c>
      <c r="AC73" s="22">
        <f t="shared" si="28"/>
        <v>400</v>
      </c>
      <c r="AD73" s="23">
        <f t="shared" si="39"/>
        <v>4448.1000000000004</v>
      </c>
      <c r="AE73" s="24">
        <f t="shared" si="40"/>
        <v>5384.6153846153848</v>
      </c>
      <c r="AF73" s="24">
        <f t="shared" si="41"/>
        <v>592.30769230769238</v>
      </c>
      <c r="AG73" s="25">
        <v>1666.6666666666699</v>
      </c>
      <c r="AH73" s="25">
        <f t="shared" si="29"/>
        <v>26269.507692307659</v>
      </c>
      <c r="AI73" s="25">
        <f t="shared" si="30"/>
        <v>0</v>
      </c>
      <c r="AJ73" s="24">
        <f t="shared" si="31"/>
        <v>2.2240500000000001</v>
      </c>
      <c r="AK73" s="23">
        <f t="shared" si="32"/>
        <v>3853.5682576923082</v>
      </c>
      <c r="AL73" s="24">
        <v>0</v>
      </c>
      <c r="AM73" s="23">
        <f t="shared" si="33"/>
        <v>3853.5682576923082</v>
      </c>
      <c r="AN73" s="25">
        <f t="shared" si="34"/>
        <v>1009.6153846153846</v>
      </c>
      <c r="AO73" s="45"/>
      <c r="AP73" s="27">
        <f t="shared" si="38"/>
        <v>5457.7153846153851</v>
      </c>
    </row>
    <row r="74" spans="1:42" x14ac:dyDescent="0.35">
      <c r="A74" s="11" t="s">
        <v>66</v>
      </c>
      <c r="B74" s="12" t="s">
        <v>143</v>
      </c>
      <c r="C74" s="31">
        <v>30211091301399</v>
      </c>
      <c r="D74" s="43" t="s">
        <v>353</v>
      </c>
      <c r="E74" s="31" t="s">
        <v>90</v>
      </c>
      <c r="F74" s="29" t="s">
        <v>250</v>
      </c>
      <c r="G74" s="16" t="s">
        <v>70</v>
      </c>
      <c r="H74" s="17">
        <v>4000</v>
      </c>
      <c r="I74" s="17">
        <v>3000</v>
      </c>
      <c r="J74" s="17">
        <v>0</v>
      </c>
      <c r="K74" s="18">
        <v>1.6742999999999997</v>
      </c>
      <c r="L74" s="17">
        <f t="shared" si="22"/>
        <v>5022.8999999999987</v>
      </c>
      <c r="M74" s="17">
        <f t="shared" si="23"/>
        <v>30</v>
      </c>
      <c r="N74" s="44">
        <v>0</v>
      </c>
      <c r="O74" s="19">
        <f t="shared" si="35"/>
        <v>133.33333333333334</v>
      </c>
      <c r="P74" s="19">
        <f t="shared" si="42"/>
        <v>167.42999999999995</v>
      </c>
      <c r="Q74" s="19">
        <f t="shared" si="24"/>
        <v>300.76333333333332</v>
      </c>
      <c r="R74" s="19">
        <f t="shared" si="25"/>
        <v>16.666666666666668</v>
      </c>
      <c r="S74" s="17">
        <v>0</v>
      </c>
      <c r="T74" s="17">
        <f t="shared" si="26"/>
        <v>0</v>
      </c>
      <c r="U74" s="17">
        <v>0</v>
      </c>
      <c r="V74" s="20">
        <f t="shared" si="37"/>
        <v>9022.8999999999978</v>
      </c>
      <c r="W74" s="21">
        <v>0</v>
      </c>
      <c r="X74" s="21">
        <f t="shared" si="43"/>
        <v>0</v>
      </c>
      <c r="Y74" s="21">
        <v>0</v>
      </c>
      <c r="Z74" s="21">
        <f t="shared" si="44"/>
        <v>0</v>
      </c>
      <c r="AA74" s="21">
        <v>0</v>
      </c>
      <c r="AB74" s="21">
        <f t="shared" si="27"/>
        <v>0</v>
      </c>
      <c r="AC74" s="22">
        <f t="shared" si="28"/>
        <v>0</v>
      </c>
      <c r="AD74" s="23">
        <f t="shared" si="39"/>
        <v>9022.8999999999978</v>
      </c>
      <c r="AE74" s="24">
        <f t="shared" si="40"/>
        <v>5384.6153846153848</v>
      </c>
      <c r="AF74" s="24">
        <f t="shared" si="41"/>
        <v>592.30769230769238</v>
      </c>
      <c r="AG74" s="25">
        <v>1666.6666666666699</v>
      </c>
      <c r="AH74" s="25">
        <f t="shared" si="29"/>
        <v>81167.107692307647</v>
      </c>
      <c r="AI74" s="25">
        <f t="shared" si="30"/>
        <v>498.61846153846074</v>
      </c>
      <c r="AJ74" s="24">
        <f t="shared" si="31"/>
        <v>4.5114499999999991</v>
      </c>
      <c r="AK74" s="23">
        <f t="shared" si="32"/>
        <v>7927.4623961538455</v>
      </c>
      <c r="AL74" s="24">
        <v>0</v>
      </c>
      <c r="AM74" s="23">
        <f t="shared" si="33"/>
        <v>7927.4623961538455</v>
      </c>
      <c r="AN74" s="25">
        <f t="shared" si="34"/>
        <v>1009.6153846153846</v>
      </c>
      <c r="AO74" s="45"/>
      <c r="AP74" s="27">
        <f t="shared" si="38"/>
        <v>10032.515384615383</v>
      </c>
    </row>
    <row r="75" spans="1:42" x14ac:dyDescent="0.35">
      <c r="A75" s="11" t="s">
        <v>66</v>
      </c>
      <c r="B75" s="12" t="s">
        <v>144</v>
      </c>
      <c r="C75" s="31">
        <v>30506141300577</v>
      </c>
      <c r="D75" s="43" t="s">
        <v>336</v>
      </c>
      <c r="E75" s="31" t="s">
        <v>90</v>
      </c>
      <c r="F75" s="29" t="s">
        <v>251</v>
      </c>
      <c r="G75" s="16" t="s">
        <v>70</v>
      </c>
      <c r="H75" s="17">
        <v>4000</v>
      </c>
      <c r="I75" s="17">
        <v>3000</v>
      </c>
      <c r="J75" s="17">
        <v>0</v>
      </c>
      <c r="K75" s="18">
        <v>0.3594</v>
      </c>
      <c r="L75" s="17">
        <f t="shared" si="22"/>
        <v>1078.2</v>
      </c>
      <c r="M75" s="17">
        <f t="shared" si="23"/>
        <v>30</v>
      </c>
      <c r="N75" s="44">
        <v>0</v>
      </c>
      <c r="O75" s="19">
        <f t="shared" si="35"/>
        <v>133.33333333333334</v>
      </c>
      <c r="P75" s="19">
        <f t="shared" si="42"/>
        <v>35.940000000000005</v>
      </c>
      <c r="Q75" s="19">
        <f t="shared" si="24"/>
        <v>169.27333333333334</v>
      </c>
      <c r="R75" s="19">
        <f t="shared" si="25"/>
        <v>16.666666666666668</v>
      </c>
      <c r="S75" s="17">
        <v>0</v>
      </c>
      <c r="T75" s="17">
        <f t="shared" si="26"/>
        <v>0</v>
      </c>
      <c r="U75" s="17">
        <v>0</v>
      </c>
      <c r="V75" s="20">
        <f t="shared" si="37"/>
        <v>5078.2</v>
      </c>
      <c r="W75" s="21">
        <v>0</v>
      </c>
      <c r="X75" s="21">
        <f t="shared" si="43"/>
        <v>0</v>
      </c>
      <c r="Y75" s="21">
        <v>0</v>
      </c>
      <c r="Z75" s="21">
        <f t="shared" si="44"/>
        <v>0</v>
      </c>
      <c r="AA75" s="21">
        <v>0</v>
      </c>
      <c r="AB75" s="21">
        <f t="shared" si="27"/>
        <v>0</v>
      </c>
      <c r="AC75" s="22">
        <f t="shared" si="28"/>
        <v>0</v>
      </c>
      <c r="AD75" s="23">
        <f t="shared" si="39"/>
        <v>5078.2</v>
      </c>
      <c r="AE75" s="24">
        <f t="shared" si="40"/>
        <v>5384.6153846153848</v>
      </c>
      <c r="AF75" s="24">
        <f t="shared" si="41"/>
        <v>592.30769230769238</v>
      </c>
      <c r="AG75" s="25">
        <v>1666.6666666666699</v>
      </c>
      <c r="AH75" s="25">
        <f t="shared" si="29"/>
        <v>33830.707692307653</v>
      </c>
      <c r="AI75" s="25">
        <f t="shared" si="30"/>
        <v>0</v>
      </c>
      <c r="AJ75" s="24">
        <f t="shared" si="31"/>
        <v>2.5390999999999999</v>
      </c>
      <c r="AK75" s="23">
        <f t="shared" si="32"/>
        <v>4483.3532076923075</v>
      </c>
      <c r="AL75" s="24">
        <v>0</v>
      </c>
      <c r="AM75" s="23">
        <f t="shared" si="33"/>
        <v>4483.3532076923075</v>
      </c>
      <c r="AN75" s="25">
        <f t="shared" si="34"/>
        <v>1009.6153846153846</v>
      </c>
      <c r="AO75" s="45"/>
      <c r="AP75" s="27">
        <f t="shared" si="38"/>
        <v>6087.8153846153846</v>
      </c>
    </row>
    <row r="76" spans="1:42" x14ac:dyDescent="0.35">
      <c r="A76" s="11" t="s">
        <v>66</v>
      </c>
      <c r="B76" s="12" t="s">
        <v>145</v>
      </c>
      <c r="C76" s="31">
        <v>30605221300878</v>
      </c>
      <c r="D76" s="43" t="s">
        <v>380</v>
      </c>
      <c r="E76" s="31" t="e">
        <v>#N/A</v>
      </c>
      <c r="F76" s="29" t="s">
        <v>252</v>
      </c>
      <c r="G76" s="16" t="s">
        <v>70</v>
      </c>
      <c r="H76" s="17">
        <v>4000</v>
      </c>
      <c r="I76" s="17">
        <v>3000</v>
      </c>
      <c r="J76" s="17">
        <v>0</v>
      </c>
      <c r="K76" s="18">
        <v>0.42369999999999997</v>
      </c>
      <c r="L76" s="17">
        <f t="shared" si="22"/>
        <v>1271.0999999999999</v>
      </c>
      <c r="M76" s="17">
        <f t="shared" si="23"/>
        <v>30</v>
      </c>
      <c r="N76" s="44">
        <v>0</v>
      </c>
      <c r="O76" s="19">
        <f t="shared" si="35"/>
        <v>133.33333333333334</v>
      </c>
      <c r="P76" s="19">
        <f t="shared" si="42"/>
        <v>42.37</v>
      </c>
      <c r="Q76" s="19">
        <f t="shared" si="24"/>
        <v>175.70333333333335</v>
      </c>
      <c r="R76" s="19">
        <f t="shared" si="25"/>
        <v>16.666666666666668</v>
      </c>
      <c r="S76" s="17">
        <v>0</v>
      </c>
      <c r="T76" s="17">
        <f t="shared" si="26"/>
        <v>0</v>
      </c>
      <c r="U76" s="17">
        <v>0</v>
      </c>
      <c r="V76" s="20">
        <f t="shared" si="37"/>
        <v>5271.1</v>
      </c>
      <c r="W76" s="21">
        <v>0</v>
      </c>
      <c r="X76" s="21">
        <f t="shared" si="43"/>
        <v>0</v>
      </c>
      <c r="Y76" s="21">
        <v>0</v>
      </c>
      <c r="Z76" s="21">
        <f t="shared" si="44"/>
        <v>0</v>
      </c>
      <c r="AA76" s="21">
        <v>0</v>
      </c>
      <c r="AB76" s="21">
        <f t="shared" si="27"/>
        <v>0</v>
      </c>
      <c r="AC76" s="22">
        <f t="shared" si="28"/>
        <v>0</v>
      </c>
      <c r="AD76" s="23">
        <f t="shared" si="39"/>
        <v>5271.1</v>
      </c>
      <c r="AE76" s="24">
        <f t="shared" si="40"/>
        <v>5384.6153846153848</v>
      </c>
      <c r="AF76" s="24">
        <f t="shared" si="41"/>
        <v>592.30769230769238</v>
      </c>
      <c r="AG76" s="25">
        <v>1666.6666666666699</v>
      </c>
      <c r="AH76" s="25">
        <f t="shared" si="29"/>
        <v>36145.507692307656</v>
      </c>
      <c r="AI76" s="25">
        <f t="shared" si="30"/>
        <v>0</v>
      </c>
      <c r="AJ76" s="24">
        <f t="shared" si="31"/>
        <v>2.6355500000000003</v>
      </c>
      <c r="AK76" s="23">
        <f t="shared" si="32"/>
        <v>4676.156757692308</v>
      </c>
      <c r="AL76" s="24">
        <v>0</v>
      </c>
      <c r="AM76" s="23">
        <f t="shared" si="33"/>
        <v>4676.156757692308</v>
      </c>
      <c r="AN76" s="25">
        <f t="shared" si="34"/>
        <v>1009.6153846153846</v>
      </c>
      <c r="AO76" s="45"/>
      <c r="AP76" s="27">
        <f t="shared" si="38"/>
        <v>6280.7153846153851</v>
      </c>
    </row>
    <row r="77" spans="1:42" x14ac:dyDescent="0.35">
      <c r="A77" s="11" t="s">
        <v>66</v>
      </c>
      <c r="B77" s="12" t="s">
        <v>146</v>
      </c>
      <c r="C77" s="31">
        <v>30307241303198</v>
      </c>
      <c r="D77" s="43" t="s">
        <v>375</v>
      </c>
      <c r="E77" s="31" t="s">
        <v>90</v>
      </c>
      <c r="F77" s="29" t="s">
        <v>253</v>
      </c>
      <c r="G77" s="16" t="s">
        <v>70</v>
      </c>
      <c r="H77" s="17">
        <v>4000</v>
      </c>
      <c r="I77" s="17">
        <v>3000</v>
      </c>
      <c r="J77" s="17">
        <v>0</v>
      </c>
      <c r="K77" s="18">
        <v>0</v>
      </c>
      <c r="L77" s="17">
        <f t="shared" si="22"/>
        <v>0</v>
      </c>
      <c r="M77" s="17">
        <f t="shared" si="23"/>
        <v>16</v>
      </c>
      <c r="N77" s="44">
        <v>0</v>
      </c>
      <c r="O77" s="19">
        <f t="shared" si="35"/>
        <v>133.33333333333334</v>
      </c>
      <c r="P77" s="19">
        <f t="shared" si="42"/>
        <v>0</v>
      </c>
      <c r="Q77" s="19">
        <f t="shared" si="24"/>
        <v>133.33333333333334</v>
      </c>
      <c r="R77" s="19">
        <f t="shared" si="25"/>
        <v>16.666666666666668</v>
      </c>
      <c r="S77" s="17">
        <v>0</v>
      </c>
      <c r="T77" s="17"/>
      <c r="U77" s="17">
        <v>0</v>
      </c>
      <c r="V77" s="20">
        <f t="shared" si="37"/>
        <v>4000</v>
      </c>
      <c r="W77" s="21">
        <v>14</v>
      </c>
      <c r="X77" s="21">
        <f t="shared" si="43"/>
        <v>1866.6666666666667</v>
      </c>
      <c r="Y77" s="21">
        <v>0</v>
      </c>
      <c r="Z77" s="21"/>
      <c r="AA77" s="21"/>
      <c r="AB77" s="21"/>
      <c r="AC77" s="22"/>
      <c r="AD77" s="23">
        <f t="shared" si="39"/>
        <v>4000</v>
      </c>
      <c r="AE77" s="24">
        <v>0</v>
      </c>
      <c r="AF77" s="24">
        <v>0</v>
      </c>
      <c r="AG77" s="25">
        <v>1666.6666666666699</v>
      </c>
      <c r="AH77" s="25">
        <f t="shared" si="29"/>
        <v>27999.999999999964</v>
      </c>
      <c r="AI77" s="25">
        <f t="shared" si="30"/>
        <v>0</v>
      </c>
      <c r="AJ77" s="24">
        <f t="shared" si="31"/>
        <v>2</v>
      </c>
      <c r="AK77" s="23">
        <f t="shared" si="32"/>
        <v>3998</v>
      </c>
      <c r="AL77" s="24">
        <v>0</v>
      </c>
      <c r="AM77" s="23">
        <f t="shared" si="33"/>
        <v>3998</v>
      </c>
      <c r="AN77" s="25">
        <f t="shared" si="34"/>
        <v>0</v>
      </c>
      <c r="AO77" s="45"/>
      <c r="AP77" s="27">
        <f t="shared" si="38"/>
        <v>4000</v>
      </c>
    </row>
    <row r="78" spans="1:42" x14ac:dyDescent="0.35">
      <c r="A78" s="11" t="s">
        <v>66</v>
      </c>
      <c r="B78" s="12" t="s">
        <v>147</v>
      </c>
      <c r="C78" s="31">
        <v>30107201300855</v>
      </c>
      <c r="D78" s="43" t="s">
        <v>374</v>
      </c>
      <c r="E78" s="31" t="s">
        <v>90</v>
      </c>
      <c r="F78" s="29" t="s">
        <v>254</v>
      </c>
      <c r="G78" s="16" t="s">
        <v>70</v>
      </c>
      <c r="H78" s="17">
        <v>4000</v>
      </c>
      <c r="I78" s="17">
        <v>3000</v>
      </c>
      <c r="J78" s="17">
        <v>0</v>
      </c>
      <c r="K78" s="18">
        <v>9.7100000000000006E-2</v>
      </c>
      <c r="L78" s="17">
        <f t="shared" si="22"/>
        <v>291.3</v>
      </c>
      <c r="M78" s="17">
        <f t="shared" si="23"/>
        <v>14</v>
      </c>
      <c r="N78" s="44">
        <v>0</v>
      </c>
      <c r="O78" s="19">
        <f t="shared" si="35"/>
        <v>133.33333333333334</v>
      </c>
      <c r="P78" s="19">
        <f t="shared" si="42"/>
        <v>9.7100000000000009</v>
      </c>
      <c r="Q78" s="19">
        <f t="shared" si="24"/>
        <v>143.04333333333335</v>
      </c>
      <c r="R78" s="19">
        <f t="shared" si="25"/>
        <v>16.666666666666668</v>
      </c>
      <c r="S78" s="17">
        <v>0</v>
      </c>
      <c r="T78" s="17">
        <f t="shared" si="26"/>
        <v>0</v>
      </c>
      <c r="U78" s="17">
        <v>0</v>
      </c>
      <c r="V78" s="20">
        <f t="shared" si="37"/>
        <v>4291.3</v>
      </c>
      <c r="W78" s="21">
        <v>16</v>
      </c>
      <c r="X78" s="21">
        <f t="shared" si="43"/>
        <v>2133.3333333333335</v>
      </c>
      <c r="Y78" s="21">
        <v>0</v>
      </c>
      <c r="Z78" s="21">
        <f t="shared" ref="Z78" si="45">O78*Y78</f>
        <v>0</v>
      </c>
      <c r="AA78" s="21">
        <v>0</v>
      </c>
      <c r="AB78" s="21">
        <f t="shared" si="27"/>
        <v>0</v>
      </c>
      <c r="AC78" s="22">
        <f t="shared" si="28"/>
        <v>2133.3333333333335</v>
      </c>
      <c r="AD78" s="23">
        <f t="shared" si="39"/>
        <v>2157.9666666666667</v>
      </c>
      <c r="AE78" s="24">
        <v>0</v>
      </c>
      <c r="AF78" s="24">
        <v>0</v>
      </c>
      <c r="AG78" s="25">
        <v>1666.6666666666699</v>
      </c>
      <c r="AH78" s="25">
        <f t="shared" si="29"/>
        <v>5895.5999999999613</v>
      </c>
      <c r="AI78" s="25">
        <f t="shared" si="30"/>
        <v>0</v>
      </c>
      <c r="AJ78" s="24">
        <f t="shared" si="31"/>
        <v>1.0789833333333334</v>
      </c>
      <c r="AK78" s="23">
        <f t="shared" si="32"/>
        <v>2156.8876833333334</v>
      </c>
      <c r="AL78" s="24">
        <v>0</v>
      </c>
      <c r="AM78" s="23">
        <f t="shared" si="33"/>
        <v>2156.8876833333334</v>
      </c>
      <c r="AN78" s="25">
        <f t="shared" si="34"/>
        <v>0</v>
      </c>
      <c r="AO78" s="45"/>
      <c r="AP78" s="27">
        <f t="shared" si="38"/>
        <v>2157.9666666666667</v>
      </c>
    </row>
    <row r="79" spans="1:42" x14ac:dyDescent="0.35">
      <c r="A79" s="11" t="s">
        <v>66</v>
      </c>
      <c r="B79" t="s">
        <v>400</v>
      </c>
      <c r="C79" s="31">
        <v>27704121300787</v>
      </c>
      <c r="D79" s="31" t="s">
        <v>287</v>
      </c>
      <c r="E79" s="31" t="s">
        <v>44</v>
      </c>
      <c r="F79" s="29" t="s">
        <v>286</v>
      </c>
      <c r="G79" s="16" t="s">
        <v>288</v>
      </c>
      <c r="H79" s="17">
        <v>700</v>
      </c>
      <c r="I79" s="17">
        <v>0</v>
      </c>
      <c r="J79" s="17">
        <v>0</v>
      </c>
      <c r="K79" s="18">
        <v>0</v>
      </c>
      <c r="L79" s="17">
        <v>0</v>
      </c>
      <c r="M79" s="17">
        <v>30</v>
      </c>
      <c r="N79" s="44">
        <v>0</v>
      </c>
      <c r="O79" s="19">
        <v>23.333333333333332</v>
      </c>
      <c r="P79" s="19">
        <v>0</v>
      </c>
      <c r="Q79" s="19">
        <v>23.333333333333332</v>
      </c>
      <c r="R79" s="19">
        <v>2.9166666666666665</v>
      </c>
      <c r="S79" s="17">
        <v>0</v>
      </c>
      <c r="T79" s="17">
        <v>0</v>
      </c>
      <c r="U79" s="17">
        <v>0</v>
      </c>
      <c r="V79" s="20">
        <v>700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2">
        <v>0</v>
      </c>
      <c r="AD79" s="23">
        <v>700</v>
      </c>
      <c r="AE79" s="24">
        <v>0</v>
      </c>
      <c r="AF79" s="24">
        <v>0</v>
      </c>
      <c r="AG79" s="25">
        <v>1666.6666666666699</v>
      </c>
      <c r="AH79" s="25">
        <v>-11600.00000000004</v>
      </c>
      <c r="AI79" s="25">
        <v>0</v>
      </c>
      <c r="AJ79" s="24">
        <v>0.35000000000000003</v>
      </c>
      <c r="AK79" s="23">
        <v>699.65</v>
      </c>
      <c r="AL79" s="24">
        <v>0</v>
      </c>
      <c r="AM79" s="23">
        <v>699.65</v>
      </c>
      <c r="AN79" s="25">
        <v>0</v>
      </c>
      <c r="AO79" s="45"/>
      <c r="AP79" s="27">
        <v>700</v>
      </c>
    </row>
    <row r="80" spans="1:42" ht="18.5" x14ac:dyDescent="0.35">
      <c r="A80" s="62" t="s">
        <v>60</v>
      </c>
      <c r="B80" s="63"/>
      <c r="C80" s="63"/>
      <c r="D80" s="63"/>
      <c r="E80" s="63"/>
      <c r="F80" s="63"/>
      <c r="G80" s="32"/>
      <c r="H80" s="33">
        <f>SUM(H2:H79)</f>
        <v>311700</v>
      </c>
      <c r="I80" s="33">
        <f t="shared" ref="I80:AP80" si="46">SUM(I2:I79)</f>
        <v>231000</v>
      </c>
      <c r="J80" s="33">
        <f t="shared" si="46"/>
        <v>0</v>
      </c>
      <c r="K80" s="33">
        <v>0</v>
      </c>
      <c r="L80" s="33">
        <f t="shared" si="46"/>
        <v>186774.30000000002</v>
      </c>
      <c r="M80" s="33">
        <v>0</v>
      </c>
      <c r="N80" s="33">
        <f t="shared" si="46"/>
        <v>0</v>
      </c>
      <c r="O80" s="33">
        <v>0</v>
      </c>
      <c r="P80" s="33">
        <v>0</v>
      </c>
      <c r="Q80" s="33">
        <v>0</v>
      </c>
      <c r="R80" s="33">
        <v>0</v>
      </c>
      <c r="S80" s="33">
        <f t="shared" si="46"/>
        <v>0</v>
      </c>
      <c r="T80" s="33">
        <f t="shared" si="46"/>
        <v>0</v>
      </c>
      <c r="U80" s="33">
        <v>0</v>
      </c>
      <c r="V80" s="33">
        <f t="shared" si="46"/>
        <v>498474.3000000001</v>
      </c>
      <c r="W80" s="33">
        <v>0</v>
      </c>
      <c r="X80" s="33">
        <f t="shared" si="46"/>
        <v>13600</v>
      </c>
      <c r="Y80" s="33">
        <v>0</v>
      </c>
      <c r="Z80" s="33">
        <f t="shared" si="46"/>
        <v>7600</v>
      </c>
      <c r="AA80" s="33">
        <f t="shared" si="46"/>
        <v>0</v>
      </c>
      <c r="AB80" s="33">
        <f t="shared" si="46"/>
        <v>0</v>
      </c>
      <c r="AC80" s="33">
        <f t="shared" si="46"/>
        <v>19333.333333333336</v>
      </c>
      <c r="AD80" s="33">
        <f t="shared" si="46"/>
        <v>479140.96666666667</v>
      </c>
      <c r="AE80" s="33">
        <f t="shared" si="46"/>
        <v>393076.92307692271</v>
      </c>
      <c r="AF80" s="33">
        <f t="shared" si="46"/>
        <v>43238.461538461554</v>
      </c>
      <c r="AG80" s="33">
        <v>0</v>
      </c>
      <c r="AH80" s="33">
        <v>0</v>
      </c>
      <c r="AI80" s="33">
        <f t="shared" si="46"/>
        <v>9276.8016666666463</v>
      </c>
      <c r="AJ80" s="33">
        <f t="shared" si="46"/>
        <v>239.57048333333333</v>
      </c>
      <c r="AK80" s="33">
        <f t="shared" si="46"/>
        <v>426386.13297820516</v>
      </c>
      <c r="AL80" s="33">
        <f t="shared" si="46"/>
        <v>0</v>
      </c>
      <c r="AM80" s="33">
        <f t="shared" si="46"/>
        <v>426386.13297820516</v>
      </c>
      <c r="AN80" s="33">
        <v>0</v>
      </c>
      <c r="AO80" s="33">
        <f t="shared" si="46"/>
        <v>0</v>
      </c>
      <c r="AP80" s="33">
        <f t="shared" si="46"/>
        <v>552842.88974358968</v>
      </c>
    </row>
    <row r="81" spans="1:42" x14ac:dyDescent="0.35">
      <c r="A81" s="34"/>
      <c r="B81" s="34"/>
      <c r="C81" s="34"/>
      <c r="D81" s="35"/>
      <c r="E81" s="34"/>
      <c r="F81" s="47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</row>
    <row r="82" spans="1:42" x14ac:dyDescent="0.35">
      <c r="A82" s="34"/>
      <c r="B82" s="34"/>
      <c r="C82" s="34"/>
      <c r="D82" s="35"/>
      <c r="E82" s="34"/>
      <c r="F82" s="47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</row>
    <row r="83" spans="1:42" x14ac:dyDescent="0.35">
      <c r="A83" s="34"/>
      <c r="B83" s="34"/>
      <c r="C83" s="34"/>
      <c r="D83" s="35"/>
      <c r="E83" s="34"/>
      <c r="F83" s="47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</row>
    <row r="84" spans="1:42" ht="21" x14ac:dyDescent="0.35">
      <c r="A84" s="64" t="s">
        <v>150</v>
      </c>
      <c r="B84" s="65"/>
      <c r="C84" s="65"/>
      <c r="D84" s="65"/>
      <c r="E84" s="65"/>
      <c r="F84" s="65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9"/>
      <c r="AP84" s="49"/>
    </row>
    <row r="85" spans="1:42" x14ac:dyDescent="0.35">
      <c r="A85" s="1" t="s">
        <v>0</v>
      </c>
      <c r="B85" t="s">
        <v>399</v>
      </c>
      <c r="C85" s="3" t="s">
        <v>5</v>
      </c>
      <c r="D85" s="2" t="s">
        <v>2</v>
      </c>
      <c r="E85" s="2" t="s">
        <v>3</v>
      </c>
      <c r="F85" s="41" t="s">
        <v>4</v>
      </c>
      <c r="G85" s="3" t="s">
        <v>6</v>
      </c>
      <c r="H85" s="3" t="s">
        <v>7</v>
      </c>
      <c r="I85" s="3" t="s">
        <v>8</v>
      </c>
      <c r="J85" s="3" t="s">
        <v>9</v>
      </c>
      <c r="K85" t="s">
        <v>398</v>
      </c>
      <c r="L85" s="6" t="s">
        <v>11</v>
      </c>
      <c r="M85" s="7" t="s">
        <v>64</v>
      </c>
      <c r="N85" s="7" t="s">
        <v>14</v>
      </c>
      <c r="O85" s="5" t="s">
        <v>65</v>
      </c>
      <c r="P85" s="5" t="s">
        <v>15</v>
      </c>
      <c r="Q85" s="1" t="s">
        <v>16</v>
      </c>
      <c r="R85" s="1" t="s">
        <v>17</v>
      </c>
      <c r="S85" t="s">
        <v>396</v>
      </c>
      <c r="T85" s="4" t="s">
        <v>19</v>
      </c>
      <c r="U85" s="4" t="s">
        <v>20</v>
      </c>
      <c r="V85" s="4" t="s">
        <v>21</v>
      </c>
      <c r="W85" t="s">
        <v>395</v>
      </c>
      <c r="X85" s="6" t="s">
        <v>23</v>
      </c>
      <c r="Y85" t="s">
        <v>397</v>
      </c>
      <c r="Z85" s="8" t="s">
        <v>25</v>
      </c>
      <c r="AA85" s="1" t="s">
        <v>26</v>
      </c>
      <c r="AB85" s="6" t="s">
        <v>11</v>
      </c>
      <c r="AC85" s="6" t="s">
        <v>27</v>
      </c>
      <c r="AD85" s="6" t="s">
        <v>28</v>
      </c>
      <c r="AE85" s="8" t="s">
        <v>29</v>
      </c>
      <c r="AF85" s="6" t="s">
        <v>30</v>
      </c>
      <c r="AG85" s="6" t="s">
        <v>31</v>
      </c>
      <c r="AH85" s="6" t="s">
        <v>32</v>
      </c>
      <c r="AI85" s="6" t="s">
        <v>33</v>
      </c>
      <c r="AJ85" s="6" t="s">
        <v>34</v>
      </c>
      <c r="AK85" s="6" t="s">
        <v>35</v>
      </c>
      <c r="AL85" s="4" t="s">
        <v>36</v>
      </c>
      <c r="AM85" s="4" t="s">
        <v>28</v>
      </c>
      <c r="AN85" s="1" t="s">
        <v>38</v>
      </c>
      <c r="AO85" s="9" t="s">
        <v>39</v>
      </c>
      <c r="AP85" s="42" t="s">
        <v>40</v>
      </c>
    </row>
    <row r="86" spans="1:42" x14ac:dyDescent="0.35">
      <c r="A86" s="11" t="s">
        <v>66</v>
      </c>
      <c r="B86" t="s">
        <v>162</v>
      </c>
      <c r="C86" s="15">
        <v>29612101305184</v>
      </c>
      <c r="D86" s="50" t="s">
        <v>354</v>
      </c>
      <c r="E86" s="31" t="s">
        <v>44</v>
      </c>
      <c r="F86" s="14" t="s">
        <v>255</v>
      </c>
      <c r="G86" s="16" t="s">
        <v>70</v>
      </c>
      <c r="H86" s="17">
        <v>4000</v>
      </c>
      <c r="I86" s="17">
        <v>3000</v>
      </c>
      <c r="J86" s="17">
        <v>0</v>
      </c>
      <c r="K86" s="18">
        <v>0.10050000000000001</v>
      </c>
      <c r="L86" s="17">
        <f>+I86*K86</f>
        <v>301.5</v>
      </c>
      <c r="M86" s="17">
        <f>30-W86</f>
        <v>6</v>
      </c>
      <c r="N86" s="44">
        <v>0</v>
      </c>
      <c r="O86" s="19">
        <f>H86/30</f>
        <v>133.33333333333334</v>
      </c>
      <c r="P86" s="19">
        <f>L86/26</f>
        <v>11.596153846153847</v>
      </c>
      <c r="Q86" s="19">
        <f>P86+O86</f>
        <v>144.92948717948718</v>
      </c>
      <c r="R86" s="19">
        <f>+O86/8</f>
        <v>16.666666666666668</v>
      </c>
      <c r="S86" s="17">
        <v>0</v>
      </c>
      <c r="T86" s="17">
        <f t="shared" ref="T86:T92" si="47">+R86*S86</f>
        <v>0</v>
      </c>
      <c r="U86" s="17">
        <v>0</v>
      </c>
      <c r="V86" s="20">
        <f>H86+L86+T86+U86+J86</f>
        <v>4301.5</v>
      </c>
      <c r="W86" s="21">
        <v>24</v>
      </c>
      <c r="X86" s="21">
        <f>O86*W86</f>
        <v>3200</v>
      </c>
      <c r="Y86" s="46">
        <v>0</v>
      </c>
      <c r="Z86" s="21">
        <f>O86*Y86</f>
        <v>0</v>
      </c>
      <c r="AA86" s="21">
        <v>0</v>
      </c>
      <c r="AB86" s="21">
        <f>O86*AA86</f>
        <v>0</v>
      </c>
      <c r="AC86" s="22">
        <f>X86+Z86+AB86</f>
        <v>3200</v>
      </c>
      <c r="AD86" s="23">
        <f>V86-AC86</f>
        <v>1101.5</v>
      </c>
      <c r="AE86" s="24">
        <v>0</v>
      </c>
      <c r="AF86" s="24">
        <f>+AE86*0.11</f>
        <v>0</v>
      </c>
      <c r="AG86" s="25">
        <v>1666.6666666666667</v>
      </c>
      <c r="AH86" s="25">
        <f>(AD86-AF86-AG86)*12</f>
        <v>-6782.0000000000009</v>
      </c>
      <c r="AI86" s="25">
        <f>IF(AND(AH86&gt;40000,AH86&lt;=55000),(AH86-40000)*10%,
IF(AND(AH86&gt;55000,AH86&lt;=70000),(AH86-55000)*15%+15000*10%,
IF(AND(AH86&gt;70000,AH86&lt;=200000),(AH86-70000)*20%+15000*10%+15000*15%,
IF(AND(AH86&gt;200000,AH86&lt;=400000),(AH86-200000)*22.5%+15000*10%+15000*15%+130000*20%,
IF(AND(AH86&gt;400000,AH86&lt;=600000),(AH86-400000)*25%+15000*10%+15000*15%+130000*20%+200000*22.5%,
IF(AND(AH86&gt;600000,AH86&lt;=700000),(AH86-400000)*25%+55000*10%+15000*15%+130000*20%+200000*22.5%,
IF(AND(AH86&gt;700000,AH86&lt;=800000),(AH86-400000)*25%+70000*15%+130000*20%+200000*22.5%,
IF(AND(AH86&gt;800000,AH86&lt;=900000),(AH86-400000)*25%+200000*20%+200000*22.5%,
IF(AND(AH86&gt;900000,AH86&lt;=1200000),(AH86-400000)*25%+400000*22.5%,
IF(AH86&gt;1200000,(AH86-1200000)*27.5%+1200000*25%))))))))))/12</f>
        <v>0</v>
      </c>
      <c r="AJ86" s="24">
        <f>+AD86*0.0005</f>
        <v>0.55074999999999996</v>
      </c>
      <c r="AK86" s="23">
        <f>+AD86-AF86-AI86-AJ86</f>
        <v>1100.9492499999999</v>
      </c>
      <c r="AL86" s="24">
        <v>0</v>
      </c>
      <c r="AM86" s="23">
        <f>+AK86-AL86</f>
        <v>1100.9492499999999</v>
      </c>
      <c r="AN86" s="25">
        <f>+AE86*0.1875</f>
        <v>0</v>
      </c>
      <c r="AO86" s="23"/>
      <c r="AP86" s="27">
        <f t="shared" ref="AP86:AP116" si="48">AD86+AN86</f>
        <v>1101.5</v>
      </c>
    </row>
    <row r="87" spans="1:42" x14ac:dyDescent="0.35">
      <c r="A87" s="11" t="s">
        <v>66</v>
      </c>
      <c r="B87" t="s">
        <v>401</v>
      </c>
      <c r="C87" s="15">
        <v>30309011305631</v>
      </c>
      <c r="D87" s="50" t="s">
        <v>355</v>
      </c>
      <c r="E87" s="31" t="s">
        <v>44</v>
      </c>
      <c r="F87" s="14" t="s">
        <v>256</v>
      </c>
      <c r="G87" s="16" t="s">
        <v>70</v>
      </c>
      <c r="H87" s="17">
        <v>4000</v>
      </c>
      <c r="I87" s="17">
        <v>3000</v>
      </c>
      <c r="J87" s="17">
        <v>0</v>
      </c>
      <c r="K87" s="18">
        <v>0.51</v>
      </c>
      <c r="L87" s="17">
        <f t="shared" ref="L87:L116" si="49">+I87*K87</f>
        <v>1530</v>
      </c>
      <c r="M87" s="17">
        <f t="shared" ref="M87:M95" si="50">30-W87</f>
        <v>11</v>
      </c>
      <c r="N87" s="44">
        <v>0</v>
      </c>
      <c r="O87" s="19">
        <f t="shared" ref="O87:O113" si="51">H87/30</f>
        <v>133.33333333333334</v>
      </c>
      <c r="P87" s="19">
        <f t="shared" ref="P87:P116" si="52">L87/26</f>
        <v>58.846153846153847</v>
      </c>
      <c r="Q87" s="19">
        <f t="shared" ref="Q87:Q116" si="53">P87+O87</f>
        <v>192.17948717948718</v>
      </c>
      <c r="R87" s="19">
        <f t="shared" ref="R87" si="54">+O87/8</f>
        <v>16.666666666666668</v>
      </c>
      <c r="S87" s="17">
        <v>0</v>
      </c>
      <c r="T87" s="17">
        <f t="shared" si="47"/>
        <v>0</v>
      </c>
      <c r="U87" s="17">
        <v>0</v>
      </c>
      <c r="V87" s="20">
        <f t="shared" ref="V87:V95" si="55">H87+L87+T87+U87+J87</f>
        <v>5530</v>
      </c>
      <c r="W87" s="21">
        <v>19</v>
      </c>
      <c r="X87" s="21">
        <f t="shared" ref="X87:X116" si="56">O87*W87</f>
        <v>2533.3333333333335</v>
      </c>
      <c r="Y87" s="46">
        <v>0</v>
      </c>
      <c r="Z87" s="21">
        <f t="shared" ref="Z87:Z116" si="57">O87*Y87</f>
        <v>0</v>
      </c>
      <c r="AA87" s="21">
        <v>0</v>
      </c>
      <c r="AB87" s="21">
        <f>O87*AA87</f>
        <v>0</v>
      </c>
      <c r="AC87" s="22">
        <f t="shared" ref="AC87" si="58">X87+Z87+AB87</f>
        <v>2533.3333333333335</v>
      </c>
      <c r="AD87" s="23">
        <f t="shared" ref="AD87" si="59">V87-AC87</f>
        <v>2996.6666666666665</v>
      </c>
      <c r="AE87" s="24">
        <v>0</v>
      </c>
      <c r="AF87" s="24">
        <f t="shared" ref="AF87:AF95" si="60">+AE87*0.11</f>
        <v>0</v>
      </c>
      <c r="AG87" s="25">
        <v>1666.6666666666667</v>
      </c>
      <c r="AH87" s="25">
        <f t="shared" ref="AH87:AH95" si="61">(AD87-AF87-AG87)*12</f>
        <v>15959.999999999996</v>
      </c>
      <c r="AI87" s="25">
        <f t="shared" ref="AI87:AI95" si="62">IF(AND(AH87&gt;40000,AH87&lt;=55000),(AH87-40000)*10%,
IF(AND(AH87&gt;55000,AH87&lt;=70000),(AH87-55000)*15%+15000*10%,
IF(AND(AH87&gt;70000,AH87&lt;=200000),(AH87-70000)*20%+15000*10%+15000*15%,
IF(AND(AH87&gt;200000,AH87&lt;=400000),(AH87-200000)*22.5%+15000*10%+15000*15%+130000*20%,
IF(AND(AH87&gt;400000,AH87&lt;=600000),(AH87-400000)*25%+15000*10%+15000*15%+130000*20%+200000*22.5%,
IF(AND(AH87&gt;600000,AH87&lt;=700000),(AH87-400000)*25%+55000*10%+15000*15%+130000*20%+200000*22.5%,
IF(AND(AH87&gt;700000,AH87&lt;=800000),(AH87-400000)*25%+70000*15%+130000*20%+200000*22.5%,
IF(AND(AH87&gt;800000,AH87&lt;=900000),(AH87-400000)*25%+200000*20%+200000*22.5%,
IF(AND(AH87&gt;900000,AH87&lt;=1200000),(AH87-400000)*25%+400000*22.5%,
IF(AH87&gt;1200000,(AH87-1200000)*27.5%+1200000*25%))))))))))/12</f>
        <v>0</v>
      </c>
      <c r="AJ87" s="24">
        <f t="shared" ref="AJ87:AJ95" si="63">+AD87*0.0005</f>
        <v>1.4983333333333333</v>
      </c>
      <c r="AK87" s="23">
        <f t="shared" ref="AK87:AK95" si="64">+AD87-AF87-AI87-AJ87</f>
        <v>2995.1683333333331</v>
      </c>
      <c r="AL87" s="24">
        <v>0</v>
      </c>
      <c r="AM87" s="23">
        <f t="shared" ref="AM87:AM95" si="65">+AK87-AL87</f>
        <v>2995.1683333333331</v>
      </c>
      <c r="AN87" s="25">
        <f t="shared" ref="AN87:AN95" si="66">+AE87*0.1875</f>
        <v>0</v>
      </c>
      <c r="AO87" s="23"/>
      <c r="AP87" s="27">
        <f t="shared" si="48"/>
        <v>2996.6666666666665</v>
      </c>
    </row>
    <row r="88" spans="1:42" x14ac:dyDescent="0.35">
      <c r="A88" s="11" t="s">
        <v>66</v>
      </c>
      <c r="B88" s="12" t="s">
        <v>163</v>
      </c>
      <c r="C88" s="15">
        <v>30002121502329</v>
      </c>
      <c r="D88" s="50" t="s">
        <v>356</v>
      </c>
      <c r="E88" s="31" t="s">
        <v>90</v>
      </c>
      <c r="F88" s="14" t="s">
        <v>257</v>
      </c>
      <c r="G88" s="16" t="s">
        <v>70</v>
      </c>
      <c r="H88" s="17">
        <v>4000</v>
      </c>
      <c r="I88" s="17">
        <v>3000</v>
      </c>
      <c r="J88" s="17">
        <v>0</v>
      </c>
      <c r="K88" s="18">
        <v>0.26500000000000001</v>
      </c>
      <c r="L88" s="17">
        <f t="shared" si="49"/>
        <v>795</v>
      </c>
      <c r="M88" s="17">
        <f>30-W88</f>
        <v>9</v>
      </c>
      <c r="N88" s="44">
        <v>0</v>
      </c>
      <c r="O88" s="19">
        <f t="shared" si="51"/>
        <v>133.33333333333334</v>
      </c>
      <c r="P88" s="19">
        <f t="shared" si="52"/>
        <v>30.576923076923077</v>
      </c>
      <c r="Q88" s="19">
        <f t="shared" si="53"/>
        <v>163.91025641025641</v>
      </c>
      <c r="R88" s="19">
        <f>+O88/8</f>
        <v>16.666666666666668</v>
      </c>
      <c r="S88" s="17">
        <v>0</v>
      </c>
      <c r="T88" s="17">
        <f t="shared" si="47"/>
        <v>0</v>
      </c>
      <c r="U88" s="17">
        <v>0</v>
      </c>
      <c r="V88" s="20">
        <f>H88+L88+T88+U88+J88</f>
        <v>4795</v>
      </c>
      <c r="W88" s="21">
        <v>21</v>
      </c>
      <c r="X88" s="21">
        <f t="shared" si="56"/>
        <v>2800</v>
      </c>
      <c r="Y88" s="46">
        <v>0</v>
      </c>
      <c r="Z88" s="21">
        <f t="shared" si="57"/>
        <v>0</v>
      </c>
      <c r="AA88" s="21">
        <v>0</v>
      </c>
      <c r="AB88" s="21">
        <f t="shared" ref="AB88:AB89" si="67">O88*AA88</f>
        <v>0</v>
      </c>
      <c r="AC88" s="22">
        <f>X88+Z88+AB88</f>
        <v>2800</v>
      </c>
      <c r="AD88" s="23">
        <f>V88-AC88</f>
        <v>1995</v>
      </c>
      <c r="AE88" s="24">
        <v>0</v>
      </c>
      <c r="AF88" s="24">
        <f>+AE88*0.11</f>
        <v>0</v>
      </c>
      <c r="AG88" s="25">
        <v>1670.6666666666699</v>
      </c>
      <c r="AH88" s="25">
        <f>(AD88-AF88-AG88)*12</f>
        <v>3891.9999999999609</v>
      </c>
      <c r="AI88" s="25">
        <f>IF(AND(AH88&gt;40000,AH88&lt;=55000),(AH88-40000)*10%,
IF(AND(AH88&gt;55000,AH88&lt;=70000),(AH88-55000)*15%+15000*10%,
IF(AND(AH88&gt;70000,AH88&lt;=200000),(AH88-70000)*20%+15000*10%+15000*15%,
IF(AND(AH88&gt;200000,AH88&lt;=400000),(AH88-200000)*22.5%+15000*10%+15000*15%+130000*20%,
IF(AND(AH88&gt;400000,AH88&lt;=600000),(AH88-400000)*25%+15000*10%+15000*15%+130000*20%+200000*22.5%,
IF(AND(AH88&gt;600000,AH88&lt;=700000),(AH88-400000)*25%+55000*10%+15000*15%+130000*20%+200000*22.5%,
IF(AND(AH88&gt;700000,AH88&lt;=800000),(AH88-400000)*25%+70000*15%+130000*20%+200000*22.5%,
IF(AND(AH88&gt;800000,AH88&lt;=900000),(AH88-400000)*25%+200000*20%+200000*22.5%,
IF(AND(AH88&gt;900000,AH88&lt;=1200000),(AH88-400000)*25%+400000*22.5%,
IF(AH88&gt;1200000,(AH88-1200000)*27.5%+1200000*25%))))))))))/12</f>
        <v>0</v>
      </c>
      <c r="AJ88" s="24">
        <f>+AD88*0.0005</f>
        <v>0.99750000000000005</v>
      </c>
      <c r="AK88" s="23">
        <f>+AD88-AF88-AI88-AJ88</f>
        <v>1994.0025000000001</v>
      </c>
      <c r="AL88" s="24">
        <v>0</v>
      </c>
      <c r="AM88" s="23">
        <f>+AK88-AL88</f>
        <v>1994.0025000000001</v>
      </c>
      <c r="AN88" s="25">
        <f>+AE88*0.1875</f>
        <v>0</v>
      </c>
      <c r="AO88" s="23"/>
      <c r="AP88" s="27">
        <f t="shared" si="48"/>
        <v>1995</v>
      </c>
    </row>
    <row r="89" spans="1:42" x14ac:dyDescent="0.35">
      <c r="A89" s="11" t="s">
        <v>66</v>
      </c>
      <c r="B89" s="12" t="s">
        <v>164</v>
      </c>
      <c r="C89" s="15">
        <v>30212242501782</v>
      </c>
      <c r="D89" s="43" t="s">
        <v>381</v>
      </c>
      <c r="E89" s="31" t="s">
        <v>90</v>
      </c>
      <c r="F89" s="14" t="s">
        <v>258</v>
      </c>
      <c r="G89" s="16" t="s">
        <v>70</v>
      </c>
      <c r="H89" s="17">
        <v>4000</v>
      </c>
      <c r="I89" s="17">
        <v>3000</v>
      </c>
      <c r="J89" s="17">
        <v>0</v>
      </c>
      <c r="K89" s="18">
        <v>0.31659999999999999</v>
      </c>
      <c r="L89" s="17">
        <f t="shared" si="49"/>
        <v>949.8</v>
      </c>
      <c r="M89" s="17">
        <f>30-W89</f>
        <v>14</v>
      </c>
      <c r="N89" s="44">
        <v>0</v>
      </c>
      <c r="O89" s="19">
        <f t="shared" si="51"/>
        <v>133.33333333333334</v>
      </c>
      <c r="P89" s="19">
        <f t="shared" si="52"/>
        <v>36.530769230769231</v>
      </c>
      <c r="Q89" s="19">
        <f t="shared" si="53"/>
        <v>169.86410256410258</v>
      </c>
      <c r="R89" s="19">
        <f>+O89/8</f>
        <v>16.666666666666668</v>
      </c>
      <c r="S89" s="17">
        <v>0</v>
      </c>
      <c r="T89" s="17">
        <f t="shared" si="47"/>
        <v>0</v>
      </c>
      <c r="U89" s="17">
        <v>0</v>
      </c>
      <c r="V89" s="20">
        <f>H89+L89+T89+U89+J89</f>
        <v>4949.8</v>
      </c>
      <c r="W89" s="21">
        <v>16</v>
      </c>
      <c r="X89" s="21">
        <f t="shared" si="56"/>
        <v>2133.3333333333335</v>
      </c>
      <c r="Y89" s="46">
        <v>0</v>
      </c>
      <c r="Z89" s="21">
        <f t="shared" si="57"/>
        <v>0</v>
      </c>
      <c r="AA89" s="21">
        <v>0</v>
      </c>
      <c r="AB89" s="21">
        <f t="shared" si="67"/>
        <v>0</v>
      </c>
      <c r="AC89" s="22">
        <f>X89+Z89+AB89</f>
        <v>2133.3333333333335</v>
      </c>
      <c r="AD89" s="23">
        <f>V89-AC89</f>
        <v>2816.4666666666667</v>
      </c>
      <c r="AE89" s="24">
        <v>0</v>
      </c>
      <c r="AF89" s="24">
        <f>+AE89*0.11</f>
        <v>0</v>
      </c>
      <c r="AG89" s="25">
        <v>1668.6666666666699</v>
      </c>
      <c r="AH89" s="25">
        <f>(AD89-AF89-AG89)*12</f>
        <v>13773.599999999962</v>
      </c>
      <c r="AI89" s="25">
        <f>IF(AND(AH89&gt;40000,AH89&lt;=55000),(AH89-40000)*10%,
IF(AND(AH89&gt;55000,AH89&lt;=70000),(AH89-55000)*15%+15000*10%,
IF(AND(AH89&gt;70000,AH89&lt;=200000),(AH89-70000)*20%+15000*10%+15000*15%,
IF(AND(AH89&gt;200000,AH89&lt;=400000),(AH89-200000)*22.5%+15000*10%+15000*15%+130000*20%,
IF(AND(AH89&gt;400000,AH89&lt;=600000),(AH89-400000)*25%+15000*10%+15000*15%+130000*20%+200000*22.5%,
IF(AND(AH89&gt;600000,AH89&lt;=700000),(AH89-400000)*25%+55000*10%+15000*15%+130000*20%+200000*22.5%,
IF(AND(AH89&gt;700000,AH89&lt;=800000),(AH89-400000)*25%+70000*15%+130000*20%+200000*22.5%,
IF(AND(AH89&gt;800000,AH89&lt;=900000),(AH89-400000)*25%+200000*20%+200000*22.5%,
IF(AND(AH89&gt;900000,AH89&lt;=1200000),(AH89-400000)*25%+400000*22.5%,
IF(AH89&gt;1200000,(AH89-1200000)*27.5%+1200000*25%))))))))))/12</f>
        <v>0</v>
      </c>
      <c r="AJ89" s="24">
        <f>+AD89*0.0005</f>
        <v>1.4082333333333334</v>
      </c>
      <c r="AK89" s="23">
        <f>+AD89-AF89-AI89-AJ89</f>
        <v>2815.0584333333331</v>
      </c>
      <c r="AL89" s="24">
        <v>0</v>
      </c>
      <c r="AM89" s="23">
        <f>+AK89-AL89</f>
        <v>2815.0584333333331</v>
      </c>
      <c r="AN89" s="25">
        <f>+AE89*0.1875</f>
        <v>0</v>
      </c>
      <c r="AO89" s="23"/>
      <c r="AP89" s="27">
        <f t="shared" si="48"/>
        <v>2816.4666666666667</v>
      </c>
    </row>
    <row r="90" spans="1:42" x14ac:dyDescent="0.35">
      <c r="A90" s="11" t="s">
        <v>66</v>
      </c>
      <c r="B90" s="12" t="s">
        <v>165</v>
      </c>
      <c r="C90" s="15">
        <v>30201161303364</v>
      </c>
      <c r="D90" s="50" t="s">
        <v>357</v>
      </c>
      <c r="E90" s="31" t="s">
        <v>44</v>
      </c>
      <c r="F90" s="14" t="s">
        <v>259</v>
      </c>
      <c r="G90" s="16" t="s">
        <v>70</v>
      </c>
      <c r="H90" s="17">
        <v>4000</v>
      </c>
      <c r="I90" s="17">
        <v>3000</v>
      </c>
      <c r="J90" s="17">
        <v>0</v>
      </c>
      <c r="K90" s="18">
        <v>0.39</v>
      </c>
      <c r="L90" s="17">
        <f t="shared" si="49"/>
        <v>1170</v>
      </c>
      <c r="M90" s="17">
        <f>30-W90</f>
        <v>20</v>
      </c>
      <c r="N90" s="44">
        <v>0</v>
      </c>
      <c r="O90" s="19">
        <f t="shared" si="51"/>
        <v>133.33333333333334</v>
      </c>
      <c r="P90" s="19">
        <f t="shared" si="52"/>
        <v>45</v>
      </c>
      <c r="Q90" s="19">
        <f t="shared" si="53"/>
        <v>178.33333333333334</v>
      </c>
      <c r="R90" s="19">
        <f>+O90/8</f>
        <v>16.666666666666668</v>
      </c>
      <c r="S90" s="17">
        <v>0</v>
      </c>
      <c r="T90" s="17">
        <f t="shared" si="47"/>
        <v>0</v>
      </c>
      <c r="U90" s="17">
        <v>0</v>
      </c>
      <c r="V90" s="20">
        <f>H90+L90+T90+U90+J90</f>
        <v>5170</v>
      </c>
      <c r="W90" s="21">
        <v>10</v>
      </c>
      <c r="X90" s="21">
        <f t="shared" si="56"/>
        <v>1333.3333333333335</v>
      </c>
      <c r="Y90" s="46">
        <v>4</v>
      </c>
      <c r="Z90" s="21">
        <f t="shared" si="57"/>
        <v>533.33333333333337</v>
      </c>
      <c r="AA90" s="21">
        <v>0</v>
      </c>
      <c r="AB90" s="21">
        <f>O90*AA90</f>
        <v>0</v>
      </c>
      <c r="AC90" s="22">
        <f>X90+Z90+AB90</f>
        <v>1866.666666666667</v>
      </c>
      <c r="AD90" s="23">
        <f>V90-AC90</f>
        <v>3303.333333333333</v>
      </c>
      <c r="AE90" s="24">
        <v>0</v>
      </c>
      <c r="AF90" s="24">
        <f>+AE90*0.11</f>
        <v>0</v>
      </c>
      <c r="AG90" s="25">
        <v>1666.6666666666667</v>
      </c>
      <c r="AH90" s="25">
        <f>(AD90-AF90-AG90)*12</f>
        <v>19639.999999999996</v>
      </c>
      <c r="AI90" s="25">
        <f>IF(AND(AH90&gt;40000,AH90&lt;=55000),(AH90-40000)*10%,
IF(AND(AH90&gt;55000,AH90&lt;=70000),(AH90-55000)*15%+15000*10%,
IF(AND(AH90&gt;70000,AH90&lt;=200000),(AH90-70000)*20%+15000*10%+15000*15%,
IF(AND(AH90&gt;200000,AH90&lt;=400000),(AH90-200000)*22.5%+15000*10%+15000*15%+130000*20%,
IF(AND(AH90&gt;400000,AH90&lt;=600000),(AH90-400000)*25%+15000*10%+15000*15%+130000*20%+200000*22.5%,
IF(AND(AH90&gt;600000,AH90&lt;=700000),(AH90-400000)*25%+55000*10%+15000*15%+130000*20%+200000*22.5%,
IF(AND(AH90&gt;700000,AH90&lt;=800000),(AH90-400000)*25%+70000*15%+130000*20%+200000*22.5%,
IF(AND(AH90&gt;800000,AH90&lt;=900000),(AH90-400000)*25%+200000*20%+200000*22.5%,
IF(AND(AH90&gt;900000,AH90&lt;=1200000),(AH90-400000)*25%+400000*22.5%,
IF(AH90&gt;1200000,(AH90-1200000)*27.5%+1200000*25%))))))))))/12</f>
        <v>0</v>
      </c>
      <c r="AJ90" s="24">
        <f>+AD90*0.0005</f>
        <v>1.6516666666666666</v>
      </c>
      <c r="AK90" s="23">
        <f>+AD90-AF90-AI90-AJ90</f>
        <v>3301.6816666666664</v>
      </c>
      <c r="AL90" s="24">
        <v>0</v>
      </c>
      <c r="AM90" s="23">
        <f>+AK90-AL90</f>
        <v>3301.6816666666664</v>
      </c>
      <c r="AN90" s="25">
        <f>+AE90*0.1875</f>
        <v>0</v>
      </c>
      <c r="AO90" s="23"/>
      <c r="AP90" s="27">
        <f t="shared" si="48"/>
        <v>3303.333333333333</v>
      </c>
    </row>
    <row r="91" spans="1:42" x14ac:dyDescent="0.35">
      <c r="A91" s="11" t="s">
        <v>66</v>
      </c>
      <c r="B91" s="12" t="s">
        <v>166</v>
      </c>
      <c r="C91" s="15">
        <v>30209201311307</v>
      </c>
      <c r="D91" s="50" t="s">
        <v>358</v>
      </c>
      <c r="E91" s="31" t="s">
        <v>44</v>
      </c>
      <c r="F91" s="14" t="s">
        <v>260</v>
      </c>
      <c r="G91" s="16" t="s">
        <v>70</v>
      </c>
      <c r="H91" s="17">
        <v>4000</v>
      </c>
      <c r="I91" s="17">
        <v>3000</v>
      </c>
      <c r="J91" s="17">
        <v>0</v>
      </c>
      <c r="K91" s="18">
        <v>0.49229999999999996</v>
      </c>
      <c r="L91" s="17">
        <f t="shared" si="49"/>
        <v>1476.8999999999999</v>
      </c>
      <c r="M91" s="17">
        <f>30-W91</f>
        <v>21</v>
      </c>
      <c r="N91" s="44">
        <v>0</v>
      </c>
      <c r="O91" s="19">
        <f t="shared" si="51"/>
        <v>133.33333333333334</v>
      </c>
      <c r="P91" s="19">
        <f t="shared" si="52"/>
        <v>56.803846153846152</v>
      </c>
      <c r="Q91" s="19">
        <f t="shared" si="53"/>
        <v>190.13717948717948</v>
      </c>
      <c r="R91" s="19">
        <f>+O91/8</f>
        <v>16.666666666666668</v>
      </c>
      <c r="S91" s="17">
        <v>0</v>
      </c>
      <c r="T91" s="17">
        <f t="shared" si="47"/>
        <v>0</v>
      </c>
      <c r="U91" s="17">
        <v>0</v>
      </c>
      <c r="V91" s="20">
        <f>H91+L91+T91+U91+J91</f>
        <v>5476.9</v>
      </c>
      <c r="W91" s="21">
        <v>9</v>
      </c>
      <c r="X91" s="21">
        <f t="shared" si="56"/>
        <v>1200</v>
      </c>
      <c r="Y91" s="46">
        <v>0</v>
      </c>
      <c r="Z91" s="21">
        <f t="shared" si="57"/>
        <v>0</v>
      </c>
      <c r="AA91" s="21">
        <v>0</v>
      </c>
      <c r="AB91" s="21">
        <f>O91*AA91</f>
        <v>0</v>
      </c>
      <c r="AC91" s="22">
        <f>X91+Z91+AB91</f>
        <v>1200</v>
      </c>
      <c r="AD91" s="23">
        <f>V91-AC91</f>
        <v>4276.8999999999996</v>
      </c>
      <c r="AE91" s="24">
        <v>0</v>
      </c>
      <c r="AF91" s="24">
        <f>+AE91*0.11</f>
        <v>0</v>
      </c>
      <c r="AG91" s="25">
        <v>1666.6666666666667</v>
      </c>
      <c r="AH91" s="25">
        <f>(AD91-AF91-AG91)*12</f>
        <v>31322.799999999992</v>
      </c>
      <c r="AI91" s="25">
        <f>IF(AND(AH91&gt;40000,AH91&lt;=55000),(AH91-40000)*10%,
IF(AND(AH91&gt;55000,AH91&lt;=70000),(AH91-55000)*15%+15000*10%,
IF(AND(AH91&gt;70000,AH91&lt;=200000),(AH91-70000)*20%+15000*10%+15000*15%,
IF(AND(AH91&gt;200000,AH91&lt;=400000),(AH91-200000)*22.5%+15000*10%+15000*15%+130000*20%,
IF(AND(AH91&gt;400000,AH91&lt;=600000),(AH91-400000)*25%+15000*10%+15000*15%+130000*20%+200000*22.5%,
IF(AND(AH91&gt;600000,AH91&lt;=700000),(AH91-400000)*25%+55000*10%+15000*15%+130000*20%+200000*22.5%,
IF(AND(AH91&gt;700000,AH91&lt;=800000),(AH91-400000)*25%+70000*15%+130000*20%+200000*22.5%,
IF(AND(AH91&gt;800000,AH91&lt;=900000),(AH91-400000)*25%+200000*20%+200000*22.5%,
IF(AND(AH91&gt;900000,AH91&lt;=1200000),(AH91-400000)*25%+400000*22.5%,
IF(AH91&gt;1200000,(AH91-1200000)*27.5%+1200000*25%))))))))))/12</f>
        <v>0</v>
      </c>
      <c r="AJ91" s="24">
        <f>+AD91*0.0005</f>
        <v>2.1384499999999997</v>
      </c>
      <c r="AK91" s="23">
        <f>+AD91-AF91-AI91-AJ91</f>
        <v>4274.7615499999993</v>
      </c>
      <c r="AL91" s="24">
        <v>0</v>
      </c>
      <c r="AM91" s="23">
        <f>+AK91-AL91</f>
        <v>4274.7615499999993</v>
      </c>
      <c r="AN91" s="25">
        <f>+AE91*0.1875</f>
        <v>0</v>
      </c>
      <c r="AO91" s="23"/>
      <c r="AP91" s="27">
        <f t="shared" si="48"/>
        <v>4276.8999999999996</v>
      </c>
    </row>
    <row r="92" spans="1:42" x14ac:dyDescent="0.35">
      <c r="A92" s="11" t="s">
        <v>66</v>
      </c>
      <c r="B92" s="12" t="s">
        <v>167</v>
      </c>
      <c r="C92" s="15">
        <v>30303021301164</v>
      </c>
      <c r="D92" s="50" t="s">
        <v>390</v>
      </c>
      <c r="E92" s="15" t="s">
        <v>90</v>
      </c>
      <c r="F92" s="14" t="s">
        <v>261</v>
      </c>
      <c r="G92" s="16" t="s">
        <v>70</v>
      </c>
      <c r="H92" s="17">
        <v>4000</v>
      </c>
      <c r="I92" s="17">
        <v>3000</v>
      </c>
      <c r="J92" s="17">
        <v>0</v>
      </c>
      <c r="K92" s="18">
        <v>0.38689999999999997</v>
      </c>
      <c r="L92" s="17">
        <f t="shared" si="49"/>
        <v>1160.6999999999998</v>
      </c>
      <c r="M92" s="17">
        <f>30-W92</f>
        <v>21</v>
      </c>
      <c r="N92" s="44">
        <v>0</v>
      </c>
      <c r="O92" s="19">
        <f t="shared" si="51"/>
        <v>133.33333333333334</v>
      </c>
      <c r="P92" s="19">
        <f t="shared" si="52"/>
        <v>44.642307692307682</v>
      </c>
      <c r="Q92" s="19">
        <f t="shared" si="53"/>
        <v>177.97564102564104</v>
      </c>
      <c r="R92" s="19">
        <f>+O92/8</f>
        <v>16.666666666666668</v>
      </c>
      <c r="S92" s="17">
        <v>0</v>
      </c>
      <c r="T92" s="17">
        <f t="shared" si="47"/>
        <v>0</v>
      </c>
      <c r="U92" s="17">
        <v>0</v>
      </c>
      <c r="V92" s="20">
        <f>H92+L92+T92+U92+J92</f>
        <v>5160.7</v>
      </c>
      <c r="W92" s="21">
        <v>9</v>
      </c>
      <c r="X92" s="21">
        <f t="shared" si="56"/>
        <v>1200</v>
      </c>
      <c r="Y92" s="46">
        <v>3</v>
      </c>
      <c r="Z92" s="21">
        <f t="shared" si="57"/>
        <v>400</v>
      </c>
      <c r="AA92" s="21">
        <v>0</v>
      </c>
      <c r="AB92" s="21">
        <f>O92*AA92</f>
        <v>0</v>
      </c>
      <c r="AC92" s="22">
        <f>X92+Z92+AB92</f>
        <v>1600</v>
      </c>
      <c r="AD92" s="23">
        <f>V92-AC92</f>
        <v>3560.7</v>
      </c>
      <c r="AE92" s="24">
        <v>0</v>
      </c>
      <c r="AF92" s="24">
        <f>+AE92*0.11</f>
        <v>0</v>
      </c>
      <c r="AG92" s="25">
        <v>1666.6666666666667</v>
      </c>
      <c r="AH92" s="25">
        <f>(AD92-AF92-AG92)*12</f>
        <v>22728.399999999998</v>
      </c>
      <c r="AI92" s="25">
        <f>IF(AND(AH92&gt;40000,AH92&lt;=55000),(AH92-40000)*10%,
IF(AND(AH92&gt;55000,AH92&lt;=70000),(AH92-55000)*15%+15000*10%,
IF(AND(AH92&gt;70000,AH92&lt;=200000),(AH92-70000)*20%+15000*10%+15000*15%,
IF(AND(AH92&gt;200000,AH92&lt;=400000),(AH92-200000)*22.5%+15000*10%+15000*15%+130000*20%,
IF(AND(AH92&gt;400000,AH92&lt;=600000),(AH92-400000)*25%+15000*10%+15000*15%+130000*20%+200000*22.5%,
IF(AND(AH92&gt;600000,AH92&lt;=700000),(AH92-400000)*25%+55000*10%+15000*15%+130000*20%+200000*22.5%,
IF(AND(AH92&gt;700000,AH92&lt;=800000),(AH92-400000)*25%+70000*15%+130000*20%+200000*22.5%,
IF(AND(AH92&gt;800000,AH92&lt;=900000),(AH92-400000)*25%+200000*20%+200000*22.5%,
IF(AND(AH92&gt;900000,AH92&lt;=1200000),(AH92-400000)*25%+400000*22.5%,
IF(AH92&gt;1200000,(AH92-1200000)*27.5%+1200000*25%))))))))))/12</f>
        <v>0</v>
      </c>
      <c r="AJ92" s="24">
        <f>+AD92*0.0005</f>
        <v>1.7803499999999999</v>
      </c>
      <c r="AK92" s="23">
        <f>+AD92-AF92-AI92-AJ92</f>
        <v>3558.9196499999998</v>
      </c>
      <c r="AL92" s="24">
        <v>0</v>
      </c>
      <c r="AM92" s="23">
        <f>+AK92-AL92</f>
        <v>3558.9196499999998</v>
      </c>
      <c r="AN92" s="25">
        <f>+AE92*0.1875</f>
        <v>0</v>
      </c>
      <c r="AO92" s="23"/>
      <c r="AP92" s="27">
        <f t="shared" si="48"/>
        <v>3560.7</v>
      </c>
    </row>
    <row r="93" spans="1:42" x14ac:dyDescent="0.35">
      <c r="A93" s="11" t="s">
        <v>66</v>
      </c>
      <c r="B93" s="12" t="s">
        <v>148</v>
      </c>
      <c r="C93" s="31">
        <v>29909210100269</v>
      </c>
      <c r="D93" s="43" t="s">
        <v>359</v>
      </c>
      <c r="E93" s="31" t="s">
        <v>90</v>
      </c>
      <c r="F93" s="29" t="s">
        <v>262</v>
      </c>
      <c r="G93" s="16" t="s">
        <v>70</v>
      </c>
      <c r="H93" s="17">
        <v>4000</v>
      </c>
      <c r="I93" s="17">
        <v>3000</v>
      </c>
      <c r="J93" s="17">
        <v>0</v>
      </c>
      <c r="K93" s="18">
        <v>0.48420000000000002</v>
      </c>
      <c r="L93" s="17">
        <f t="shared" si="49"/>
        <v>1452.6000000000001</v>
      </c>
      <c r="M93" s="17">
        <f t="shared" si="50"/>
        <v>24</v>
      </c>
      <c r="N93" s="44">
        <v>0</v>
      </c>
      <c r="O93" s="19">
        <f t="shared" si="51"/>
        <v>133.33333333333334</v>
      </c>
      <c r="P93" s="19">
        <f t="shared" si="52"/>
        <v>55.869230769230775</v>
      </c>
      <c r="Q93" s="19">
        <f t="shared" si="53"/>
        <v>189.20256410256411</v>
      </c>
      <c r="R93" s="19">
        <f t="shared" ref="R93:R113" si="68">+O93/8</f>
        <v>16.666666666666668</v>
      </c>
      <c r="S93" s="17">
        <v>0</v>
      </c>
      <c r="T93" s="17">
        <f t="shared" ref="T93:T95" si="69">+R93*S93</f>
        <v>0</v>
      </c>
      <c r="U93" s="17">
        <v>0</v>
      </c>
      <c r="V93" s="20">
        <f t="shared" si="55"/>
        <v>5452.6</v>
      </c>
      <c r="W93" s="21">
        <v>6</v>
      </c>
      <c r="X93" s="21">
        <f t="shared" si="56"/>
        <v>800</v>
      </c>
      <c r="Y93" s="46">
        <v>1</v>
      </c>
      <c r="Z93" s="21">
        <f t="shared" si="57"/>
        <v>133.33333333333334</v>
      </c>
      <c r="AA93" s="21">
        <v>0</v>
      </c>
      <c r="AB93" s="21">
        <f t="shared" ref="AB93:AB113" si="70">O93*AA93</f>
        <v>0</v>
      </c>
      <c r="AC93" s="22">
        <f t="shared" ref="AC93:AC95" si="71">X93+Z93+AB93</f>
        <v>933.33333333333337</v>
      </c>
      <c r="AD93" s="23">
        <f t="shared" ref="AD93:AD95" si="72">V93-AC93</f>
        <v>4519.2666666666673</v>
      </c>
      <c r="AE93" s="24">
        <v>0</v>
      </c>
      <c r="AF93" s="24">
        <f t="shared" si="60"/>
        <v>0</v>
      </c>
      <c r="AG93" s="25">
        <v>1667.6666666666699</v>
      </c>
      <c r="AH93" s="25">
        <f t="shared" ref="AH93:AH94" si="73">(AD93-AF93-AG93)*12</f>
        <v>34219.199999999968</v>
      </c>
      <c r="AI93" s="25">
        <f t="shared" si="62"/>
        <v>0</v>
      </c>
      <c r="AJ93" s="24">
        <f t="shared" si="63"/>
        <v>2.2596333333333338</v>
      </c>
      <c r="AK93" s="23">
        <f t="shared" si="64"/>
        <v>4517.0070333333342</v>
      </c>
      <c r="AL93" s="24">
        <v>0</v>
      </c>
      <c r="AM93" s="23">
        <f t="shared" si="65"/>
        <v>4517.0070333333342</v>
      </c>
      <c r="AN93" s="25">
        <f t="shared" si="66"/>
        <v>0</v>
      </c>
      <c r="AO93" s="23"/>
      <c r="AP93" s="27">
        <f t="shared" si="48"/>
        <v>4519.2666666666673</v>
      </c>
    </row>
    <row r="94" spans="1:42" x14ac:dyDescent="0.35">
      <c r="A94" s="11" t="s">
        <v>66</v>
      </c>
      <c r="B94" s="12" t="s">
        <v>149</v>
      </c>
      <c r="C94" s="15">
        <v>29406041300421</v>
      </c>
      <c r="D94" s="50" t="s">
        <v>360</v>
      </c>
      <c r="E94" s="31" t="s">
        <v>44</v>
      </c>
      <c r="F94" s="14" t="s">
        <v>263</v>
      </c>
      <c r="G94" s="16" t="s">
        <v>70</v>
      </c>
      <c r="H94" s="17">
        <v>4000</v>
      </c>
      <c r="I94" s="17">
        <v>3000</v>
      </c>
      <c r="J94" s="17">
        <v>0</v>
      </c>
      <c r="K94" s="18">
        <v>0.54530000000000001</v>
      </c>
      <c r="L94" s="17">
        <f t="shared" si="49"/>
        <v>1635.9</v>
      </c>
      <c r="M94" s="17">
        <f t="shared" si="50"/>
        <v>30</v>
      </c>
      <c r="N94" s="44">
        <v>0</v>
      </c>
      <c r="O94" s="19">
        <f t="shared" si="51"/>
        <v>133.33333333333334</v>
      </c>
      <c r="P94" s="19">
        <f t="shared" si="52"/>
        <v>62.919230769230772</v>
      </c>
      <c r="Q94" s="19">
        <f t="shared" si="53"/>
        <v>196.25256410256412</v>
      </c>
      <c r="R94" s="19">
        <f t="shared" si="68"/>
        <v>16.666666666666668</v>
      </c>
      <c r="S94" s="17">
        <v>0</v>
      </c>
      <c r="T94" s="17">
        <f t="shared" si="69"/>
        <v>0</v>
      </c>
      <c r="U94" s="17">
        <v>0</v>
      </c>
      <c r="V94" s="20">
        <f t="shared" si="55"/>
        <v>5635.9</v>
      </c>
      <c r="W94" s="21">
        <v>0</v>
      </c>
      <c r="X94" s="21">
        <f t="shared" si="56"/>
        <v>0</v>
      </c>
      <c r="Y94" s="46">
        <v>1</v>
      </c>
      <c r="Z94" s="21">
        <f t="shared" si="57"/>
        <v>133.33333333333334</v>
      </c>
      <c r="AA94" s="21">
        <v>0</v>
      </c>
      <c r="AB94" s="21">
        <f t="shared" si="70"/>
        <v>0</v>
      </c>
      <c r="AC94" s="22">
        <f t="shared" si="71"/>
        <v>133.33333333333334</v>
      </c>
      <c r="AD94" s="23">
        <f t="shared" si="72"/>
        <v>5502.5666666666666</v>
      </c>
      <c r="AE94" s="24">
        <v>0</v>
      </c>
      <c r="AF94" s="24">
        <f t="shared" si="60"/>
        <v>0</v>
      </c>
      <c r="AG94" s="25">
        <v>1669.6666666666699</v>
      </c>
      <c r="AH94" s="25">
        <f t="shared" si="73"/>
        <v>45994.799999999959</v>
      </c>
      <c r="AI94" s="25">
        <f t="shared" si="62"/>
        <v>49.956666666666329</v>
      </c>
      <c r="AJ94" s="24">
        <f t="shared" si="63"/>
        <v>2.7512833333333333</v>
      </c>
      <c r="AK94" s="23">
        <f t="shared" si="64"/>
        <v>5449.8587166666675</v>
      </c>
      <c r="AL94" s="24">
        <v>0</v>
      </c>
      <c r="AM94" s="23">
        <f t="shared" si="65"/>
        <v>5449.8587166666675</v>
      </c>
      <c r="AN94" s="25">
        <f t="shared" si="66"/>
        <v>0</v>
      </c>
      <c r="AO94" s="23"/>
      <c r="AP94" s="27">
        <f t="shared" si="48"/>
        <v>5502.5666666666666</v>
      </c>
    </row>
    <row r="95" spans="1:42" x14ac:dyDescent="0.35">
      <c r="A95" s="11" t="s">
        <v>66</v>
      </c>
      <c r="B95" s="12" t="s">
        <v>168</v>
      </c>
      <c r="C95" s="15">
        <v>29806011313209</v>
      </c>
      <c r="D95" s="50" t="s">
        <v>361</v>
      </c>
      <c r="E95" s="31" t="s">
        <v>44</v>
      </c>
      <c r="F95" s="14" t="s">
        <v>264</v>
      </c>
      <c r="G95" s="16" t="s">
        <v>70</v>
      </c>
      <c r="H95" s="17">
        <v>4000</v>
      </c>
      <c r="I95" s="17">
        <v>3000</v>
      </c>
      <c r="J95" s="17">
        <v>0</v>
      </c>
      <c r="K95" s="18">
        <v>0.47700000000000004</v>
      </c>
      <c r="L95" s="17">
        <f t="shared" si="49"/>
        <v>1431</v>
      </c>
      <c r="M95" s="17">
        <f t="shared" si="50"/>
        <v>30</v>
      </c>
      <c r="N95" s="44">
        <v>0</v>
      </c>
      <c r="O95" s="19">
        <f t="shared" si="51"/>
        <v>133.33333333333334</v>
      </c>
      <c r="P95" s="19">
        <f t="shared" si="52"/>
        <v>55.03846153846154</v>
      </c>
      <c r="Q95" s="19">
        <f t="shared" si="53"/>
        <v>188.37179487179489</v>
      </c>
      <c r="R95" s="19">
        <f t="shared" si="68"/>
        <v>16.666666666666668</v>
      </c>
      <c r="S95" s="17">
        <v>0</v>
      </c>
      <c r="T95" s="17">
        <f t="shared" si="69"/>
        <v>0</v>
      </c>
      <c r="U95" s="17">
        <v>0</v>
      </c>
      <c r="V95" s="20">
        <f t="shared" si="55"/>
        <v>5431</v>
      </c>
      <c r="W95" s="21">
        <v>0</v>
      </c>
      <c r="X95" s="21">
        <f t="shared" si="56"/>
        <v>0</v>
      </c>
      <c r="Y95" s="46">
        <v>0</v>
      </c>
      <c r="Z95" s="21">
        <f t="shared" si="57"/>
        <v>0</v>
      </c>
      <c r="AA95" s="21">
        <v>0</v>
      </c>
      <c r="AB95" s="21">
        <f>O95*AA95</f>
        <v>0</v>
      </c>
      <c r="AC95" s="22">
        <f t="shared" si="71"/>
        <v>0</v>
      </c>
      <c r="AD95" s="23">
        <f t="shared" si="72"/>
        <v>5431</v>
      </c>
      <c r="AE95" s="24">
        <v>0</v>
      </c>
      <c r="AF95" s="24">
        <f t="shared" si="60"/>
        <v>0</v>
      </c>
      <c r="AG95" s="25">
        <v>1666.6666666666667</v>
      </c>
      <c r="AH95" s="25">
        <f t="shared" si="61"/>
        <v>45172</v>
      </c>
      <c r="AI95" s="25">
        <f t="shared" si="62"/>
        <v>43.1</v>
      </c>
      <c r="AJ95" s="24">
        <f t="shared" si="63"/>
        <v>2.7155</v>
      </c>
      <c r="AK95" s="23">
        <f t="shared" si="64"/>
        <v>5385.1844999999994</v>
      </c>
      <c r="AL95" s="24">
        <v>0</v>
      </c>
      <c r="AM95" s="23">
        <f t="shared" si="65"/>
        <v>5385.1844999999994</v>
      </c>
      <c r="AN95" s="25">
        <f t="shared" si="66"/>
        <v>0</v>
      </c>
      <c r="AO95" s="23"/>
      <c r="AP95" s="27">
        <f t="shared" si="48"/>
        <v>5431</v>
      </c>
    </row>
    <row r="96" spans="1:42" x14ac:dyDescent="0.35">
      <c r="A96" s="11" t="s">
        <v>66</v>
      </c>
      <c r="B96" s="12" t="s">
        <v>169</v>
      </c>
      <c r="C96" s="15">
        <v>30503181301771</v>
      </c>
      <c r="D96" s="50" t="s">
        <v>384</v>
      </c>
      <c r="E96" s="31" t="s">
        <v>90</v>
      </c>
      <c r="F96" s="14" t="s">
        <v>265</v>
      </c>
      <c r="G96" s="16" t="s">
        <v>70</v>
      </c>
      <c r="H96" s="17">
        <v>4000</v>
      </c>
      <c r="I96" s="17">
        <v>3000</v>
      </c>
      <c r="J96" s="17">
        <v>0</v>
      </c>
      <c r="K96" s="18">
        <v>9.6200000000000008E-2</v>
      </c>
      <c r="L96" s="17">
        <f t="shared" si="49"/>
        <v>288.60000000000002</v>
      </c>
      <c r="M96" s="17">
        <f>30-W96</f>
        <v>3</v>
      </c>
      <c r="N96" s="44">
        <v>0</v>
      </c>
      <c r="O96" s="19">
        <f t="shared" si="51"/>
        <v>133.33333333333334</v>
      </c>
      <c r="P96" s="19">
        <f t="shared" si="52"/>
        <v>11.100000000000001</v>
      </c>
      <c r="Q96" s="19">
        <f t="shared" si="53"/>
        <v>144.43333333333334</v>
      </c>
      <c r="R96" s="19">
        <f>+O96/8</f>
        <v>16.666666666666668</v>
      </c>
      <c r="S96" s="17">
        <v>0</v>
      </c>
      <c r="T96" s="17">
        <f>+R96*S96</f>
        <v>0</v>
      </c>
      <c r="U96" s="17">
        <v>0</v>
      </c>
      <c r="V96" s="20">
        <f>H96+L96+T96+U96+J96</f>
        <v>4288.6000000000004</v>
      </c>
      <c r="W96" s="21">
        <v>27</v>
      </c>
      <c r="X96" s="21">
        <f t="shared" si="56"/>
        <v>3600.0000000000005</v>
      </c>
      <c r="Y96" s="46">
        <v>0</v>
      </c>
      <c r="Z96" s="21">
        <f t="shared" si="57"/>
        <v>0</v>
      </c>
      <c r="AA96" s="21">
        <v>0</v>
      </c>
      <c r="AB96" s="21">
        <f t="shared" si="70"/>
        <v>0</v>
      </c>
      <c r="AC96" s="22">
        <f>X96+Z96+AB96</f>
        <v>3600.0000000000005</v>
      </c>
      <c r="AD96" s="23">
        <f>V96-AC96</f>
        <v>688.59999999999991</v>
      </c>
      <c r="AE96" s="24">
        <v>0</v>
      </c>
      <c r="AF96" s="24">
        <f>+AE96*0.11</f>
        <v>0</v>
      </c>
      <c r="AG96" s="25">
        <v>1666.6666666666667</v>
      </c>
      <c r="AH96" s="25">
        <f>(AD96-AF96-AG96)*12</f>
        <v>-11736.800000000003</v>
      </c>
      <c r="AI96" s="25">
        <f>IF(AND(AH96&gt;40000,AH96&lt;=55000),(AH96-40000)*10%,
IF(AND(AH96&gt;55000,AH96&lt;=70000),(AH96-55000)*15%+15000*10%,
IF(AND(AH96&gt;70000,AH96&lt;=200000),(AH96-70000)*20%+15000*10%+15000*15%,
IF(AND(AH96&gt;200000,AH96&lt;=400000),(AH96-200000)*22.5%+15000*10%+15000*15%+130000*20%,
IF(AND(AH96&gt;400000,AH96&lt;=600000),(AH96-400000)*25%+15000*10%+15000*15%+130000*20%+200000*22.5%,
IF(AND(AH96&gt;600000,AH96&lt;=700000),(AH96-400000)*25%+55000*10%+15000*15%+130000*20%+200000*22.5%,
IF(AND(AH96&gt;700000,AH96&lt;=800000),(AH96-400000)*25%+70000*15%+130000*20%+200000*22.5%,
IF(AND(AH96&gt;800000,AH96&lt;=900000),(AH96-400000)*25%+200000*20%+200000*22.5%,
IF(AND(AH96&gt;900000,AH96&lt;=1200000),(AH96-400000)*25%+400000*22.5%,
IF(AH96&gt;1200000,(AH96-1200000)*27.5%+1200000*25%))))))))))/12</f>
        <v>0</v>
      </c>
      <c r="AJ96" s="24">
        <f>+AD96*0.0005</f>
        <v>0.34429999999999994</v>
      </c>
      <c r="AK96" s="23">
        <f>+AD96-AF96-AI96-AJ96</f>
        <v>688.25569999999993</v>
      </c>
      <c r="AL96" s="24">
        <v>0</v>
      </c>
      <c r="AM96" s="23">
        <f>+AK96-AL96</f>
        <v>688.25569999999993</v>
      </c>
      <c r="AN96" s="25">
        <f>+AE96*0.1875</f>
        <v>0</v>
      </c>
      <c r="AO96" s="23"/>
      <c r="AP96" s="27">
        <f t="shared" si="48"/>
        <v>688.59999999999991</v>
      </c>
    </row>
    <row r="97" spans="1:42" x14ac:dyDescent="0.35">
      <c r="A97" s="11" t="s">
        <v>66</v>
      </c>
      <c r="B97" s="12" t="s">
        <v>170</v>
      </c>
      <c r="C97" s="15">
        <v>29901011304652</v>
      </c>
      <c r="D97" s="53" t="s">
        <v>382</v>
      </c>
      <c r="E97" s="30" t="s">
        <v>44</v>
      </c>
      <c r="F97" s="14" t="s">
        <v>266</v>
      </c>
      <c r="G97" s="16" t="s">
        <v>70</v>
      </c>
      <c r="H97" s="17">
        <v>4000</v>
      </c>
      <c r="I97" s="17">
        <v>3000</v>
      </c>
      <c r="J97" s="17">
        <v>0</v>
      </c>
      <c r="K97" s="18">
        <v>0.1007</v>
      </c>
      <c r="L97" s="17">
        <f t="shared" si="49"/>
        <v>302.09999999999997</v>
      </c>
      <c r="M97" s="17">
        <f t="shared" ref="M97:M113" si="74">30-W97</f>
        <v>7</v>
      </c>
      <c r="N97" s="44">
        <v>0</v>
      </c>
      <c r="O97" s="19">
        <f t="shared" si="51"/>
        <v>133.33333333333334</v>
      </c>
      <c r="P97" s="19">
        <f t="shared" si="52"/>
        <v>11.619230769230768</v>
      </c>
      <c r="Q97" s="19">
        <f t="shared" si="53"/>
        <v>144.95256410256411</v>
      </c>
      <c r="R97" s="19">
        <f t="shared" si="68"/>
        <v>16.666666666666668</v>
      </c>
      <c r="S97" s="17">
        <v>0</v>
      </c>
      <c r="T97" s="17">
        <f t="shared" ref="T97:T113" si="75">+R97*S97</f>
        <v>0</v>
      </c>
      <c r="U97" s="17">
        <v>0</v>
      </c>
      <c r="V97" s="20">
        <f t="shared" ref="V97:V113" si="76">H97+L97+T97+U97+J97</f>
        <v>4302.1000000000004</v>
      </c>
      <c r="W97" s="21">
        <v>23</v>
      </c>
      <c r="X97" s="21">
        <f t="shared" si="56"/>
        <v>3066.666666666667</v>
      </c>
      <c r="Y97" s="46">
        <v>1</v>
      </c>
      <c r="Z97" s="21">
        <f t="shared" si="57"/>
        <v>133.33333333333334</v>
      </c>
      <c r="AA97" s="21">
        <v>0</v>
      </c>
      <c r="AB97" s="21">
        <f t="shared" si="70"/>
        <v>0</v>
      </c>
      <c r="AC97" s="22">
        <f t="shared" ref="AC97:AC113" si="77">X97+Z97+AB97</f>
        <v>3200.0000000000005</v>
      </c>
      <c r="AD97" s="23">
        <f t="shared" ref="AD97:AD113" si="78">V97-AC97</f>
        <v>1102.0999999999999</v>
      </c>
      <c r="AE97" s="24">
        <v>0</v>
      </c>
      <c r="AF97" s="24">
        <f t="shared" ref="AF97:AF113" si="79">+AE97*0.11</f>
        <v>0</v>
      </c>
      <c r="AG97" s="25">
        <v>1666.6666666666667</v>
      </c>
      <c r="AH97" s="25">
        <f t="shared" ref="AH97:AH113" si="80">(AD97-AF97-AG97)*12</f>
        <v>-6774.800000000002</v>
      </c>
      <c r="AI97" s="25">
        <f t="shared" ref="AI97:AI113" si="81">IF(AND(AH97&gt;40000,AH97&lt;=55000),(AH97-40000)*10%,
IF(AND(AH97&gt;55000,AH97&lt;=70000),(AH97-55000)*15%+15000*10%,
IF(AND(AH97&gt;70000,AH97&lt;=200000),(AH97-70000)*20%+15000*10%+15000*15%,
IF(AND(AH97&gt;200000,AH97&lt;=400000),(AH97-200000)*22.5%+15000*10%+15000*15%+130000*20%,
IF(AND(AH97&gt;400000,AH97&lt;=600000),(AH97-400000)*25%+15000*10%+15000*15%+130000*20%+200000*22.5%,
IF(AND(AH97&gt;600000,AH97&lt;=700000),(AH97-400000)*25%+55000*10%+15000*15%+130000*20%+200000*22.5%,
IF(AND(AH97&gt;700000,AH97&lt;=800000),(AH97-400000)*25%+70000*15%+130000*20%+200000*22.5%,
IF(AND(AH97&gt;800000,AH97&lt;=900000),(AH97-400000)*25%+200000*20%+200000*22.5%,
IF(AND(AH97&gt;900000,AH97&lt;=1200000),(AH97-400000)*25%+400000*22.5%,
IF(AH97&gt;1200000,(AH97-1200000)*27.5%+1200000*25%))))))))))/12</f>
        <v>0</v>
      </c>
      <c r="AJ97" s="24">
        <f t="shared" ref="AJ97:AJ113" si="82">+AD97*0.0005</f>
        <v>0.55104999999999993</v>
      </c>
      <c r="AK97" s="23">
        <f t="shared" ref="AK97:AK113" si="83">+AD97-AF97-AI97-AJ97</f>
        <v>1101.5489499999999</v>
      </c>
      <c r="AL97" s="24">
        <v>0</v>
      </c>
      <c r="AM97" s="23">
        <f t="shared" ref="AM97:AM113" si="84">+AK97-AL97</f>
        <v>1101.5489499999999</v>
      </c>
      <c r="AN97" s="25">
        <f t="shared" ref="AN97:AN113" si="85">+AE97*0.1875</f>
        <v>0</v>
      </c>
      <c r="AO97" s="23"/>
      <c r="AP97" s="27">
        <f t="shared" si="48"/>
        <v>1102.0999999999999</v>
      </c>
    </row>
    <row r="98" spans="1:42" x14ac:dyDescent="0.35">
      <c r="A98" s="11" t="s">
        <v>66</v>
      </c>
      <c r="B98" s="12" t="s">
        <v>171</v>
      </c>
      <c r="C98" s="15">
        <v>30607121304216</v>
      </c>
      <c r="D98" s="53" t="s">
        <v>391</v>
      </c>
      <c r="E98" s="30" t="s">
        <v>90</v>
      </c>
      <c r="F98" s="14" t="s">
        <v>267</v>
      </c>
      <c r="G98" s="16" t="s">
        <v>70</v>
      </c>
      <c r="H98" s="17">
        <v>4000</v>
      </c>
      <c r="I98" s="17">
        <v>3000</v>
      </c>
      <c r="J98" s="17">
        <v>0</v>
      </c>
      <c r="K98" s="18">
        <v>0.1699</v>
      </c>
      <c r="L98" s="17">
        <f t="shared" si="49"/>
        <v>509.7</v>
      </c>
      <c r="M98" s="17">
        <f t="shared" si="74"/>
        <v>12</v>
      </c>
      <c r="N98" s="44">
        <v>0</v>
      </c>
      <c r="O98" s="19">
        <f t="shared" si="51"/>
        <v>133.33333333333334</v>
      </c>
      <c r="P98" s="19">
        <f t="shared" si="52"/>
        <v>19.603846153846153</v>
      </c>
      <c r="Q98" s="19">
        <f t="shared" si="53"/>
        <v>152.93717948717949</v>
      </c>
      <c r="R98" s="19">
        <f t="shared" si="68"/>
        <v>16.666666666666668</v>
      </c>
      <c r="S98" s="17">
        <v>0</v>
      </c>
      <c r="T98" s="17">
        <f t="shared" si="75"/>
        <v>0</v>
      </c>
      <c r="U98" s="17">
        <v>0</v>
      </c>
      <c r="V98" s="20">
        <f t="shared" si="76"/>
        <v>4509.7</v>
      </c>
      <c r="W98" s="21">
        <v>18</v>
      </c>
      <c r="X98" s="21">
        <f t="shared" si="56"/>
        <v>2400</v>
      </c>
      <c r="Y98" s="46">
        <v>0</v>
      </c>
      <c r="Z98" s="21">
        <f t="shared" si="57"/>
        <v>0</v>
      </c>
      <c r="AA98" s="21">
        <v>0</v>
      </c>
      <c r="AB98" s="21">
        <f t="shared" si="70"/>
        <v>0</v>
      </c>
      <c r="AC98" s="22">
        <f t="shared" si="77"/>
        <v>2400</v>
      </c>
      <c r="AD98" s="23">
        <f t="shared" si="78"/>
        <v>2109.6999999999998</v>
      </c>
      <c r="AE98" s="24">
        <v>0</v>
      </c>
      <c r="AF98" s="24">
        <f t="shared" si="79"/>
        <v>0</v>
      </c>
      <c r="AG98" s="25">
        <v>1666.6666666666667</v>
      </c>
      <c r="AH98" s="25">
        <f t="shared" si="80"/>
        <v>5316.3999999999969</v>
      </c>
      <c r="AI98" s="25">
        <f t="shared" si="81"/>
        <v>0</v>
      </c>
      <c r="AJ98" s="24">
        <f t="shared" si="82"/>
        <v>1.0548499999999998</v>
      </c>
      <c r="AK98" s="23">
        <f t="shared" si="83"/>
        <v>2108.6451499999998</v>
      </c>
      <c r="AL98" s="24">
        <v>0</v>
      </c>
      <c r="AM98" s="23">
        <f t="shared" si="84"/>
        <v>2108.6451499999998</v>
      </c>
      <c r="AN98" s="25">
        <f t="shared" si="85"/>
        <v>0</v>
      </c>
      <c r="AO98" s="23"/>
      <c r="AP98" s="27">
        <f t="shared" si="48"/>
        <v>2109.6999999999998</v>
      </c>
    </row>
    <row r="99" spans="1:42" x14ac:dyDescent="0.35">
      <c r="A99" s="11" t="s">
        <v>66</v>
      </c>
      <c r="B99" s="12" t="s">
        <v>172</v>
      </c>
      <c r="C99" s="15">
        <v>30606241200116</v>
      </c>
      <c r="D99" s="53" t="s">
        <v>362</v>
      </c>
      <c r="E99" s="30" t="s">
        <v>90</v>
      </c>
      <c r="F99" s="14" t="s">
        <v>268</v>
      </c>
      <c r="G99" s="16" t="s">
        <v>70</v>
      </c>
      <c r="H99" s="17">
        <v>4000</v>
      </c>
      <c r="I99" s="17">
        <v>3000</v>
      </c>
      <c r="J99" s="17">
        <v>0</v>
      </c>
      <c r="K99" s="18">
        <v>0.34689999999999999</v>
      </c>
      <c r="L99" s="17">
        <f t="shared" si="49"/>
        <v>1040.7</v>
      </c>
      <c r="M99" s="17">
        <f t="shared" si="74"/>
        <v>15</v>
      </c>
      <c r="N99" s="44">
        <v>0</v>
      </c>
      <c r="O99" s="19">
        <f t="shared" si="51"/>
        <v>133.33333333333334</v>
      </c>
      <c r="P99" s="19">
        <f t="shared" si="52"/>
        <v>40.026923076923076</v>
      </c>
      <c r="Q99" s="19">
        <f t="shared" si="53"/>
        <v>173.36025641025643</v>
      </c>
      <c r="R99" s="19">
        <f t="shared" si="68"/>
        <v>16.666666666666668</v>
      </c>
      <c r="S99" s="17">
        <v>0</v>
      </c>
      <c r="T99" s="17">
        <f t="shared" si="75"/>
        <v>0</v>
      </c>
      <c r="U99" s="17">
        <v>0</v>
      </c>
      <c r="V99" s="20">
        <f t="shared" si="76"/>
        <v>5040.7</v>
      </c>
      <c r="W99" s="21">
        <v>15</v>
      </c>
      <c r="X99" s="21">
        <f t="shared" si="56"/>
        <v>2000.0000000000002</v>
      </c>
      <c r="Y99" s="46">
        <v>0</v>
      </c>
      <c r="Z99" s="21">
        <f t="shared" si="57"/>
        <v>0</v>
      </c>
      <c r="AA99" s="21">
        <v>0</v>
      </c>
      <c r="AB99" s="21">
        <f t="shared" si="70"/>
        <v>0</v>
      </c>
      <c r="AC99" s="22">
        <f t="shared" si="77"/>
        <v>2000.0000000000002</v>
      </c>
      <c r="AD99" s="23">
        <f t="shared" si="78"/>
        <v>3040.7</v>
      </c>
      <c r="AE99" s="24">
        <v>0</v>
      </c>
      <c r="AF99" s="24">
        <f t="shared" si="79"/>
        <v>0</v>
      </c>
      <c r="AG99" s="25">
        <v>1666.6666666666667</v>
      </c>
      <c r="AH99" s="25">
        <f t="shared" si="80"/>
        <v>16488.399999999998</v>
      </c>
      <c r="AI99" s="25">
        <f t="shared" si="81"/>
        <v>0</v>
      </c>
      <c r="AJ99" s="24">
        <f t="shared" si="82"/>
        <v>1.5203499999999999</v>
      </c>
      <c r="AK99" s="23">
        <f t="shared" si="83"/>
        <v>3039.17965</v>
      </c>
      <c r="AL99" s="24">
        <v>0</v>
      </c>
      <c r="AM99" s="23">
        <f t="shared" si="84"/>
        <v>3039.17965</v>
      </c>
      <c r="AN99" s="25">
        <f t="shared" si="85"/>
        <v>0</v>
      </c>
      <c r="AO99" s="23"/>
      <c r="AP99" s="27">
        <f t="shared" si="48"/>
        <v>3040.7</v>
      </c>
    </row>
    <row r="100" spans="1:42" x14ac:dyDescent="0.35">
      <c r="A100" s="11" t="s">
        <v>66</v>
      </c>
      <c r="B100" s="12" t="s">
        <v>173</v>
      </c>
      <c r="C100" s="15">
        <v>30610112701297</v>
      </c>
      <c r="D100" s="53" t="s">
        <v>363</v>
      </c>
      <c r="E100" s="30" t="s">
        <v>44</v>
      </c>
      <c r="F100" s="14" t="s">
        <v>269</v>
      </c>
      <c r="G100" s="16" t="s">
        <v>70</v>
      </c>
      <c r="H100" s="17">
        <v>4000</v>
      </c>
      <c r="I100" s="17">
        <v>3000</v>
      </c>
      <c r="J100" s="17">
        <v>0</v>
      </c>
      <c r="K100" s="18">
        <v>0.98899999999999988</v>
      </c>
      <c r="L100" s="17">
        <f t="shared" si="49"/>
        <v>2966.9999999999995</v>
      </c>
      <c r="M100" s="17">
        <f t="shared" si="74"/>
        <v>18</v>
      </c>
      <c r="N100" s="44">
        <v>0</v>
      </c>
      <c r="O100" s="19">
        <f t="shared" si="51"/>
        <v>133.33333333333334</v>
      </c>
      <c r="P100" s="19">
        <f t="shared" si="52"/>
        <v>114.1153846153846</v>
      </c>
      <c r="Q100" s="19">
        <f t="shared" si="53"/>
        <v>247.44871794871796</v>
      </c>
      <c r="R100" s="19">
        <f t="shared" si="68"/>
        <v>16.666666666666668</v>
      </c>
      <c r="S100" s="17">
        <v>0</v>
      </c>
      <c r="T100" s="17">
        <f t="shared" si="75"/>
        <v>0</v>
      </c>
      <c r="U100" s="17">
        <v>0</v>
      </c>
      <c r="V100" s="20">
        <f t="shared" si="76"/>
        <v>6967</v>
      </c>
      <c r="W100" s="21">
        <v>12</v>
      </c>
      <c r="X100" s="21">
        <f t="shared" si="56"/>
        <v>1600</v>
      </c>
      <c r="Y100" s="46">
        <v>0</v>
      </c>
      <c r="Z100" s="21">
        <f t="shared" si="57"/>
        <v>0</v>
      </c>
      <c r="AA100" s="21">
        <v>0</v>
      </c>
      <c r="AB100" s="21">
        <f t="shared" si="70"/>
        <v>0</v>
      </c>
      <c r="AC100" s="22">
        <f t="shared" si="77"/>
        <v>1600</v>
      </c>
      <c r="AD100" s="23">
        <f t="shared" si="78"/>
        <v>5367</v>
      </c>
      <c r="AE100" s="24">
        <v>0</v>
      </c>
      <c r="AF100" s="24">
        <f t="shared" si="79"/>
        <v>0</v>
      </c>
      <c r="AG100" s="25">
        <v>1666.6666666666667</v>
      </c>
      <c r="AH100" s="25">
        <f t="shared" si="80"/>
        <v>44404</v>
      </c>
      <c r="AI100" s="25">
        <f t="shared" si="81"/>
        <v>36.700000000000003</v>
      </c>
      <c r="AJ100" s="24">
        <f t="shared" si="82"/>
        <v>2.6835</v>
      </c>
      <c r="AK100" s="23">
        <f t="shared" si="83"/>
        <v>5327.6165000000001</v>
      </c>
      <c r="AL100" s="24">
        <v>0</v>
      </c>
      <c r="AM100" s="23">
        <f t="shared" si="84"/>
        <v>5327.6165000000001</v>
      </c>
      <c r="AN100" s="25">
        <f t="shared" si="85"/>
        <v>0</v>
      </c>
      <c r="AO100" s="23"/>
      <c r="AP100" s="27">
        <f t="shared" si="48"/>
        <v>5367</v>
      </c>
    </row>
    <row r="101" spans="1:42" x14ac:dyDescent="0.35">
      <c r="A101" s="11" t="s">
        <v>66</v>
      </c>
      <c r="B101" s="12" t="s">
        <v>174</v>
      </c>
      <c r="C101" s="15">
        <v>3032051100558</v>
      </c>
      <c r="D101" s="53" t="s">
        <v>392</v>
      </c>
      <c r="E101" s="30" t="s">
        <v>90</v>
      </c>
      <c r="F101" s="14" t="s">
        <v>270</v>
      </c>
      <c r="G101" s="16" t="s">
        <v>70</v>
      </c>
      <c r="H101" s="17">
        <v>4000</v>
      </c>
      <c r="I101" s="17">
        <v>3000</v>
      </c>
      <c r="J101" s="17">
        <v>0</v>
      </c>
      <c r="K101" s="18">
        <v>0.70079999999999998</v>
      </c>
      <c r="L101" s="17">
        <f t="shared" si="49"/>
        <v>2102.4</v>
      </c>
      <c r="M101" s="17">
        <f t="shared" si="74"/>
        <v>21</v>
      </c>
      <c r="N101" s="44">
        <v>0</v>
      </c>
      <c r="O101" s="19">
        <f t="shared" si="51"/>
        <v>133.33333333333334</v>
      </c>
      <c r="P101" s="19">
        <f t="shared" si="52"/>
        <v>80.861538461538458</v>
      </c>
      <c r="Q101" s="19">
        <f t="shared" si="53"/>
        <v>214.1948717948718</v>
      </c>
      <c r="R101" s="19">
        <f t="shared" si="68"/>
        <v>16.666666666666668</v>
      </c>
      <c r="S101" s="17">
        <v>0</v>
      </c>
      <c r="T101" s="17">
        <f t="shared" si="75"/>
        <v>0</v>
      </c>
      <c r="U101" s="17">
        <v>0</v>
      </c>
      <c r="V101" s="20">
        <f t="shared" si="76"/>
        <v>6102.4</v>
      </c>
      <c r="W101" s="21">
        <v>9</v>
      </c>
      <c r="X101" s="21">
        <f t="shared" si="56"/>
        <v>1200</v>
      </c>
      <c r="Y101" s="46">
        <v>0</v>
      </c>
      <c r="Z101" s="21">
        <f t="shared" si="57"/>
        <v>0</v>
      </c>
      <c r="AA101" s="21">
        <v>0</v>
      </c>
      <c r="AB101" s="21">
        <f t="shared" si="70"/>
        <v>0</v>
      </c>
      <c r="AC101" s="22">
        <f t="shared" si="77"/>
        <v>1200</v>
      </c>
      <c r="AD101" s="23">
        <f t="shared" si="78"/>
        <v>4902.3999999999996</v>
      </c>
      <c r="AE101" s="24">
        <v>0</v>
      </c>
      <c r="AF101" s="24">
        <f t="shared" si="79"/>
        <v>0</v>
      </c>
      <c r="AG101" s="25">
        <v>1666.6666666666667</v>
      </c>
      <c r="AH101" s="25">
        <f t="shared" si="80"/>
        <v>38828.799999999988</v>
      </c>
      <c r="AI101" s="25">
        <f t="shared" si="81"/>
        <v>0</v>
      </c>
      <c r="AJ101" s="24">
        <f t="shared" si="82"/>
        <v>2.4512</v>
      </c>
      <c r="AK101" s="23">
        <f t="shared" si="83"/>
        <v>4899.9487999999992</v>
      </c>
      <c r="AL101" s="24">
        <v>0</v>
      </c>
      <c r="AM101" s="23">
        <f t="shared" si="84"/>
        <v>4899.9487999999992</v>
      </c>
      <c r="AN101" s="25">
        <f t="shared" si="85"/>
        <v>0</v>
      </c>
      <c r="AO101" s="23"/>
      <c r="AP101" s="27">
        <f t="shared" si="48"/>
        <v>4902.3999999999996</v>
      </c>
    </row>
    <row r="102" spans="1:42" x14ac:dyDescent="0.35">
      <c r="A102" s="11" t="s">
        <v>66</v>
      </c>
      <c r="B102" s="12" t="s">
        <v>175</v>
      </c>
      <c r="C102" s="15">
        <v>30211081300254</v>
      </c>
      <c r="D102" s="53" t="s">
        <v>385</v>
      </c>
      <c r="E102" s="30" t="s">
        <v>90</v>
      </c>
      <c r="F102" s="14" t="s">
        <v>271</v>
      </c>
      <c r="G102" s="16" t="s">
        <v>70</v>
      </c>
      <c r="H102" s="17">
        <v>4000</v>
      </c>
      <c r="I102" s="17">
        <v>3000</v>
      </c>
      <c r="J102" s="17">
        <v>0</v>
      </c>
      <c r="K102" s="18">
        <v>0.504</v>
      </c>
      <c r="L102" s="17">
        <f t="shared" si="49"/>
        <v>1512</v>
      </c>
      <c r="M102" s="17">
        <f t="shared" si="74"/>
        <v>24</v>
      </c>
      <c r="N102" s="44">
        <v>0</v>
      </c>
      <c r="O102" s="19">
        <f t="shared" si="51"/>
        <v>133.33333333333334</v>
      </c>
      <c r="P102" s="19">
        <f t="shared" si="52"/>
        <v>58.153846153846153</v>
      </c>
      <c r="Q102" s="19">
        <f t="shared" si="53"/>
        <v>191.4871794871795</v>
      </c>
      <c r="R102" s="19">
        <f t="shared" si="68"/>
        <v>16.666666666666668</v>
      </c>
      <c r="S102" s="17">
        <v>0</v>
      </c>
      <c r="T102" s="17">
        <f t="shared" si="75"/>
        <v>0</v>
      </c>
      <c r="U102" s="17">
        <v>0</v>
      </c>
      <c r="V102" s="20">
        <f t="shared" si="76"/>
        <v>5512</v>
      </c>
      <c r="W102" s="21">
        <v>6</v>
      </c>
      <c r="X102" s="21">
        <f t="shared" si="56"/>
        <v>800</v>
      </c>
      <c r="Y102" s="46">
        <v>1</v>
      </c>
      <c r="Z102" s="21">
        <f t="shared" si="57"/>
        <v>133.33333333333334</v>
      </c>
      <c r="AA102" s="21">
        <v>0</v>
      </c>
      <c r="AB102" s="21">
        <f t="shared" si="70"/>
        <v>0</v>
      </c>
      <c r="AC102" s="22">
        <f t="shared" si="77"/>
        <v>933.33333333333337</v>
      </c>
      <c r="AD102" s="23">
        <f t="shared" si="78"/>
        <v>4578.666666666667</v>
      </c>
      <c r="AE102" s="24">
        <v>0</v>
      </c>
      <c r="AF102" s="24">
        <f t="shared" si="79"/>
        <v>0</v>
      </c>
      <c r="AG102" s="25">
        <v>1666.6666666666667</v>
      </c>
      <c r="AH102" s="25">
        <f t="shared" si="80"/>
        <v>34944</v>
      </c>
      <c r="AI102" s="25">
        <f t="shared" si="81"/>
        <v>0</v>
      </c>
      <c r="AJ102" s="24">
        <f t="shared" si="82"/>
        <v>2.2893333333333334</v>
      </c>
      <c r="AK102" s="23">
        <f t="shared" si="83"/>
        <v>4576.3773333333338</v>
      </c>
      <c r="AL102" s="24">
        <v>0</v>
      </c>
      <c r="AM102" s="23">
        <f t="shared" si="84"/>
        <v>4576.3773333333338</v>
      </c>
      <c r="AN102" s="25">
        <f t="shared" si="85"/>
        <v>0</v>
      </c>
      <c r="AO102" s="23"/>
      <c r="AP102" s="27">
        <f t="shared" si="48"/>
        <v>4578.666666666667</v>
      </c>
    </row>
    <row r="103" spans="1:42" x14ac:dyDescent="0.35">
      <c r="A103" s="11" t="s">
        <v>66</v>
      </c>
      <c r="B103" s="12" t="s">
        <v>176</v>
      </c>
      <c r="C103" s="15">
        <v>30710011339516</v>
      </c>
      <c r="D103" s="53" t="s">
        <v>364</v>
      </c>
      <c r="E103" s="30" t="s">
        <v>44</v>
      </c>
      <c r="F103" s="14" t="s">
        <v>272</v>
      </c>
      <c r="G103" s="16" t="s">
        <v>70</v>
      </c>
      <c r="H103" s="17">
        <v>4000</v>
      </c>
      <c r="I103" s="17">
        <v>3000</v>
      </c>
      <c r="J103" s="17">
        <v>0</v>
      </c>
      <c r="K103" s="18">
        <v>0.46889999999999998</v>
      </c>
      <c r="L103" s="17">
        <f t="shared" si="49"/>
        <v>1406.7</v>
      </c>
      <c r="M103" s="17">
        <f t="shared" si="74"/>
        <v>24</v>
      </c>
      <c r="N103" s="44">
        <v>0</v>
      </c>
      <c r="O103" s="19">
        <f t="shared" si="51"/>
        <v>133.33333333333334</v>
      </c>
      <c r="P103" s="19">
        <f t="shared" si="52"/>
        <v>54.103846153846156</v>
      </c>
      <c r="Q103" s="19">
        <f t="shared" si="53"/>
        <v>187.43717948717949</v>
      </c>
      <c r="R103" s="19">
        <f t="shared" si="68"/>
        <v>16.666666666666668</v>
      </c>
      <c r="S103" s="17">
        <v>0</v>
      </c>
      <c r="T103" s="17">
        <f t="shared" si="75"/>
        <v>0</v>
      </c>
      <c r="U103" s="17">
        <v>0</v>
      </c>
      <c r="V103" s="20">
        <f t="shared" si="76"/>
        <v>5406.7</v>
      </c>
      <c r="W103" s="21">
        <v>6</v>
      </c>
      <c r="X103" s="21">
        <f t="shared" si="56"/>
        <v>800</v>
      </c>
      <c r="Y103" s="46">
        <v>2</v>
      </c>
      <c r="Z103" s="21">
        <f t="shared" si="57"/>
        <v>266.66666666666669</v>
      </c>
      <c r="AA103" s="21">
        <v>0</v>
      </c>
      <c r="AB103" s="21">
        <f t="shared" si="70"/>
        <v>0</v>
      </c>
      <c r="AC103" s="22">
        <f t="shared" si="77"/>
        <v>1066.6666666666667</v>
      </c>
      <c r="AD103" s="23">
        <f t="shared" si="78"/>
        <v>4340.0333333333328</v>
      </c>
      <c r="AE103" s="24">
        <v>0</v>
      </c>
      <c r="AF103" s="24">
        <f t="shared" si="79"/>
        <v>0</v>
      </c>
      <c r="AG103" s="25">
        <v>1666.6666666666667</v>
      </c>
      <c r="AH103" s="25">
        <f t="shared" si="80"/>
        <v>32080.399999999991</v>
      </c>
      <c r="AI103" s="25">
        <f t="shared" si="81"/>
        <v>0</v>
      </c>
      <c r="AJ103" s="24">
        <f t="shared" si="82"/>
        <v>2.1700166666666663</v>
      </c>
      <c r="AK103" s="23">
        <f t="shared" si="83"/>
        <v>4337.8633166666659</v>
      </c>
      <c r="AL103" s="24">
        <v>0</v>
      </c>
      <c r="AM103" s="23">
        <f t="shared" si="84"/>
        <v>4337.8633166666659</v>
      </c>
      <c r="AN103" s="25">
        <f t="shared" si="85"/>
        <v>0</v>
      </c>
      <c r="AO103" s="23"/>
      <c r="AP103" s="27">
        <f t="shared" si="48"/>
        <v>4340.0333333333328</v>
      </c>
    </row>
    <row r="104" spans="1:42" x14ac:dyDescent="0.35">
      <c r="A104" s="11" t="s">
        <v>66</v>
      </c>
      <c r="B104" s="12" t="s">
        <v>177</v>
      </c>
      <c r="C104" s="15">
        <v>29908072402619</v>
      </c>
      <c r="D104" s="53" t="s">
        <v>365</v>
      </c>
      <c r="E104" s="30" t="s">
        <v>90</v>
      </c>
      <c r="F104" s="14" t="s">
        <v>273</v>
      </c>
      <c r="G104" s="16" t="s">
        <v>70</v>
      </c>
      <c r="H104" s="17">
        <v>4000</v>
      </c>
      <c r="I104" s="17">
        <v>3000</v>
      </c>
      <c r="J104" s="17">
        <v>0</v>
      </c>
      <c r="K104" s="18">
        <v>0.77729999999999999</v>
      </c>
      <c r="L104" s="17">
        <f t="shared" si="49"/>
        <v>2331.9</v>
      </c>
      <c r="M104" s="17">
        <f t="shared" si="74"/>
        <v>24</v>
      </c>
      <c r="N104" s="44">
        <v>0</v>
      </c>
      <c r="O104" s="19">
        <f t="shared" si="51"/>
        <v>133.33333333333334</v>
      </c>
      <c r="P104" s="19">
        <f t="shared" si="52"/>
        <v>89.688461538461539</v>
      </c>
      <c r="Q104" s="19">
        <f t="shared" si="53"/>
        <v>223.0217948717949</v>
      </c>
      <c r="R104" s="19">
        <f t="shared" si="68"/>
        <v>16.666666666666668</v>
      </c>
      <c r="S104" s="17">
        <v>0</v>
      </c>
      <c r="T104" s="17">
        <f t="shared" si="75"/>
        <v>0</v>
      </c>
      <c r="U104" s="17">
        <v>0</v>
      </c>
      <c r="V104" s="20">
        <f t="shared" si="76"/>
        <v>6331.9</v>
      </c>
      <c r="W104" s="21">
        <v>6</v>
      </c>
      <c r="X104" s="21">
        <f t="shared" si="56"/>
        <v>800</v>
      </c>
      <c r="Y104" s="46">
        <v>1</v>
      </c>
      <c r="Z104" s="21">
        <f t="shared" si="57"/>
        <v>133.33333333333334</v>
      </c>
      <c r="AA104" s="21">
        <v>0</v>
      </c>
      <c r="AB104" s="21">
        <f t="shared" si="70"/>
        <v>0</v>
      </c>
      <c r="AC104" s="22">
        <f t="shared" si="77"/>
        <v>933.33333333333337</v>
      </c>
      <c r="AD104" s="23">
        <f t="shared" si="78"/>
        <v>5398.5666666666666</v>
      </c>
      <c r="AE104" s="24">
        <v>0</v>
      </c>
      <c r="AF104" s="24">
        <f t="shared" si="79"/>
        <v>0</v>
      </c>
      <c r="AG104" s="25">
        <v>1666.6666666666667</v>
      </c>
      <c r="AH104" s="25">
        <f t="shared" si="80"/>
        <v>44782.799999999996</v>
      </c>
      <c r="AI104" s="25">
        <f t="shared" si="81"/>
        <v>39.856666666666634</v>
      </c>
      <c r="AJ104" s="24">
        <f t="shared" si="82"/>
        <v>2.6992833333333333</v>
      </c>
      <c r="AK104" s="23">
        <f t="shared" si="83"/>
        <v>5356.0107166666667</v>
      </c>
      <c r="AL104" s="24">
        <v>0</v>
      </c>
      <c r="AM104" s="23">
        <f t="shared" si="84"/>
        <v>5356.0107166666667</v>
      </c>
      <c r="AN104" s="25">
        <f t="shared" si="85"/>
        <v>0</v>
      </c>
      <c r="AO104" s="23"/>
      <c r="AP104" s="27">
        <f t="shared" si="48"/>
        <v>5398.5666666666666</v>
      </c>
    </row>
    <row r="105" spans="1:42" x14ac:dyDescent="0.35">
      <c r="A105" s="11" t="s">
        <v>66</v>
      </c>
      <c r="B105" s="12" t="s">
        <v>151</v>
      </c>
      <c r="C105" s="15">
        <v>29909251311835</v>
      </c>
      <c r="D105" s="53" t="s">
        <v>386</v>
      </c>
      <c r="E105" s="30" t="s">
        <v>90</v>
      </c>
      <c r="F105" s="14" t="s">
        <v>274</v>
      </c>
      <c r="G105" s="16" t="s">
        <v>70</v>
      </c>
      <c r="H105" s="17">
        <v>4000</v>
      </c>
      <c r="I105" s="17">
        <v>3000</v>
      </c>
      <c r="J105" s="17">
        <v>0</v>
      </c>
      <c r="K105" s="18">
        <v>0.53400000000000003</v>
      </c>
      <c r="L105" s="17">
        <f t="shared" si="49"/>
        <v>1602</v>
      </c>
      <c r="M105" s="17">
        <f t="shared" si="74"/>
        <v>24</v>
      </c>
      <c r="N105" s="44">
        <v>0</v>
      </c>
      <c r="O105" s="19">
        <f t="shared" si="51"/>
        <v>133.33333333333334</v>
      </c>
      <c r="P105" s="19">
        <f t="shared" si="52"/>
        <v>61.615384615384613</v>
      </c>
      <c r="Q105" s="19">
        <f t="shared" si="53"/>
        <v>194.94871794871796</v>
      </c>
      <c r="R105" s="19">
        <f t="shared" si="68"/>
        <v>16.666666666666668</v>
      </c>
      <c r="S105" s="17">
        <v>0</v>
      </c>
      <c r="T105" s="17">
        <f t="shared" si="75"/>
        <v>0</v>
      </c>
      <c r="U105" s="17">
        <v>0</v>
      </c>
      <c r="V105" s="20">
        <f t="shared" si="76"/>
        <v>5602</v>
      </c>
      <c r="W105" s="21">
        <v>6</v>
      </c>
      <c r="X105" s="21">
        <f t="shared" si="56"/>
        <v>800</v>
      </c>
      <c r="Y105" s="46">
        <v>2</v>
      </c>
      <c r="Z105" s="21">
        <f t="shared" si="57"/>
        <v>266.66666666666669</v>
      </c>
      <c r="AA105" s="21">
        <v>0</v>
      </c>
      <c r="AB105" s="21">
        <f t="shared" si="70"/>
        <v>0</v>
      </c>
      <c r="AC105" s="22">
        <f t="shared" si="77"/>
        <v>1066.6666666666667</v>
      </c>
      <c r="AD105" s="23">
        <f t="shared" si="78"/>
        <v>4535.333333333333</v>
      </c>
      <c r="AE105" s="24">
        <v>0</v>
      </c>
      <c r="AF105" s="24">
        <f t="shared" si="79"/>
        <v>0</v>
      </c>
      <c r="AG105" s="25">
        <v>1666.6666666666667</v>
      </c>
      <c r="AH105" s="25">
        <f t="shared" si="80"/>
        <v>34423.999999999993</v>
      </c>
      <c r="AI105" s="25">
        <f t="shared" si="81"/>
        <v>0</v>
      </c>
      <c r="AJ105" s="24">
        <f t="shared" si="82"/>
        <v>2.2676666666666665</v>
      </c>
      <c r="AK105" s="23">
        <f t="shared" si="83"/>
        <v>4533.0656666666664</v>
      </c>
      <c r="AL105" s="24">
        <v>0</v>
      </c>
      <c r="AM105" s="23">
        <f t="shared" si="84"/>
        <v>4533.0656666666664</v>
      </c>
      <c r="AN105" s="25">
        <f t="shared" si="85"/>
        <v>0</v>
      </c>
      <c r="AO105" s="23"/>
      <c r="AP105" s="27">
        <f t="shared" si="48"/>
        <v>4535.333333333333</v>
      </c>
    </row>
    <row r="106" spans="1:42" x14ac:dyDescent="0.35">
      <c r="A106" s="11" t="s">
        <v>66</v>
      </c>
      <c r="B106" s="12" t="s">
        <v>152</v>
      </c>
      <c r="C106" s="15">
        <v>30408120103397</v>
      </c>
      <c r="D106" s="53" t="s">
        <v>366</v>
      </c>
      <c r="E106" s="30" t="s">
        <v>90</v>
      </c>
      <c r="F106" s="14" t="s">
        <v>275</v>
      </c>
      <c r="G106" s="16" t="s">
        <v>70</v>
      </c>
      <c r="H106" s="17">
        <v>4000</v>
      </c>
      <c r="I106" s="17">
        <v>3000</v>
      </c>
      <c r="J106" s="17">
        <v>0</v>
      </c>
      <c r="K106" s="18">
        <v>0.23620000000000002</v>
      </c>
      <c r="L106" s="17">
        <f t="shared" si="49"/>
        <v>708.6</v>
      </c>
      <c r="M106" s="17">
        <f t="shared" si="74"/>
        <v>25</v>
      </c>
      <c r="N106" s="44">
        <v>0</v>
      </c>
      <c r="O106" s="19">
        <f t="shared" si="51"/>
        <v>133.33333333333334</v>
      </c>
      <c r="P106" s="19">
        <f t="shared" si="52"/>
        <v>27.253846153846155</v>
      </c>
      <c r="Q106" s="19">
        <f t="shared" si="53"/>
        <v>160.5871794871795</v>
      </c>
      <c r="R106" s="19">
        <f t="shared" si="68"/>
        <v>16.666666666666668</v>
      </c>
      <c r="S106" s="17">
        <v>0</v>
      </c>
      <c r="T106" s="17">
        <f t="shared" si="75"/>
        <v>0</v>
      </c>
      <c r="U106" s="17">
        <v>0</v>
      </c>
      <c r="V106" s="20">
        <f t="shared" si="76"/>
        <v>4708.6000000000004</v>
      </c>
      <c r="W106" s="21">
        <v>5</v>
      </c>
      <c r="X106" s="21">
        <f t="shared" si="56"/>
        <v>666.66666666666674</v>
      </c>
      <c r="Y106" s="46">
        <v>2</v>
      </c>
      <c r="Z106" s="21">
        <f t="shared" si="57"/>
        <v>266.66666666666669</v>
      </c>
      <c r="AA106" s="21">
        <v>0</v>
      </c>
      <c r="AB106" s="21">
        <f t="shared" si="70"/>
        <v>0</v>
      </c>
      <c r="AC106" s="22">
        <f t="shared" si="77"/>
        <v>933.33333333333348</v>
      </c>
      <c r="AD106" s="23">
        <f t="shared" si="78"/>
        <v>3775.2666666666669</v>
      </c>
      <c r="AE106" s="24">
        <v>0</v>
      </c>
      <c r="AF106" s="24">
        <f t="shared" si="79"/>
        <v>0</v>
      </c>
      <c r="AG106" s="25">
        <v>1666.6666666666667</v>
      </c>
      <c r="AH106" s="25">
        <f t="shared" si="80"/>
        <v>25303.200000000004</v>
      </c>
      <c r="AI106" s="25">
        <f t="shared" si="81"/>
        <v>0</v>
      </c>
      <c r="AJ106" s="24">
        <f t="shared" si="82"/>
        <v>1.8876333333333335</v>
      </c>
      <c r="AK106" s="23">
        <f t="shared" si="83"/>
        <v>3773.3790333333336</v>
      </c>
      <c r="AL106" s="24">
        <v>0</v>
      </c>
      <c r="AM106" s="23">
        <f t="shared" si="84"/>
        <v>3773.3790333333336</v>
      </c>
      <c r="AN106" s="25">
        <f t="shared" si="85"/>
        <v>0</v>
      </c>
      <c r="AO106" s="23"/>
      <c r="AP106" s="27">
        <f t="shared" si="48"/>
        <v>3775.2666666666669</v>
      </c>
    </row>
    <row r="107" spans="1:42" x14ac:dyDescent="0.35">
      <c r="A107" s="11" t="s">
        <v>66</v>
      </c>
      <c r="B107" s="12" t="s">
        <v>153</v>
      </c>
      <c r="C107" s="15">
        <v>30212011325051</v>
      </c>
      <c r="D107" s="53" t="s">
        <v>393</v>
      </c>
      <c r="E107" s="30" t="s">
        <v>90</v>
      </c>
      <c r="F107" s="14" t="s">
        <v>276</v>
      </c>
      <c r="G107" s="16" t="s">
        <v>70</v>
      </c>
      <c r="H107" s="17">
        <v>4000</v>
      </c>
      <c r="I107" s="17">
        <v>3000</v>
      </c>
      <c r="J107" s="17">
        <v>0</v>
      </c>
      <c r="K107" s="18">
        <v>0.46799999999999997</v>
      </c>
      <c r="L107" s="17">
        <f t="shared" si="49"/>
        <v>1404</v>
      </c>
      <c r="M107" s="17">
        <f t="shared" si="74"/>
        <v>25</v>
      </c>
      <c r="N107" s="44">
        <v>0</v>
      </c>
      <c r="O107" s="19">
        <f t="shared" si="51"/>
        <v>133.33333333333334</v>
      </c>
      <c r="P107" s="19">
        <f t="shared" si="52"/>
        <v>54</v>
      </c>
      <c r="Q107" s="19">
        <f t="shared" si="53"/>
        <v>187.33333333333334</v>
      </c>
      <c r="R107" s="19">
        <f t="shared" si="68"/>
        <v>16.666666666666668</v>
      </c>
      <c r="S107" s="17">
        <v>0</v>
      </c>
      <c r="T107" s="17">
        <f t="shared" si="75"/>
        <v>0</v>
      </c>
      <c r="U107" s="17">
        <v>0</v>
      </c>
      <c r="V107" s="20">
        <f t="shared" si="76"/>
        <v>5404</v>
      </c>
      <c r="W107" s="21">
        <v>5</v>
      </c>
      <c r="X107" s="21">
        <f t="shared" si="56"/>
        <v>666.66666666666674</v>
      </c>
      <c r="Y107" s="46">
        <v>2</v>
      </c>
      <c r="Z107" s="21">
        <f t="shared" si="57"/>
        <v>266.66666666666669</v>
      </c>
      <c r="AA107" s="21">
        <v>0</v>
      </c>
      <c r="AB107" s="21">
        <f t="shared" si="70"/>
        <v>0</v>
      </c>
      <c r="AC107" s="22">
        <f t="shared" si="77"/>
        <v>933.33333333333348</v>
      </c>
      <c r="AD107" s="23">
        <f t="shared" si="78"/>
        <v>4470.6666666666661</v>
      </c>
      <c r="AE107" s="24">
        <v>0</v>
      </c>
      <c r="AF107" s="24">
        <f t="shared" si="79"/>
        <v>0</v>
      </c>
      <c r="AG107" s="25">
        <v>1666.6666666666667</v>
      </c>
      <c r="AH107" s="25">
        <f t="shared" si="80"/>
        <v>33647.999999999985</v>
      </c>
      <c r="AI107" s="25">
        <f t="shared" si="81"/>
        <v>0</v>
      </c>
      <c r="AJ107" s="24">
        <f t="shared" si="82"/>
        <v>2.2353333333333332</v>
      </c>
      <c r="AK107" s="23">
        <f t="shared" si="83"/>
        <v>4468.431333333333</v>
      </c>
      <c r="AL107" s="24">
        <v>0</v>
      </c>
      <c r="AM107" s="23">
        <f t="shared" si="84"/>
        <v>4468.431333333333</v>
      </c>
      <c r="AN107" s="25">
        <f t="shared" si="85"/>
        <v>0</v>
      </c>
      <c r="AO107" s="23"/>
      <c r="AP107" s="27">
        <f t="shared" si="48"/>
        <v>4470.6666666666661</v>
      </c>
    </row>
    <row r="108" spans="1:42" x14ac:dyDescent="0.35">
      <c r="A108" s="11" t="s">
        <v>66</v>
      </c>
      <c r="B108" s="12" t="s">
        <v>154</v>
      </c>
      <c r="C108" s="15">
        <v>30412052701555</v>
      </c>
      <c r="D108" s="53" t="s">
        <v>387</v>
      </c>
      <c r="E108" s="30" t="s">
        <v>90</v>
      </c>
      <c r="F108" s="14" t="s">
        <v>277</v>
      </c>
      <c r="G108" s="16" t="s">
        <v>70</v>
      </c>
      <c r="H108" s="17">
        <v>4000</v>
      </c>
      <c r="I108" s="17">
        <v>3000</v>
      </c>
      <c r="J108" s="17">
        <v>0</v>
      </c>
      <c r="K108" s="18">
        <v>0.60760000000000003</v>
      </c>
      <c r="L108" s="17">
        <f t="shared" si="49"/>
        <v>1822.8000000000002</v>
      </c>
      <c r="M108" s="17">
        <f t="shared" si="74"/>
        <v>18</v>
      </c>
      <c r="N108" s="44">
        <v>0</v>
      </c>
      <c r="O108" s="19">
        <f t="shared" si="51"/>
        <v>133.33333333333334</v>
      </c>
      <c r="P108" s="19">
        <f t="shared" si="52"/>
        <v>70.107692307692318</v>
      </c>
      <c r="Q108" s="19">
        <f t="shared" si="53"/>
        <v>203.44102564102565</v>
      </c>
      <c r="R108" s="19">
        <f t="shared" si="68"/>
        <v>16.666666666666668</v>
      </c>
      <c r="S108" s="17">
        <v>0</v>
      </c>
      <c r="T108" s="17">
        <f t="shared" si="75"/>
        <v>0</v>
      </c>
      <c r="U108" s="17">
        <v>1500</v>
      </c>
      <c r="V108" s="20">
        <f t="shared" si="76"/>
        <v>7322.8</v>
      </c>
      <c r="W108" s="21">
        <v>12</v>
      </c>
      <c r="X108" s="21">
        <f t="shared" si="56"/>
        <v>1600</v>
      </c>
      <c r="Y108" s="46">
        <v>1</v>
      </c>
      <c r="Z108" s="21">
        <f t="shared" si="57"/>
        <v>133.33333333333334</v>
      </c>
      <c r="AA108" s="21">
        <v>0</v>
      </c>
      <c r="AB108" s="21">
        <f t="shared" si="70"/>
        <v>0</v>
      </c>
      <c r="AC108" s="22">
        <f t="shared" si="77"/>
        <v>1733.3333333333333</v>
      </c>
      <c r="AD108" s="23">
        <f t="shared" si="78"/>
        <v>5589.4666666666672</v>
      </c>
      <c r="AE108" s="24">
        <v>0</v>
      </c>
      <c r="AF108" s="24">
        <f t="shared" si="79"/>
        <v>0</v>
      </c>
      <c r="AG108" s="25">
        <v>1666.6666666666667</v>
      </c>
      <c r="AH108" s="25">
        <f t="shared" si="80"/>
        <v>47073.600000000006</v>
      </c>
      <c r="AI108" s="25">
        <f t="shared" si="81"/>
        <v>58.946666666666715</v>
      </c>
      <c r="AJ108" s="24">
        <f t="shared" si="82"/>
        <v>2.7947333333333337</v>
      </c>
      <c r="AK108" s="23">
        <f t="shared" si="83"/>
        <v>5527.7252666666673</v>
      </c>
      <c r="AL108" s="24">
        <v>0</v>
      </c>
      <c r="AM108" s="23">
        <f t="shared" si="84"/>
        <v>5527.7252666666673</v>
      </c>
      <c r="AN108" s="25">
        <f t="shared" si="85"/>
        <v>0</v>
      </c>
      <c r="AO108" s="23"/>
      <c r="AP108" s="27">
        <f t="shared" si="48"/>
        <v>5589.4666666666672</v>
      </c>
    </row>
    <row r="109" spans="1:42" x14ac:dyDescent="0.35">
      <c r="A109" s="11" t="s">
        <v>66</v>
      </c>
      <c r="B109" s="12" t="s">
        <v>155</v>
      </c>
      <c r="C109" s="15">
        <v>30207121302312</v>
      </c>
      <c r="D109" s="53" t="s">
        <v>394</v>
      </c>
      <c r="E109" s="30" t="s">
        <v>90</v>
      </c>
      <c r="F109" s="14" t="s">
        <v>278</v>
      </c>
      <c r="G109" s="16" t="s">
        <v>70</v>
      </c>
      <c r="H109" s="17">
        <v>4000</v>
      </c>
      <c r="I109" s="17">
        <v>3000</v>
      </c>
      <c r="J109" s="17">
        <v>0</v>
      </c>
      <c r="K109" s="18">
        <v>6.9400000000000003E-2</v>
      </c>
      <c r="L109" s="17">
        <f t="shared" si="49"/>
        <v>208.20000000000002</v>
      </c>
      <c r="M109" s="17">
        <f t="shared" si="74"/>
        <v>8</v>
      </c>
      <c r="N109" s="44">
        <v>0</v>
      </c>
      <c r="O109" s="19">
        <f t="shared" si="51"/>
        <v>133.33333333333334</v>
      </c>
      <c r="P109" s="19">
        <f t="shared" si="52"/>
        <v>8.0076923076923077</v>
      </c>
      <c r="Q109" s="19">
        <f t="shared" si="53"/>
        <v>141.34102564102565</v>
      </c>
      <c r="R109" s="19">
        <f t="shared" si="68"/>
        <v>16.666666666666668</v>
      </c>
      <c r="S109" s="17">
        <v>0</v>
      </c>
      <c r="T109" s="17">
        <f t="shared" si="75"/>
        <v>0</v>
      </c>
      <c r="U109" s="17">
        <v>0</v>
      </c>
      <c r="V109" s="20">
        <f t="shared" si="76"/>
        <v>4208.2</v>
      </c>
      <c r="W109" s="21">
        <v>22</v>
      </c>
      <c r="X109" s="21">
        <f t="shared" si="56"/>
        <v>2933.3333333333335</v>
      </c>
      <c r="Y109" s="46">
        <v>2</v>
      </c>
      <c r="Z109" s="21">
        <f t="shared" si="57"/>
        <v>266.66666666666669</v>
      </c>
      <c r="AA109" s="21">
        <v>0</v>
      </c>
      <c r="AB109" s="21">
        <f t="shared" si="70"/>
        <v>0</v>
      </c>
      <c r="AC109" s="22">
        <f t="shared" si="77"/>
        <v>3200</v>
      </c>
      <c r="AD109" s="23">
        <f t="shared" si="78"/>
        <v>1008.1999999999998</v>
      </c>
      <c r="AE109" s="24">
        <v>0</v>
      </c>
      <c r="AF109" s="24">
        <f t="shared" si="79"/>
        <v>0</v>
      </c>
      <c r="AG109" s="25">
        <v>1666.6666666666667</v>
      </c>
      <c r="AH109" s="25">
        <f t="shared" si="80"/>
        <v>-7901.6000000000031</v>
      </c>
      <c r="AI109" s="25">
        <f t="shared" si="81"/>
        <v>0</v>
      </c>
      <c r="AJ109" s="24">
        <f t="shared" si="82"/>
        <v>0.50409999999999988</v>
      </c>
      <c r="AK109" s="23">
        <f t="shared" si="83"/>
        <v>1007.6958999999998</v>
      </c>
      <c r="AL109" s="24">
        <v>0</v>
      </c>
      <c r="AM109" s="23">
        <f t="shared" si="84"/>
        <v>1007.6958999999998</v>
      </c>
      <c r="AN109" s="25">
        <f t="shared" si="85"/>
        <v>0</v>
      </c>
      <c r="AO109" s="23"/>
      <c r="AP109" s="27">
        <f t="shared" si="48"/>
        <v>1008.1999999999998</v>
      </c>
    </row>
    <row r="110" spans="1:42" x14ac:dyDescent="0.35">
      <c r="A110" s="11" t="s">
        <v>66</v>
      </c>
      <c r="B110" s="12" t="s">
        <v>156</v>
      </c>
      <c r="C110" s="15">
        <v>30501161301659</v>
      </c>
      <c r="D110" s="53" t="s">
        <v>367</v>
      </c>
      <c r="E110" s="30" t="s">
        <v>90</v>
      </c>
      <c r="F110" s="14" t="s">
        <v>279</v>
      </c>
      <c r="G110" s="16" t="s">
        <v>70</v>
      </c>
      <c r="H110" s="17">
        <v>4000</v>
      </c>
      <c r="I110" s="17">
        <v>3000</v>
      </c>
      <c r="J110" s="17">
        <v>0</v>
      </c>
      <c r="K110" s="18">
        <v>0.57550000000000001</v>
      </c>
      <c r="L110" s="17">
        <f t="shared" si="49"/>
        <v>1726.5</v>
      </c>
      <c r="M110" s="17">
        <f t="shared" si="74"/>
        <v>21</v>
      </c>
      <c r="N110" s="44">
        <v>0</v>
      </c>
      <c r="O110" s="19">
        <f t="shared" si="51"/>
        <v>133.33333333333334</v>
      </c>
      <c r="P110" s="19">
        <f t="shared" si="52"/>
        <v>66.40384615384616</v>
      </c>
      <c r="Q110" s="19">
        <f t="shared" si="53"/>
        <v>199.7371794871795</v>
      </c>
      <c r="R110" s="19">
        <f t="shared" si="68"/>
        <v>16.666666666666668</v>
      </c>
      <c r="S110" s="17">
        <v>0</v>
      </c>
      <c r="T110" s="17">
        <f t="shared" si="75"/>
        <v>0</v>
      </c>
      <c r="U110" s="17">
        <v>0</v>
      </c>
      <c r="V110" s="20">
        <f t="shared" si="76"/>
        <v>5726.5</v>
      </c>
      <c r="W110" s="21">
        <v>9</v>
      </c>
      <c r="X110" s="21">
        <f t="shared" si="56"/>
        <v>1200</v>
      </c>
      <c r="Y110" s="46">
        <v>1</v>
      </c>
      <c r="Z110" s="21">
        <f t="shared" si="57"/>
        <v>133.33333333333334</v>
      </c>
      <c r="AA110" s="21">
        <v>0</v>
      </c>
      <c r="AB110" s="21">
        <f t="shared" si="70"/>
        <v>0</v>
      </c>
      <c r="AC110" s="22">
        <f t="shared" si="77"/>
        <v>1333.3333333333333</v>
      </c>
      <c r="AD110" s="23">
        <f t="shared" si="78"/>
        <v>4393.166666666667</v>
      </c>
      <c r="AE110" s="24">
        <v>0</v>
      </c>
      <c r="AF110" s="24">
        <f t="shared" si="79"/>
        <v>0</v>
      </c>
      <c r="AG110" s="25">
        <v>1666.6666666666667</v>
      </c>
      <c r="AH110" s="25">
        <f t="shared" si="80"/>
        <v>32718</v>
      </c>
      <c r="AI110" s="25">
        <f t="shared" si="81"/>
        <v>0</v>
      </c>
      <c r="AJ110" s="24">
        <f t="shared" si="82"/>
        <v>2.1965833333333333</v>
      </c>
      <c r="AK110" s="23">
        <f t="shared" si="83"/>
        <v>4390.9700833333336</v>
      </c>
      <c r="AL110" s="24">
        <v>0</v>
      </c>
      <c r="AM110" s="23">
        <f t="shared" si="84"/>
        <v>4390.9700833333336</v>
      </c>
      <c r="AN110" s="25">
        <f t="shared" si="85"/>
        <v>0</v>
      </c>
      <c r="AO110" s="23"/>
      <c r="AP110" s="27">
        <f t="shared" si="48"/>
        <v>4393.166666666667</v>
      </c>
    </row>
    <row r="111" spans="1:42" x14ac:dyDescent="0.35">
      <c r="A111" s="11" t="s">
        <v>66</v>
      </c>
      <c r="B111" s="12" t="s">
        <v>157</v>
      </c>
      <c r="C111" s="15">
        <v>30411031302514</v>
      </c>
      <c r="D111" s="53" t="s">
        <v>388</v>
      </c>
      <c r="E111" s="30" t="s">
        <v>90</v>
      </c>
      <c r="F111" s="14" t="s">
        <v>280</v>
      </c>
      <c r="G111" s="16" t="s">
        <v>70</v>
      </c>
      <c r="H111" s="17">
        <v>4000</v>
      </c>
      <c r="I111" s="17">
        <v>3000</v>
      </c>
      <c r="J111" s="17">
        <v>0</v>
      </c>
      <c r="K111" s="18">
        <v>0.23139999999999999</v>
      </c>
      <c r="L111" s="17">
        <f t="shared" si="49"/>
        <v>694.19999999999993</v>
      </c>
      <c r="M111" s="17">
        <f t="shared" si="74"/>
        <v>7</v>
      </c>
      <c r="N111" s="44">
        <v>0</v>
      </c>
      <c r="O111" s="19">
        <f t="shared" si="51"/>
        <v>133.33333333333334</v>
      </c>
      <c r="P111" s="19">
        <f t="shared" si="52"/>
        <v>26.699999999999996</v>
      </c>
      <c r="Q111" s="19">
        <f t="shared" si="53"/>
        <v>160.03333333333333</v>
      </c>
      <c r="R111" s="19">
        <f t="shared" si="68"/>
        <v>16.666666666666668</v>
      </c>
      <c r="S111" s="17">
        <v>0</v>
      </c>
      <c r="T111" s="17">
        <f t="shared" si="75"/>
        <v>0</v>
      </c>
      <c r="U111" s="17">
        <v>0</v>
      </c>
      <c r="V111" s="20">
        <f t="shared" si="76"/>
        <v>4694.2</v>
      </c>
      <c r="W111" s="21">
        <v>23</v>
      </c>
      <c r="X111" s="21">
        <f t="shared" si="56"/>
        <v>3066.666666666667</v>
      </c>
      <c r="Y111" s="46">
        <v>0</v>
      </c>
      <c r="Z111" s="21">
        <f t="shared" si="57"/>
        <v>0</v>
      </c>
      <c r="AA111" s="21">
        <v>0</v>
      </c>
      <c r="AB111" s="21">
        <f t="shared" si="70"/>
        <v>0</v>
      </c>
      <c r="AC111" s="22">
        <f t="shared" si="77"/>
        <v>3066.666666666667</v>
      </c>
      <c r="AD111" s="23">
        <f t="shared" si="78"/>
        <v>1627.5333333333328</v>
      </c>
      <c r="AE111" s="24">
        <v>0</v>
      </c>
      <c r="AF111" s="24">
        <f t="shared" si="79"/>
        <v>0</v>
      </c>
      <c r="AG111" s="25">
        <v>1666.6666666666667</v>
      </c>
      <c r="AH111" s="25">
        <f t="shared" si="80"/>
        <v>-469.60000000000673</v>
      </c>
      <c r="AI111" s="25">
        <f t="shared" si="81"/>
        <v>0</v>
      </c>
      <c r="AJ111" s="24">
        <f t="shared" si="82"/>
        <v>0.81376666666666642</v>
      </c>
      <c r="AK111" s="23">
        <f t="shared" si="83"/>
        <v>1626.7195666666662</v>
      </c>
      <c r="AL111" s="24">
        <v>0</v>
      </c>
      <c r="AM111" s="23">
        <f t="shared" si="84"/>
        <v>1626.7195666666662</v>
      </c>
      <c r="AN111" s="25">
        <f t="shared" si="85"/>
        <v>0</v>
      </c>
      <c r="AO111" s="23"/>
      <c r="AP111" s="27">
        <f t="shared" si="48"/>
        <v>1627.5333333333328</v>
      </c>
    </row>
    <row r="112" spans="1:42" x14ac:dyDescent="0.35">
      <c r="A112" s="11" t="s">
        <v>66</v>
      </c>
      <c r="B112" s="12" t="s">
        <v>158</v>
      </c>
      <c r="C112" s="15">
        <v>30312091302655</v>
      </c>
      <c r="D112" s="53" t="s">
        <v>394</v>
      </c>
      <c r="E112" s="30" t="s">
        <v>90</v>
      </c>
      <c r="F112" s="14" t="s">
        <v>281</v>
      </c>
      <c r="G112" s="16" t="s">
        <v>70</v>
      </c>
      <c r="H112" s="17">
        <v>4000</v>
      </c>
      <c r="I112" s="17">
        <v>3000</v>
      </c>
      <c r="J112" s="17">
        <v>0</v>
      </c>
      <c r="K112" s="18">
        <v>0.17749999999999999</v>
      </c>
      <c r="L112" s="17">
        <f t="shared" si="49"/>
        <v>532.5</v>
      </c>
      <c r="M112" s="17">
        <f t="shared" si="74"/>
        <v>16</v>
      </c>
      <c r="N112" s="44">
        <v>0</v>
      </c>
      <c r="O112" s="19">
        <f t="shared" si="51"/>
        <v>133.33333333333334</v>
      </c>
      <c r="P112" s="19">
        <f t="shared" si="52"/>
        <v>20.48076923076923</v>
      </c>
      <c r="Q112" s="19">
        <f t="shared" si="53"/>
        <v>153.81410256410257</v>
      </c>
      <c r="R112" s="19">
        <f t="shared" si="68"/>
        <v>16.666666666666668</v>
      </c>
      <c r="S112" s="17">
        <v>0</v>
      </c>
      <c r="T112" s="17">
        <f t="shared" si="75"/>
        <v>0</v>
      </c>
      <c r="U112" s="17">
        <v>0</v>
      </c>
      <c r="V112" s="20">
        <f t="shared" si="76"/>
        <v>4532.5</v>
      </c>
      <c r="W112" s="21">
        <v>14</v>
      </c>
      <c r="X112" s="21">
        <f t="shared" si="56"/>
        <v>1866.6666666666667</v>
      </c>
      <c r="Y112" s="46">
        <v>1</v>
      </c>
      <c r="Z112" s="21">
        <f t="shared" si="57"/>
        <v>133.33333333333334</v>
      </c>
      <c r="AA112" s="21">
        <v>0</v>
      </c>
      <c r="AB112" s="21">
        <f t="shared" si="70"/>
        <v>0</v>
      </c>
      <c r="AC112" s="22">
        <f t="shared" si="77"/>
        <v>2000</v>
      </c>
      <c r="AD112" s="23">
        <f t="shared" si="78"/>
        <v>2532.5</v>
      </c>
      <c r="AE112" s="24">
        <v>0</v>
      </c>
      <c r="AF112" s="24">
        <f t="shared" si="79"/>
        <v>0</v>
      </c>
      <c r="AG112" s="25">
        <v>1666.6666666666667</v>
      </c>
      <c r="AH112" s="25">
        <f t="shared" si="80"/>
        <v>10390</v>
      </c>
      <c r="AI112" s="25">
        <f t="shared" si="81"/>
        <v>0</v>
      </c>
      <c r="AJ112" s="24">
        <f t="shared" si="82"/>
        <v>1.2662500000000001</v>
      </c>
      <c r="AK112" s="23">
        <f t="shared" si="83"/>
        <v>2531.2337499999999</v>
      </c>
      <c r="AL112" s="24">
        <v>0</v>
      </c>
      <c r="AM112" s="23">
        <f t="shared" si="84"/>
        <v>2531.2337499999999</v>
      </c>
      <c r="AN112" s="25">
        <f t="shared" si="85"/>
        <v>0</v>
      </c>
      <c r="AO112" s="23"/>
      <c r="AP112" s="27">
        <f t="shared" si="48"/>
        <v>2532.5</v>
      </c>
    </row>
    <row r="113" spans="1:42" x14ac:dyDescent="0.35">
      <c r="A113" s="11" t="s">
        <v>66</v>
      </c>
      <c r="B113" s="12" t="s">
        <v>159</v>
      </c>
      <c r="C113" s="15">
        <v>30608081303897</v>
      </c>
      <c r="D113" s="53" t="s">
        <v>383</v>
      </c>
      <c r="E113" s="30" t="s">
        <v>90</v>
      </c>
      <c r="F113" s="14" t="s">
        <v>282</v>
      </c>
      <c r="G113" s="16" t="s">
        <v>70</v>
      </c>
      <c r="H113" s="17">
        <v>4000</v>
      </c>
      <c r="I113" s="17">
        <v>3000</v>
      </c>
      <c r="J113" s="17">
        <v>0</v>
      </c>
      <c r="K113" s="18">
        <v>0.2616</v>
      </c>
      <c r="L113" s="17">
        <f t="shared" si="49"/>
        <v>784.8</v>
      </c>
      <c r="M113" s="17">
        <f t="shared" si="74"/>
        <v>24</v>
      </c>
      <c r="N113" s="44">
        <v>0</v>
      </c>
      <c r="O113" s="19">
        <f t="shared" si="51"/>
        <v>133.33333333333334</v>
      </c>
      <c r="P113" s="19">
        <f t="shared" si="52"/>
        <v>30.184615384615384</v>
      </c>
      <c r="Q113" s="19">
        <f t="shared" si="53"/>
        <v>163.51794871794874</v>
      </c>
      <c r="R113" s="19">
        <f t="shared" si="68"/>
        <v>16.666666666666668</v>
      </c>
      <c r="S113" s="17">
        <v>0</v>
      </c>
      <c r="T113" s="17">
        <f t="shared" si="75"/>
        <v>0</v>
      </c>
      <c r="U113" s="17">
        <v>0</v>
      </c>
      <c r="V113" s="20">
        <f t="shared" si="76"/>
        <v>4784.8</v>
      </c>
      <c r="W113" s="21">
        <v>6</v>
      </c>
      <c r="X113" s="21">
        <f t="shared" si="56"/>
        <v>800</v>
      </c>
      <c r="Y113" s="46">
        <v>2</v>
      </c>
      <c r="Z113" s="21">
        <f t="shared" si="57"/>
        <v>266.66666666666669</v>
      </c>
      <c r="AA113" s="21">
        <v>0</v>
      </c>
      <c r="AB113" s="21">
        <f t="shared" si="70"/>
        <v>0</v>
      </c>
      <c r="AC113" s="22">
        <f t="shared" si="77"/>
        <v>1066.6666666666667</v>
      </c>
      <c r="AD113" s="23">
        <f t="shared" si="78"/>
        <v>3718.1333333333332</v>
      </c>
      <c r="AE113" s="24">
        <v>0</v>
      </c>
      <c r="AF113" s="24">
        <f t="shared" si="79"/>
        <v>0</v>
      </c>
      <c r="AG113" s="25">
        <v>1666.6666666666667</v>
      </c>
      <c r="AH113" s="25">
        <f t="shared" si="80"/>
        <v>24617.599999999995</v>
      </c>
      <c r="AI113" s="25">
        <f t="shared" si="81"/>
        <v>0</v>
      </c>
      <c r="AJ113" s="24">
        <f t="shared" si="82"/>
        <v>1.8590666666666666</v>
      </c>
      <c r="AK113" s="23">
        <f t="shared" si="83"/>
        <v>3716.2742666666663</v>
      </c>
      <c r="AL113" s="24">
        <v>0</v>
      </c>
      <c r="AM113" s="23">
        <f t="shared" si="84"/>
        <v>3716.2742666666663</v>
      </c>
      <c r="AN113" s="25">
        <f t="shared" si="85"/>
        <v>0</v>
      </c>
      <c r="AO113" s="23"/>
      <c r="AP113" s="27">
        <f t="shared" si="48"/>
        <v>3718.1333333333332</v>
      </c>
    </row>
    <row r="114" spans="1:42" customFormat="1" x14ac:dyDescent="0.35">
      <c r="A114" s="11" t="s">
        <v>66</v>
      </c>
      <c r="B114" s="12" t="s">
        <v>160</v>
      </c>
      <c r="C114" s="31">
        <v>30408051301416</v>
      </c>
      <c r="D114" s="43" t="s">
        <v>379</v>
      </c>
      <c r="E114" s="11" t="s">
        <v>90</v>
      </c>
      <c r="F114" s="29" t="s">
        <v>283</v>
      </c>
      <c r="G114" s="16" t="s">
        <v>70</v>
      </c>
      <c r="H114" s="17">
        <v>4000</v>
      </c>
      <c r="I114" s="17">
        <v>3000</v>
      </c>
      <c r="J114" s="17">
        <v>0</v>
      </c>
      <c r="K114" s="18">
        <v>0.48730000000000007</v>
      </c>
      <c r="L114" s="17">
        <f>+I114*K114</f>
        <v>1461.9</v>
      </c>
      <c r="M114" s="17">
        <f t="shared" ref="M114:M115" si="86">30-W114</f>
        <v>25</v>
      </c>
      <c r="N114" s="44">
        <v>0</v>
      </c>
      <c r="O114" s="19">
        <f t="shared" ref="O114:O115" si="87">H114/30</f>
        <v>133.33333333333334</v>
      </c>
      <c r="P114" s="19">
        <f t="shared" si="52"/>
        <v>56.226923076923079</v>
      </c>
      <c r="Q114" s="19">
        <f t="shared" si="53"/>
        <v>189.56025641025641</v>
      </c>
      <c r="R114" s="19">
        <f t="shared" ref="R114:R115" si="88">+O114/8</f>
        <v>16.666666666666668</v>
      </c>
      <c r="S114" s="17">
        <v>0</v>
      </c>
      <c r="T114" s="17">
        <f t="shared" ref="T114:T115" si="89">+R114*S114</f>
        <v>0</v>
      </c>
      <c r="U114" s="17">
        <v>0</v>
      </c>
      <c r="V114" s="20">
        <f t="shared" ref="V114:V115" si="90">H114+L114+T114+U114+J114</f>
        <v>5461.9</v>
      </c>
      <c r="W114" s="21">
        <v>5</v>
      </c>
      <c r="X114" s="21">
        <f t="shared" si="56"/>
        <v>666.66666666666674</v>
      </c>
      <c r="Y114" s="46">
        <v>1</v>
      </c>
      <c r="Z114" s="21">
        <f t="shared" si="57"/>
        <v>133.33333333333334</v>
      </c>
      <c r="AA114" s="21">
        <v>0</v>
      </c>
      <c r="AB114" s="21">
        <f t="shared" ref="AB114" si="91">O114*AA114</f>
        <v>0</v>
      </c>
      <c r="AC114" s="22">
        <f t="shared" ref="AC114:AC115" si="92">X114+Z114+AB114</f>
        <v>800.00000000000011</v>
      </c>
      <c r="AD114" s="23">
        <f t="shared" ref="AD114:AD115" si="93">V114-AC114</f>
        <v>4661.8999999999996</v>
      </c>
      <c r="AE114" s="24">
        <v>0</v>
      </c>
      <c r="AF114" s="24">
        <f t="shared" ref="AF114:AF115" si="94">+AE114*0.11</f>
        <v>0</v>
      </c>
      <c r="AG114" s="25">
        <v>1666.6666666666699</v>
      </c>
      <c r="AH114" s="25">
        <f t="shared" ref="AH114:AH115" si="95">(AD114-AF114-AG114)*12</f>
        <v>35942.799999999959</v>
      </c>
      <c r="AI114" s="25">
        <f t="shared" ref="AI114:AI115" si="96">IF(AND(AH114&gt;40000,AH114&lt;=55000),(AH114-40000)*10%,
IF(AND(AH114&gt;55000,AH114&lt;=70000),(AH114-55000)*15%+15000*10%,
IF(AND(AH114&gt;70000,AH114&lt;=200000),(AH114-70000)*20%+15000*10%+15000*15%,
IF(AND(AH114&gt;200000,AH114&lt;=400000),(AH114-200000)*22.5%+15000*10%+15000*15%+130000*20%,
IF(AND(AH114&gt;400000,AH114&lt;=600000),(AH114-400000)*25%+15000*10%+15000*15%+130000*20%+200000*22.5%,
IF(AND(AH114&gt;600000,AH114&lt;=700000),(AH114-400000)*25%+55000*10%+15000*15%+130000*20%+200000*22.5%,
IF(AND(AH114&gt;700000,AH114&lt;=800000),(AH114-400000)*25%+70000*15%+130000*20%+200000*22.5%,
IF(AND(AH114&gt;800000,AH114&lt;=900000),(AH114-400000)*25%+200000*20%+200000*22.5%,
IF(AND(AH114&gt;900000,AH114&lt;=1200000),(AH114-400000)*25%+400000*22.5%,
IF(AH114&gt;1200000,(AH114-1200000)*27.5%+1200000*25%))))))))))/12</f>
        <v>0</v>
      </c>
      <c r="AJ114" s="24">
        <f t="shared" ref="AJ114:AJ115" si="97">+AD114*0.0005</f>
        <v>2.3309500000000001</v>
      </c>
      <c r="AK114" s="23">
        <f t="shared" ref="AK114:AK115" si="98">+AD114-AF114-AI114-AJ114</f>
        <v>4659.5690500000001</v>
      </c>
      <c r="AL114" s="24">
        <v>0</v>
      </c>
      <c r="AM114" s="23">
        <f t="shared" ref="AM114:AM115" si="99">+AK114-AL114</f>
        <v>4659.5690500000001</v>
      </c>
      <c r="AN114" s="25">
        <f t="shared" ref="AN114:AN115" si="100">+AE114*0.1875</f>
        <v>0</v>
      </c>
      <c r="AO114" s="23"/>
      <c r="AP114" s="27">
        <f t="shared" si="48"/>
        <v>4661.8999999999996</v>
      </c>
    </row>
    <row r="115" spans="1:42" x14ac:dyDescent="0.35">
      <c r="A115" s="11" t="s">
        <v>66</v>
      </c>
      <c r="B115" s="12" t="s">
        <v>161</v>
      </c>
      <c r="C115" s="31">
        <v>30207081302853</v>
      </c>
      <c r="D115" s="43" t="s">
        <v>378</v>
      </c>
      <c r="E115" s="31" t="s">
        <v>90</v>
      </c>
      <c r="F115" s="14" t="s">
        <v>284</v>
      </c>
      <c r="G115" s="16" t="s">
        <v>70</v>
      </c>
      <c r="H115" s="17">
        <v>4000</v>
      </c>
      <c r="I115" s="17">
        <v>3000</v>
      </c>
      <c r="J115" s="17">
        <v>0</v>
      </c>
      <c r="K115" s="18">
        <v>0.32240000000000002</v>
      </c>
      <c r="L115" s="17">
        <f t="shared" si="49"/>
        <v>967.2</v>
      </c>
      <c r="M115" s="17">
        <f t="shared" si="86"/>
        <v>25</v>
      </c>
      <c r="N115" s="44">
        <v>0</v>
      </c>
      <c r="O115" s="19">
        <f t="shared" si="87"/>
        <v>133.33333333333334</v>
      </c>
      <c r="P115" s="19">
        <f t="shared" si="52"/>
        <v>37.200000000000003</v>
      </c>
      <c r="Q115" s="19">
        <f t="shared" si="53"/>
        <v>170.53333333333336</v>
      </c>
      <c r="R115" s="19">
        <f t="shared" si="88"/>
        <v>16.666666666666668</v>
      </c>
      <c r="S115" s="17">
        <v>0</v>
      </c>
      <c r="T115" s="17">
        <f t="shared" si="89"/>
        <v>0</v>
      </c>
      <c r="U115" s="17">
        <v>0</v>
      </c>
      <c r="V115" s="20">
        <f t="shared" si="90"/>
        <v>4967.2</v>
      </c>
      <c r="W115" s="21">
        <v>5</v>
      </c>
      <c r="X115" s="21">
        <f t="shared" si="56"/>
        <v>666.66666666666674</v>
      </c>
      <c r="Y115" s="46">
        <v>2</v>
      </c>
      <c r="Z115" s="21">
        <f t="shared" si="57"/>
        <v>266.66666666666669</v>
      </c>
      <c r="AA115" s="21">
        <v>0</v>
      </c>
      <c r="AB115" s="21">
        <f>O115*AA115</f>
        <v>0</v>
      </c>
      <c r="AC115" s="22">
        <f t="shared" si="92"/>
        <v>933.33333333333348</v>
      </c>
      <c r="AD115" s="23">
        <f t="shared" si="93"/>
        <v>4033.8666666666663</v>
      </c>
      <c r="AE115" s="24">
        <v>0</v>
      </c>
      <c r="AF115" s="24">
        <f t="shared" si="94"/>
        <v>0</v>
      </c>
      <c r="AG115" s="25">
        <v>1666.6666666666667</v>
      </c>
      <c r="AH115" s="25">
        <f t="shared" si="95"/>
        <v>28406.399999999998</v>
      </c>
      <c r="AI115" s="25">
        <f t="shared" si="96"/>
        <v>0</v>
      </c>
      <c r="AJ115" s="24">
        <f t="shared" si="97"/>
        <v>2.0169333333333332</v>
      </c>
      <c r="AK115" s="23">
        <f t="shared" si="98"/>
        <v>4031.849733333333</v>
      </c>
      <c r="AL115" s="24">
        <v>0</v>
      </c>
      <c r="AM115" s="23">
        <f t="shared" si="99"/>
        <v>4031.849733333333</v>
      </c>
      <c r="AN115" s="25">
        <f t="shared" si="100"/>
        <v>0</v>
      </c>
      <c r="AO115" s="23"/>
      <c r="AP115" s="27">
        <f t="shared" si="48"/>
        <v>4033.8666666666663</v>
      </c>
    </row>
    <row r="116" spans="1:42" x14ac:dyDescent="0.35">
      <c r="A116" s="11" t="s">
        <v>66</v>
      </c>
      <c r="B116" s="12" t="s">
        <v>178</v>
      </c>
      <c r="C116" s="15">
        <v>29801310101151</v>
      </c>
      <c r="D116" s="15" t="s">
        <v>368</v>
      </c>
      <c r="E116" s="31" t="s">
        <v>90</v>
      </c>
      <c r="F116" s="14" t="s">
        <v>285</v>
      </c>
      <c r="G116" s="16" t="s">
        <v>70</v>
      </c>
      <c r="H116" s="17">
        <v>4000</v>
      </c>
      <c r="I116" s="17">
        <v>3000</v>
      </c>
      <c r="J116" s="17">
        <v>0</v>
      </c>
      <c r="K116" s="18">
        <v>0.1822</v>
      </c>
      <c r="L116" s="17">
        <f t="shared" si="49"/>
        <v>546.6</v>
      </c>
      <c r="M116" s="17">
        <f>30-W116</f>
        <v>28</v>
      </c>
      <c r="N116" s="44">
        <v>0</v>
      </c>
      <c r="O116" s="19">
        <f>H116/30</f>
        <v>133.33333333333334</v>
      </c>
      <c r="P116" s="19">
        <f t="shared" si="52"/>
        <v>21.023076923076925</v>
      </c>
      <c r="Q116" s="19">
        <f t="shared" si="53"/>
        <v>154.35641025641027</v>
      </c>
      <c r="R116" s="19">
        <f>+O116/8</f>
        <v>16.666666666666668</v>
      </c>
      <c r="S116" s="17">
        <v>0</v>
      </c>
      <c r="T116" s="17">
        <f>+R116*S116</f>
        <v>0</v>
      </c>
      <c r="U116" s="17">
        <v>0</v>
      </c>
      <c r="V116" s="20">
        <f>H116+L116+T116+U116+J116</f>
        <v>4546.6000000000004</v>
      </c>
      <c r="W116" s="21">
        <v>2</v>
      </c>
      <c r="X116" s="21">
        <f t="shared" si="56"/>
        <v>266.66666666666669</v>
      </c>
      <c r="Y116" s="46">
        <v>3</v>
      </c>
      <c r="Z116" s="21">
        <f t="shared" si="57"/>
        <v>400</v>
      </c>
      <c r="AA116" s="21">
        <v>0</v>
      </c>
      <c r="AB116" s="21">
        <f>O116*AA116</f>
        <v>0</v>
      </c>
      <c r="AC116" s="22">
        <f>X116+Z116+AB116</f>
        <v>666.66666666666674</v>
      </c>
      <c r="AD116" s="23">
        <f>V116-AC116</f>
        <v>3879.9333333333334</v>
      </c>
      <c r="AE116" s="24">
        <v>0</v>
      </c>
      <c r="AF116" s="24">
        <f>+AE116*0.11</f>
        <v>0</v>
      </c>
      <c r="AG116" s="25">
        <v>1666.6666666666667</v>
      </c>
      <c r="AH116" s="25">
        <f>(AD116-AF116-AG116)*12</f>
        <v>26559.199999999997</v>
      </c>
      <c r="AI116" s="25">
        <f>IF(AND(AH116&gt;40000,AH116&lt;=55000),(AH116-40000)*10%,
IF(AND(AH116&gt;55000,AH116&lt;=70000),(AH116-55000)*15%+15000*10%,
IF(AND(AH116&gt;70000,AH116&lt;=200000),(AH116-70000)*20%+15000*10%+15000*15%,
IF(AND(AH116&gt;200000,AH116&lt;=400000),(AH116-200000)*22.5%+15000*10%+15000*15%+130000*20%,
IF(AND(AH116&gt;400000,AH116&lt;=600000),(AH116-400000)*25%+15000*10%+15000*15%+130000*20%+200000*22.5%,
IF(AND(AH116&gt;600000,AH116&lt;=700000),(AH116-400000)*25%+55000*10%+15000*15%+130000*20%+200000*22.5%,
IF(AND(AH116&gt;700000,AH116&lt;=800000),(AH116-400000)*25%+70000*15%+130000*20%+200000*22.5%,
IF(AND(AH116&gt;800000,AH116&lt;=900000),(AH116-400000)*25%+200000*20%+200000*22.5%,
IF(AND(AH116&gt;900000,AH116&lt;=1200000),(AH116-400000)*25%+400000*22.5%,
IF(AH116&gt;1200000,(AH116-1200000)*27.5%+1200000*25%))))))))))/12</f>
        <v>0</v>
      </c>
      <c r="AJ116" s="24">
        <f>+AD116*0.0005</f>
        <v>1.9399666666666668</v>
      </c>
      <c r="AK116" s="23">
        <f>+AD116-AF116-AI116-AJ116</f>
        <v>3877.9933666666666</v>
      </c>
      <c r="AL116" s="24">
        <v>0</v>
      </c>
      <c r="AM116" s="23">
        <f>+AK116-AL116</f>
        <v>3877.9933666666666</v>
      </c>
      <c r="AN116" s="25">
        <f>+AE116*0.1875</f>
        <v>0</v>
      </c>
      <c r="AO116" s="23"/>
      <c r="AP116" s="27">
        <f t="shared" si="48"/>
        <v>3879.9333333333334</v>
      </c>
    </row>
    <row r="117" spans="1:42" ht="18.5" x14ac:dyDescent="0.35">
      <c r="A117" s="62" t="s">
        <v>60</v>
      </c>
      <c r="B117" s="63"/>
      <c r="C117" s="63"/>
      <c r="D117" s="63"/>
      <c r="E117" s="63"/>
      <c r="F117" s="63"/>
      <c r="G117" s="32"/>
      <c r="H117" s="33">
        <f>SUM(H86:H116)</f>
        <v>124000</v>
      </c>
      <c r="I117" s="33">
        <f t="shared" ref="I117:AP117" si="101">SUM(I86:I116)</f>
        <v>93000</v>
      </c>
      <c r="J117" s="33">
        <f t="shared" si="101"/>
        <v>0</v>
      </c>
      <c r="K117" s="33">
        <v>0</v>
      </c>
      <c r="L117" s="33">
        <f t="shared" si="101"/>
        <v>36823.800000000003</v>
      </c>
      <c r="M117" s="33">
        <f t="shared" si="101"/>
        <v>580</v>
      </c>
      <c r="N117" s="33">
        <f t="shared" si="101"/>
        <v>0</v>
      </c>
      <c r="O117" s="33">
        <f t="shared" si="101"/>
        <v>4133.3333333333348</v>
      </c>
      <c r="P117" s="33">
        <f t="shared" si="101"/>
        <v>1416.3000000000002</v>
      </c>
      <c r="Q117" s="33">
        <f t="shared" si="101"/>
        <v>5549.633333333335</v>
      </c>
      <c r="R117" s="33">
        <f t="shared" si="101"/>
        <v>516.66666666666686</v>
      </c>
      <c r="S117" s="33">
        <f t="shared" si="101"/>
        <v>0</v>
      </c>
      <c r="T117" s="33">
        <f t="shared" si="101"/>
        <v>0</v>
      </c>
      <c r="U117" s="33">
        <f t="shared" si="101"/>
        <v>1500</v>
      </c>
      <c r="V117" s="33">
        <f t="shared" si="101"/>
        <v>162323.79999999999</v>
      </c>
      <c r="W117" s="33">
        <f t="shared" si="101"/>
        <v>350</v>
      </c>
      <c r="X117" s="33">
        <f t="shared" si="101"/>
        <v>46666.666666666657</v>
      </c>
      <c r="Y117" s="33">
        <f t="shared" si="101"/>
        <v>33</v>
      </c>
      <c r="Z117" s="33">
        <f t="shared" si="101"/>
        <v>4400</v>
      </c>
      <c r="AA117" s="33">
        <f t="shared" si="101"/>
        <v>0</v>
      </c>
      <c r="AB117" s="33">
        <f t="shared" si="101"/>
        <v>0</v>
      </c>
      <c r="AC117" s="33">
        <f t="shared" si="101"/>
        <v>51066.666666666672</v>
      </c>
      <c r="AD117" s="33">
        <f t="shared" si="101"/>
        <v>111257.13333333332</v>
      </c>
      <c r="AE117" s="33">
        <f t="shared" si="101"/>
        <v>0</v>
      </c>
      <c r="AF117" s="33">
        <f t="shared" si="101"/>
        <v>0</v>
      </c>
      <c r="AG117" s="33">
        <f t="shared" si="101"/>
        <v>51676.666666666672</v>
      </c>
      <c r="AH117" s="33">
        <f t="shared" si="101"/>
        <v>714965.59999999974</v>
      </c>
      <c r="AI117" s="33">
        <f t="shared" si="101"/>
        <v>228.55999999999966</v>
      </c>
      <c r="AJ117" s="33">
        <f t="shared" si="101"/>
        <v>55.628566666666657</v>
      </c>
      <c r="AK117" s="33">
        <f t="shared" si="101"/>
        <v>110972.94476666665</v>
      </c>
      <c r="AL117" s="33">
        <f t="shared" si="101"/>
        <v>0</v>
      </c>
      <c r="AM117" s="33">
        <f t="shared" si="101"/>
        <v>110972.94476666665</v>
      </c>
      <c r="AN117" s="33">
        <f t="shared" si="101"/>
        <v>0</v>
      </c>
      <c r="AO117" s="33">
        <f t="shared" si="101"/>
        <v>0</v>
      </c>
      <c r="AP117" s="33">
        <f t="shared" si="101"/>
        <v>111257.13333333332</v>
      </c>
    </row>
    <row r="118" spans="1:42" customFormat="1" ht="14.5" x14ac:dyDescent="0.35"/>
    <row r="119" spans="1:42" x14ac:dyDescent="0.35">
      <c r="AI119" s="34"/>
      <c r="AO119" s="40"/>
    </row>
    <row r="120" spans="1:42" ht="16" thickBot="1" x14ac:dyDescent="0.4">
      <c r="AI120" s="34"/>
      <c r="AO120" s="40"/>
    </row>
    <row r="121" spans="1:42" ht="19" thickBot="1" x14ac:dyDescent="0.4">
      <c r="A121" s="58" t="s">
        <v>61</v>
      </c>
      <c r="B121" s="59"/>
      <c r="C121" s="59"/>
      <c r="D121" s="60"/>
      <c r="E121" s="52">
        <f>AM80+AM117</f>
        <v>537359.07774487184</v>
      </c>
      <c r="F121"/>
      <c r="AI121" s="34"/>
      <c r="AO121" s="40"/>
    </row>
    <row r="122" spans="1:42" ht="19" thickBot="1" x14ac:dyDescent="0.4">
      <c r="A122" s="58" t="s">
        <v>62</v>
      </c>
      <c r="B122" s="59"/>
      <c r="C122" s="59"/>
      <c r="D122" s="60"/>
      <c r="E122" s="52">
        <f>AP80+AP117</f>
        <v>664100.02307692298</v>
      </c>
      <c r="F122"/>
      <c r="AI122" s="34"/>
      <c r="AO122" s="40"/>
    </row>
    <row r="123" spans="1:42" x14ac:dyDescent="0.35">
      <c r="E123"/>
      <c r="F123"/>
      <c r="AI123" s="34"/>
      <c r="AO123" s="40"/>
    </row>
    <row r="124" spans="1:42" x14ac:dyDescent="0.35">
      <c r="E124"/>
      <c r="F124"/>
      <c r="AI124" s="34"/>
      <c r="AO124" s="40"/>
    </row>
    <row r="125" spans="1:42" x14ac:dyDescent="0.35">
      <c r="E125"/>
      <c r="F125"/>
      <c r="AI125" s="34"/>
      <c r="AO125" s="40"/>
    </row>
    <row r="126" spans="1:42" x14ac:dyDescent="0.35">
      <c r="E126"/>
      <c r="F126"/>
      <c r="AI126" s="34"/>
      <c r="AO126" s="40"/>
    </row>
    <row r="127" spans="1:42" x14ac:dyDescent="0.35">
      <c r="E127"/>
      <c r="F127"/>
      <c r="AI127" s="34"/>
      <c r="AO127" s="40"/>
    </row>
    <row r="128" spans="1:42" x14ac:dyDescent="0.35">
      <c r="E128"/>
      <c r="F128"/>
      <c r="AI128" s="34"/>
      <c r="AO128" s="40"/>
    </row>
    <row r="129" spans="5:41" x14ac:dyDescent="0.35">
      <c r="E129"/>
      <c r="F129"/>
      <c r="AI129" s="34"/>
      <c r="AO129" s="40"/>
    </row>
    <row r="130" spans="5:41" x14ac:dyDescent="0.35">
      <c r="E130"/>
      <c r="F130"/>
      <c r="AI130" s="34"/>
      <c r="AO130" s="40"/>
    </row>
    <row r="131" spans="5:41" x14ac:dyDescent="0.35">
      <c r="E131"/>
      <c r="F131"/>
      <c r="AI131" s="34"/>
      <c r="AO131" s="40"/>
    </row>
    <row r="132" spans="5:41" x14ac:dyDescent="0.35">
      <c r="E132"/>
      <c r="F132"/>
      <c r="G132"/>
    </row>
    <row r="133" spans="5:41" x14ac:dyDescent="0.35">
      <c r="E133"/>
      <c r="F133"/>
      <c r="G133"/>
    </row>
    <row r="134" spans="5:41" x14ac:dyDescent="0.35">
      <c r="E134"/>
      <c r="F134"/>
      <c r="G134"/>
    </row>
    <row r="135" spans="5:41" x14ac:dyDescent="0.35">
      <c r="E135"/>
      <c r="F135"/>
      <c r="G135"/>
    </row>
    <row r="136" spans="5:41" x14ac:dyDescent="0.35">
      <c r="E136"/>
      <c r="F136"/>
      <c r="G136"/>
    </row>
    <row r="137" spans="5:41" x14ac:dyDescent="0.35">
      <c r="E137"/>
      <c r="F137"/>
      <c r="G137"/>
    </row>
    <row r="138" spans="5:41" x14ac:dyDescent="0.35">
      <c r="E138" s="54">
        <v>1099695422</v>
      </c>
      <c r="F138"/>
      <c r="G138"/>
    </row>
    <row r="139" spans="5:41" x14ac:dyDescent="0.35">
      <c r="E139">
        <v>1099695422</v>
      </c>
      <c r="F139"/>
      <c r="G139"/>
    </row>
    <row r="140" spans="5:41" x14ac:dyDescent="0.35">
      <c r="E140"/>
      <c r="F140"/>
      <c r="G140"/>
    </row>
    <row r="141" spans="5:41" x14ac:dyDescent="0.35">
      <c r="E141"/>
      <c r="F141"/>
      <c r="G141"/>
    </row>
    <row r="142" spans="5:41" x14ac:dyDescent="0.35">
      <c r="E142"/>
      <c r="F142"/>
      <c r="G142"/>
    </row>
    <row r="143" spans="5:41" x14ac:dyDescent="0.35">
      <c r="E143"/>
      <c r="F143"/>
      <c r="G143"/>
    </row>
    <row r="144" spans="5:41" x14ac:dyDescent="0.35">
      <c r="E144"/>
      <c r="F144"/>
    </row>
    <row r="145" spans="5:6" x14ac:dyDescent="0.35">
      <c r="E145"/>
      <c r="F145"/>
    </row>
    <row r="146" spans="5:6" x14ac:dyDescent="0.35">
      <c r="E146"/>
      <c r="F146"/>
    </row>
    <row r="147" spans="5:6" x14ac:dyDescent="0.35">
      <c r="E147"/>
      <c r="F147"/>
    </row>
    <row r="148" spans="5:6" x14ac:dyDescent="0.35">
      <c r="E148"/>
      <c r="F148"/>
    </row>
  </sheetData>
  <protectedRanges>
    <protectedRange sqref="F2:F3 A2:A79" name="Range3_1_2_2"/>
    <protectedRange sqref="F2:F3 A2:A79" name="Range2_1_2_2"/>
    <protectedRange sqref="D125:D131 F4:F66" name="Range1_1_2_8"/>
    <protectedRange sqref="D89 C2:E66" name="Range1_2_2_1"/>
    <protectedRange sqref="D67:D78 C79" name="Range3_1_2_2_1"/>
    <protectedRange sqref="D67:D78 C79" name="Range2_1_2_2_1"/>
    <protectedRange sqref="F67:F78" name="Range1_1_2_8_1"/>
    <protectedRange sqref="C67:C78 F79" name="Range1_2_2_1_1"/>
    <protectedRange sqref="E67:E79 D79" name="Range3_1_2_3_1_1"/>
    <protectedRange sqref="E67:E79 D79" name="Range2_1_2_3_1_1"/>
    <protectedRange sqref="F86:F92 F94:F113 A86:A116" name="Range3_1_2_2_2"/>
    <protectedRange sqref="F86:F92 F94:F113 A86:A116" name="Range2_1_2_2_2"/>
    <protectedRange sqref="C88:E88 C89 C92:E92 C90:D91 C86:D87 C94:C113 E94:E113 D94:D110 D112:D113" name="Range1_2_2_1_2"/>
    <protectedRange sqref="F93" name="Range1_1_2_8_2"/>
    <protectedRange sqref="C93:E93 E89:E90 E87" name="Range1_2_2_1_3"/>
    <protectedRange sqref="D114" name="Range3_1_2_2_3"/>
    <protectedRange sqref="D114" name="Range2_1_2_2_3"/>
    <protectedRange sqref="F114" name="Range1_1_2_8_3"/>
    <protectedRange sqref="C114" name="Range1_2_2_1_4"/>
    <protectedRange sqref="E114" name="Range3_1_2_3_1"/>
    <protectedRange sqref="E114" name="Range2_1_2_3_1"/>
    <protectedRange sqref="F115" name="Range3_1_2_2_4"/>
    <protectedRange sqref="F115" name="Range2_1_2_2_4"/>
    <protectedRange sqref="E86 E91" name="Range1_2_2_1_5"/>
    <protectedRange sqref="F116" name="Range3_1_2_2_5"/>
    <protectedRange sqref="F116" name="Range2_1_2_2_5"/>
    <protectedRange sqref="C116:E116" name="Range1_2_2_1_6"/>
    <protectedRange sqref="D115" name="Range3_1_2_2_1_1"/>
    <protectedRange sqref="D115" name="Range2_1_2_2_1_1"/>
    <protectedRange sqref="C115" name="Range1_2_2_1_1_1"/>
    <protectedRange sqref="E115" name="Range3_1_2_3_1_1_1"/>
    <protectedRange sqref="E115" name="Range2_1_2_3_1_1_1"/>
    <protectedRange sqref="D111" name="Range3_1_2"/>
    <protectedRange sqref="D111" name="Range2_1_2"/>
    <protectedRange sqref="E118" name="Range1_2_2"/>
  </protectedRanges>
  <autoFilter ref="A1:AP80" xr:uid="{76D14014-F604-4783-BB05-48688D437B44}"/>
  <mergeCells count="5">
    <mergeCell ref="A122:D122"/>
    <mergeCell ref="A80:F80"/>
    <mergeCell ref="A84:F84"/>
    <mergeCell ref="A117:F117"/>
    <mergeCell ref="A121:D121"/>
  </mergeCells>
  <phoneticPr fontId="11" type="noConversion"/>
  <conditionalFormatting sqref="C2:C79">
    <cfRule type="duplicateValues" dxfId="124" priority="136"/>
    <cfRule type="duplicateValues" dxfId="123" priority="137"/>
  </conditionalFormatting>
  <conditionalFormatting sqref="C67:C79">
    <cfRule type="duplicateValues" dxfId="122" priority="110"/>
  </conditionalFormatting>
  <conditionalFormatting sqref="C86:C92 C94:C113">
    <cfRule type="duplicateValues" dxfId="121" priority="106"/>
  </conditionalFormatting>
  <conditionalFormatting sqref="C86:C92">
    <cfRule type="duplicateValues" dxfId="120" priority="83"/>
  </conditionalFormatting>
  <conditionalFormatting sqref="C93">
    <cfRule type="duplicateValues" dxfId="119" priority="76"/>
    <cfRule type="duplicateValues" dxfId="118" priority="77"/>
  </conditionalFormatting>
  <conditionalFormatting sqref="C114">
    <cfRule type="duplicateValues" dxfId="117" priority="61"/>
    <cfRule type="duplicateValues" dxfId="116" priority="62"/>
  </conditionalFormatting>
  <conditionalFormatting sqref="C115">
    <cfRule type="duplicateValues" dxfId="115" priority="9"/>
    <cfRule type="duplicateValues" dxfId="114" priority="10"/>
    <cfRule type="duplicateValues" dxfId="113" priority="11"/>
  </conditionalFormatting>
  <conditionalFormatting sqref="C116">
    <cfRule type="duplicateValues" dxfId="112" priority="53"/>
    <cfRule type="duplicateValues" dxfId="111" priority="54"/>
  </conditionalFormatting>
  <conditionalFormatting sqref="D2:D50 D52:D78">
    <cfRule type="duplicateValues" dxfId="110" priority="112"/>
    <cfRule type="duplicateValues" dxfId="109" priority="113"/>
    <cfRule type="duplicateValues" dxfId="108" priority="114"/>
  </conditionalFormatting>
  <conditionalFormatting sqref="D2:D78 D116 D86:D113">
    <cfRule type="duplicateValues" dxfId="107" priority="46"/>
  </conditionalFormatting>
  <conditionalFormatting sqref="D51">
    <cfRule type="duplicateValues" dxfId="106" priority="88"/>
    <cfRule type="duplicateValues" dxfId="105" priority="89"/>
    <cfRule type="duplicateValues" dxfId="104" priority="90"/>
  </conditionalFormatting>
  <conditionalFormatting sqref="D67:D78">
    <cfRule type="duplicateValues" dxfId="103" priority="118"/>
  </conditionalFormatting>
  <conditionalFormatting sqref="D79">
    <cfRule type="cellIs" dxfId="102" priority="29" operator="equal">
      <formula>"Dopay"</formula>
    </cfRule>
  </conditionalFormatting>
  <conditionalFormatting sqref="D86:D87">
    <cfRule type="duplicateValues" dxfId="101" priority="79"/>
  </conditionalFormatting>
  <conditionalFormatting sqref="D88 D90:D92 D94:D113">
    <cfRule type="duplicateValues" dxfId="100" priority="107"/>
  </conditionalFormatting>
  <conditionalFormatting sqref="D89">
    <cfRule type="duplicateValues" dxfId="99" priority="47"/>
    <cfRule type="duplicateValues" dxfId="98" priority="48"/>
    <cfRule type="duplicateValues" dxfId="97" priority="49"/>
  </conditionalFormatting>
  <conditionalFormatting sqref="D93">
    <cfRule type="duplicateValues" dxfId="96" priority="70"/>
    <cfRule type="duplicateValues" dxfId="95" priority="72"/>
    <cfRule type="duplicateValues" dxfId="94" priority="73"/>
  </conditionalFormatting>
  <conditionalFormatting sqref="D114:D115">
    <cfRule type="duplicateValues" dxfId="93" priority="4"/>
    <cfRule type="duplicateValues" dxfId="92" priority="6"/>
    <cfRule type="duplicateValues" dxfId="91" priority="7"/>
    <cfRule type="duplicateValues" dxfId="90" priority="8"/>
    <cfRule type="duplicateValues" dxfId="89" priority="12"/>
  </conditionalFormatting>
  <conditionalFormatting sqref="D116">
    <cfRule type="duplicateValues" dxfId="88" priority="51"/>
  </conditionalFormatting>
  <conditionalFormatting sqref="E2:E79">
    <cfRule type="cellIs" dxfId="87" priority="66" operator="equal">
      <formula>"Dopay"</formula>
    </cfRule>
  </conditionalFormatting>
  <conditionalFormatting sqref="E86:E91">
    <cfRule type="cellIs" dxfId="86" priority="55" operator="equal">
      <formula>"Dopay"</formula>
    </cfRule>
  </conditionalFormatting>
  <conditionalFormatting sqref="E93:E113">
    <cfRule type="cellIs" dxfId="85" priority="71" operator="equal">
      <formula>"Dopay"</formula>
    </cfRule>
  </conditionalFormatting>
  <conditionalFormatting sqref="E115:E116">
    <cfRule type="cellIs" dxfId="84" priority="5" operator="equal">
      <formula>"Dopay"</formula>
    </cfRule>
  </conditionalFormatting>
  <conditionalFormatting sqref="F2">
    <cfRule type="duplicateValues" dxfId="83" priority="97"/>
  </conditionalFormatting>
  <conditionalFormatting sqref="F2:F79">
    <cfRule type="duplicateValues" dxfId="82" priority="146"/>
  </conditionalFormatting>
  <conditionalFormatting sqref="F3">
    <cfRule type="duplicateValues" dxfId="81" priority="99"/>
  </conditionalFormatting>
  <conditionalFormatting sqref="F4:F45">
    <cfRule type="duplicateValues" dxfId="80" priority="133"/>
  </conditionalFormatting>
  <conditionalFormatting sqref="F24:F79">
    <cfRule type="duplicateValues" dxfId="79" priority="123"/>
  </conditionalFormatting>
  <conditionalFormatting sqref="F46">
    <cfRule type="duplicateValues" dxfId="78" priority="96"/>
  </conditionalFormatting>
  <conditionalFormatting sqref="F47:F79">
    <cfRule type="duplicateValues" dxfId="77" priority="124"/>
  </conditionalFormatting>
  <conditionalFormatting sqref="F67:F79">
    <cfRule type="duplicateValues" dxfId="76" priority="125"/>
  </conditionalFormatting>
  <conditionalFormatting sqref="F86">
    <cfRule type="duplicateValues" dxfId="75" priority="82"/>
  </conditionalFormatting>
  <conditionalFormatting sqref="F87:F89 F94">
    <cfRule type="duplicateValues" dxfId="74" priority="87"/>
  </conditionalFormatting>
  <conditionalFormatting sqref="F90">
    <cfRule type="duplicateValues" dxfId="73" priority="84"/>
  </conditionalFormatting>
  <conditionalFormatting sqref="F91">
    <cfRule type="duplicateValues" dxfId="72" priority="85"/>
  </conditionalFormatting>
  <conditionalFormatting sqref="F92">
    <cfRule type="duplicateValues" dxfId="71" priority="86"/>
  </conditionalFormatting>
  <conditionalFormatting sqref="F93">
    <cfRule type="duplicateValues" dxfId="70" priority="74"/>
    <cfRule type="duplicateValues" dxfId="69" priority="75"/>
    <cfRule type="duplicateValues" dxfId="68" priority="78"/>
  </conditionalFormatting>
  <conditionalFormatting sqref="F95">
    <cfRule type="duplicateValues" dxfId="67" priority="81"/>
  </conditionalFormatting>
  <conditionalFormatting sqref="F96:F113">
    <cfRule type="duplicateValues" dxfId="66" priority="80"/>
  </conditionalFormatting>
  <conditionalFormatting sqref="F114">
    <cfRule type="duplicateValues" dxfId="65" priority="60"/>
  </conditionalFormatting>
  <conditionalFormatting sqref="F115">
    <cfRule type="duplicateValues" dxfId="64" priority="58"/>
  </conditionalFormatting>
  <conditionalFormatting sqref="F116">
    <cfRule type="duplicateValues" dxfId="63" priority="52"/>
  </conditionalFormatting>
  <conditionalFormatting sqref="B1:B1048576">
    <cfRule type="duplicateValues" dxfId="0" priority="1"/>
  </conditionalFormatting>
  <dataValidations disablePrompts="1" count="1">
    <dataValidation allowBlank="1" showInputMessage="1" sqref="AO1:AO79 AO85 AO132:AO1048576" xr:uid="{91300FF4-4467-4713-AA22-D764F96F211F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9"/>
  <sheetViews>
    <sheetView topLeftCell="O1" workbookViewId="0">
      <selection activeCell="O9" sqref="O9"/>
    </sheetView>
  </sheetViews>
  <sheetFormatPr defaultColWidth="12.1796875" defaultRowHeight="15.5" x14ac:dyDescent="0.35"/>
  <cols>
    <col min="1" max="1" width="14.08984375" bestFit="1" customWidth="1"/>
    <col min="2" max="2" width="9.81640625" bestFit="1" customWidth="1"/>
    <col min="3" max="3" width="31.81640625" bestFit="1" customWidth="1"/>
    <col min="4" max="4" width="28.1796875" bestFit="1" customWidth="1"/>
    <col min="5" max="5" width="41.81640625" bestFit="1" customWidth="1"/>
    <col min="6" max="6" width="18.453125" bestFit="1" customWidth="1"/>
    <col min="7" max="7" width="11.6328125" bestFit="1" customWidth="1"/>
    <col min="8" max="8" width="12.36328125" bestFit="1" customWidth="1"/>
    <col min="9" max="9" width="19" bestFit="1" customWidth="1"/>
    <col min="10" max="10" width="19" customWidth="1"/>
    <col min="11" max="11" width="18.1796875" bestFit="1" customWidth="1"/>
    <col min="12" max="12" width="19.1796875" bestFit="1" customWidth="1"/>
    <col min="13" max="13" width="15.453125" bestFit="1" customWidth="1"/>
    <col min="14" max="14" width="22" bestFit="1" customWidth="1"/>
    <col min="15" max="15" width="21.54296875" bestFit="1" customWidth="1"/>
    <col min="16" max="16" width="19.453125" bestFit="1" customWidth="1"/>
    <col min="17" max="17" width="17.81640625" bestFit="1" customWidth="1"/>
    <col min="18" max="18" width="19.453125" bestFit="1" customWidth="1"/>
    <col min="19" max="19" width="23.08984375" bestFit="1" customWidth="1"/>
    <col min="20" max="20" width="16.36328125" bestFit="1" customWidth="1"/>
    <col min="21" max="21" width="13.08984375" bestFit="1" customWidth="1"/>
    <col min="22" max="22" width="12.54296875" bestFit="1" customWidth="1"/>
    <col min="23" max="23" width="19.90625" bestFit="1" customWidth="1"/>
    <col min="24" max="24" width="15.81640625" bestFit="1" customWidth="1"/>
    <col min="25" max="25" width="14.90625" bestFit="1" customWidth="1"/>
    <col min="26" max="26" width="21.54296875" bestFit="1" customWidth="1"/>
    <col min="27" max="27" width="18.81640625" bestFit="1" customWidth="1"/>
    <col min="28" max="28" width="19.1796875" bestFit="1" customWidth="1"/>
    <col min="29" max="29" width="16.36328125" bestFit="1" customWidth="1"/>
    <col min="30" max="30" width="11.08984375" bestFit="1" customWidth="1"/>
    <col min="31" max="31" width="22.54296875" bestFit="1" customWidth="1"/>
    <col min="32" max="32" width="17.08984375" bestFit="1" customWidth="1"/>
    <col min="33" max="33" width="18.1796875" bestFit="1" customWidth="1"/>
    <col min="34" max="34" width="20.1796875" bestFit="1" customWidth="1"/>
    <col min="35" max="35" width="10.54296875" bestFit="1" customWidth="1"/>
    <col min="36" max="36" width="14.90625" bestFit="1" customWidth="1"/>
    <col min="37" max="37" width="16.90625" bestFit="1" customWidth="1"/>
    <col min="38" max="38" width="15.453125" bestFit="1" customWidth="1"/>
    <col min="39" max="39" width="15.453125" customWidth="1"/>
    <col min="40" max="40" width="11.08984375" bestFit="1" customWidth="1"/>
    <col min="41" max="41" width="16.6328125" bestFit="1" customWidth="1"/>
    <col min="42" max="42" width="22" style="34" bestFit="1" customWidth="1"/>
  </cols>
  <sheetData>
    <row r="1" spans="1:43" ht="26" x14ac:dyDescent="0.35">
      <c r="A1" s="61">
        <v>45962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</row>
    <row r="2" spans="1:43" ht="31" x14ac:dyDescent="0.35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1" t="s">
        <v>12</v>
      </c>
      <c r="N2" s="1" t="s">
        <v>13</v>
      </c>
      <c r="O2" s="6" t="s">
        <v>14</v>
      </c>
      <c r="P2" s="3" t="s">
        <v>15</v>
      </c>
      <c r="Q2" s="3" t="s">
        <v>16</v>
      </c>
      <c r="R2" s="1" t="s">
        <v>17</v>
      </c>
      <c r="S2" s="1" t="s">
        <v>18</v>
      </c>
      <c r="T2" s="4" t="s">
        <v>19</v>
      </c>
      <c r="U2" s="4" t="s">
        <v>20</v>
      </c>
      <c r="V2" s="4" t="s">
        <v>21</v>
      </c>
      <c r="W2" s="7" t="s">
        <v>22</v>
      </c>
      <c r="X2" s="6" t="s">
        <v>23</v>
      </c>
      <c r="Y2" s="7" t="s">
        <v>24</v>
      </c>
      <c r="Z2" s="6" t="s">
        <v>25</v>
      </c>
      <c r="AA2" s="1" t="s">
        <v>26</v>
      </c>
      <c r="AB2" s="6" t="s">
        <v>11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8" t="s">
        <v>32</v>
      </c>
      <c r="AI2" s="8" t="s">
        <v>33</v>
      </c>
      <c r="AJ2" s="6" t="s">
        <v>34</v>
      </c>
      <c r="AK2" s="6" t="s">
        <v>35</v>
      </c>
      <c r="AL2" s="4" t="s">
        <v>36</v>
      </c>
      <c r="AM2" s="4" t="s">
        <v>37</v>
      </c>
      <c r="AN2" s="4" t="s">
        <v>28</v>
      </c>
      <c r="AO2" s="1" t="s">
        <v>38</v>
      </c>
      <c r="AP2" s="9" t="s">
        <v>39</v>
      </c>
      <c r="AQ2" s="10" t="s">
        <v>40</v>
      </c>
    </row>
    <row r="3" spans="1:43" x14ac:dyDescent="0.35">
      <c r="A3" s="11" t="s">
        <v>41</v>
      </c>
      <c r="B3" s="12" t="s">
        <v>48</v>
      </c>
      <c r="C3" s="28" t="s">
        <v>49</v>
      </c>
      <c r="D3" s="13" t="s">
        <v>44</v>
      </c>
      <c r="E3" s="29" t="s">
        <v>50</v>
      </c>
      <c r="F3" s="30" t="s">
        <v>51</v>
      </c>
      <c r="G3" s="16" t="s">
        <v>47</v>
      </c>
      <c r="H3" s="17">
        <v>4000</v>
      </c>
      <c r="I3" s="17">
        <v>3000</v>
      </c>
      <c r="J3" s="17">
        <v>0</v>
      </c>
      <c r="K3" s="18">
        <v>1.05</v>
      </c>
      <c r="L3" s="17">
        <f>+I3*K3</f>
        <v>3150</v>
      </c>
      <c r="M3" s="17">
        <v>0</v>
      </c>
      <c r="N3" s="17">
        <f>30-W3</f>
        <v>30</v>
      </c>
      <c r="O3" s="17">
        <f>M3*N3</f>
        <v>0</v>
      </c>
      <c r="P3" s="19">
        <f>L3/30</f>
        <v>105</v>
      </c>
      <c r="Q3" s="19">
        <f>(I3+H3+1300)/30</f>
        <v>276.66666666666669</v>
      </c>
      <c r="R3" s="19">
        <f>+Q3/8</f>
        <v>34.583333333333336</v>
      </c>
      <c r="S3" s="17">
        <v>0</v>
      </c>
      <c r="T3" s="17">
        <f>+R3*S3</f>
        <v>0</v>
      </c>
      <c r="U3" s="17">
        <v>0</v>
      </c>
      <c r="V3" s="20">
        <f>H3+L3+O3+T3+U3+J3</f>
        <v>7150</v>
      </c>
      <c r="W3" s="21">
        <v>0</v>
      </c>
      <c r="X3" s="21">
        <f>Q3*W3</f>
        <v>0</v>
      </c>
      <c r="Y3" s="21">
        <v>0</v>
      </c>
      <c r="Z3" s="21">
        <f>Q3*Y3</f>
        <v>0</v>
      </c>
      <c r="AA3" s="21">
        <v>0</v>
      </c>
      <c r="AB3" s="21">
        <f>P3*AA3</f>
        <v>0</v>
      </c>
      <c r="AC3" s="22">
        <f>X3+Z3+AB3</f>
        <v>0</v>
      </c>
      <c r="AD3" s="23">
        <f>V3-AC3</f>
        <v>7150</v>
      </c>
      <c r="AE3" s="24">
        <f>7000/1.3</f>
        <v>5384.6153846153848</v>
      </c>
      <c r="AF3" s="24">
        <f>+AE3*0.11</f>
        <v>592.30769230769238</v>
      </c>
      <c r="AG3" s="25">
        <v>1666.6666666666667</v>
      </c>
      <c r="AH3" s="25">
        <f>(AD3-AF3-AG3)*12</f>
        <v>58692.307692307688</v>
      </c>
      <c r="AI3" s="25">
        <f>IF(AND(AH3&gt;40000,AH3&lt;=55000),(AH3-40000)*10%,
IF(AND(AH3&gt;55000,AH3&lt;=70000),(AH3-55000)*15%+15000*10%,
IF(AND(AH3&gt;70000,AH3&lt;=200000),(AH3-70000)*20%+15000*10%+15000*15%,
IF(AND(AH3&gt;200000,AH3&lt;=400000),(AH3-200000)*22.5%+15000*10%+15000*15%+130000*20%,
IF(AND(AH3&gt;400000,AH3&lt;=600000),(AH3-400000)*25%+15000*10%+15000*15%+130000*20%+200000*22.5%,
IF(AND(AH3&gt;600000,AH3&lt;=700000),(AH3-400000)*25%+55000*10%+15000*15%+130000*20%+200000*22.5%,
IF(AND(AH3&gt;700000,AH3&lt;=800000),(AH3-400000)*25%+70000*15%+130000*20%+200000*22.5%,
IF(AND(AH3&gt;800000,AH3&lt;=900000),(AH3-400000)*25%+200000*20%+200000*22.5%,
IF(AND(AH3&gt;900000,AH3&lt;=1200000),(AH3-400000)*25%+400000*22.5%,
IF(AH3&gt;1200000,(AH3-1200000)*27.5%+1200000*25%))))))))))/12</f>
        <v>171.1538461538461</v>
      </c>
      <c r="AJ3" s="24">
        <f>+AD3*0.0005</f>
        <v>3.5750000000000002</v>
      </c>
      <c r="AK3" s="23">
        <f>+AD3-AF3-AI3-AJ3</f>
        <v>6382.9634615384621</v>
      </c>
      <c r="AL3" s="24">
        <v>0</v>
      </c>
      <c r="AM3" s="24">
        <v>0</v>
      </c>
      <c r="AN3" s="23">
        <f>+AK3-AL3+AM3</f>
        <v>6382.9634615384621</v>
      </c>
      <c r="AO3" s="25">
        <f>+AE3*0.1875</f>
        <v>1009.6153846153846</v>
      </c>
      <c r="AP3" s="26">
        <v>15</v>
      </c>
      <c r="AQ3" s="27">
        <f>AD3+AO3</f>
        <v>8159.6153846153848</v>
      </c>
    </row>
    <row r="4" spans="1:43" x14ac:dyDescent="0.35">
      <c r="A4" s="11" t="s">
        <v>41</v>
      </c>
      <c r="B4" s="12" t="s">
        <v>52</v>
      </c>
      <c r="C4" s="28" t="s">
        <v>53</v>
      </c>
      <c r="D4" s="13" t="s">
        <v>44</v>
      </c>
      <c r="E4" s="29" t="s">
        <v>54</v>
      </c>
      <c r="F4" s="31" t="s">
        <v>55</v>
      </c>
      <c r="G4" s="16" t="s">
        <v>47</v>
      </c>
      <c r="H4" s="17">
        <v>4000</v>
      </c>
      <c r="I4" s="17">
        <v>3000</v>
      </c>
      <c r="J4" s="17">
        <v>0</v>
      </c>
      <c r="K4" s="18">
        <v>1.05</v>
      </c>
      <c r="L4" s="17">
        <f>+I4*K4</f>
        <v>3150</v>
      </c>
      <c r="M4" s="17">
        <v>0</v>
      </c>
      <c r="N4" s="17">
        <f>30-W4</f>
        <v>30</v>
      </c>
      <c r="O4" s="17">
        <f>M4*N4</f>
        <v>0</v>
      </c>
      <c r="P4" s="19">
        <f>L4/30</f>
        <v>105</v>
      </c>
      <c r="Q4" s="19">
        <f>(I4+H4+1300)/30</f>
        <v>276.66666666666669</v>
      </c>
      <c r="R4" s="19">
        <f>+Q4/8</f>
        <v>34.583333333333336</v>
      </c>
      <c r="S4" s="17">
        <v>0</v>
      </c>
      <c r="T4" s="17">
        <f>+R4*S4</f>
        <v>0</v>
      </c>
      <c r="U4" s="17">
        <v>0</v>
      </c>
      <c r="V4" s="20">
        <f>H4+L4+O4+T4+U4+J4</f>
        <v>7150</v>
      </c>
      <c r="W4" s="21">
        <v>0</v>
      </c>
      <c r="X4" s="21">
        <f>Q4*W4</f>
        <v>0</v>
      </c>
      <c r="Y4" s="21">
        <v>0</v>
      </c>
      <c r="Z4" s="21">
        <f>Q4*Y4</f>
        <v>0</v>
      </c>
      <c r="AA4" s="21">
        <v>0</v>
      </c>
      <c r="AB4" s="21">
        <f>P4*AA4</f>
        <v>0</v>
      </c>
      <c r="AC4" s="22">
        <f>X4+Z4+AB4</f>
        <v>0</v>
      </c>
      <c r="AD4" s="23">
        <f>V4-AC4</f>
        <v>7150</v>
      </c>
      <c r="AE4" s="24">
        <f>7000/1.3</f>
        <v>5384.6153846153848</v>
      </c>
      <c r="AF4" s="24">
        <f>+AE4*0.11</f>
        <v>592.30769230769238</v>
      </c>
      <c r="AG4" s="25">
        <v>1666.6666666666667</v>
      </c>
      <c r="AH4" s="25">
        <f>(AD4-AF4-AG4)*12</f>
        <v>58692.307692307688</v>
      </c>
      <c r="AI4" s="25">
        <f>IF(AND(AH4&gt;40000,AH4&lt;=55000),(AH4-40000)*10%,
IF(AND(AH4&gt;55000,AH4&lt;=70000),(AH4-55000)*15%+15000*10%,
IF(AND(AH4&gt;70000,AH4&lt;=200000),(AH4-70000)*20%+15000*10%+15000*15%,
IF(AND(AH4&gt;200000,AH4&lt;=400000),(AH4-200000)*22.5%+15000*10%+15000*15%+130000*20%,
IF(AND(AH4&gt;400000,AH4&lt;=600000),(AH4-400000)*25%+15000*10%+15000*15%+130000*20%+200000*22.5%,
IF(AND(AH4&gt;600000,AH4&lt;=700000),(AH4-400000)*25%+55000*10%+15000*15%+130000*20%+200000*22.5%,
IF(AND(AH4&gt;700000,AH4&lt;=800000),(AH4-400000)*25%+70000*15%+130000*20%+200000*22.5%,
IF(AND(AH4&gt;800000,AH4&lt;=900000),(AH4-400000)*25%+200000*20%+200000*22.5%,
IF(AND(AH4&gt;900000,AH4&lt;=1200000),(AH4-400000)*25%+400000*22.5%,
IF(AH4&gt;1200000,(AH4-1200000)*27.5%+1200000*25%))))))))))/12</f>
        <v>171.1538461538461</v>
      </c>
      <c r="AJ4" s="24">
        <f>+AD4*0.0005</f>
        <v>3.5750000000000002</v>
      </c>
      <c r="AK4" s="23">
        <f>+AD4-AF4-AI4-AJ4</f>
        <v>6382.9634615384621</v>
      </c>
      <c r="AL4" s="24">
        <v>0</v>
      </c>
      <c r="AM4" s="24">
        <v>0</v>
      </c>
      <c r="AN4" s="23">
        <f>+AK4-AL4+AM4</f>
        <v>6382.9634615384621</v>
      </c>
      <c r="AO4" s="25">
        <f>+AE4*0.1875</f>
        <v>1009.6153846153846</v>
      </c>
      <c r="AP4" s="26">
        <v>16</v>
      </c>
      <c r="AQ4" s="27">
        <f>AD4+AO4</f>
        <v>8159.6153846153848</v>
      </c>
    </row>
    <row r="5" spans="1:43" x14ac:dyDescent="0.35">
      <c r="A5" s="11" t="s">
        <v>41</v>
      </c>
      <c r="B5" s="12" t="s">
        <v>56</v>
      </c>
      <c r="C5" s="28" t="s">
        <v>57</v>
      </c>
      <c r="D5" s="13" t="s">
        <v>44</v>
      </c>
      <c r="E5" s="29" t="s">
        <v>58</v>
      </c>
      <c r="F5" s="31" t="s">
        <v>59</v>
      </c>
      <c r="G5" s="16" t="s">
        <v>47</v>
      </c>
      <c r="H5" s="17">
        <v>4000</v>
      </c>
      <c r="I5" s="17">
        <v>3000</v>
      </c>
      <c r="J5" s="17">
        <v>0</v>
      </c>
      <c r="K5" s="18">
        <v>1.05</v>
      </c>
      <c r="L5" s="17">
        <f>+I5*K5</f>
        <v>3150</v>
      </c>
      <c r="M5" s="17">
        <v>0</v>
      </c>
      <c r="N5" s="17">
        <f>30-W5</f>
        <v>30</v>
      </c>
      <c r="O5" s="17">
        <f>M5*N5</f>
        <v>0</v>
      </c>
      <c r="P5" s="19">
        <f>L5/30</f>
        <v>105</v>
      </c>
      <c r="Q5" s="19">
        <f>(I5+H5+1300)/30</f>
        <v>276.66666666666669</v>
      </c>
      <c r="R5" s="19">
        <f>+Q5/8</f>
        <v>34.583333333333336</v>
      </c>
      <c r="S5" s="17">
        <v>0</v>
      </c>
      <c r="T5" s="17">
        <f>+R5*S5</f>
        <v>0</v>
      </c>
      <c r="U5" s="17">
        <v>0</v>
      </c>
      <c r="V5" s="20">
        <f>H5+L5+O5+T5+U5+J5</f>
        <v>7150</v>
      </c>
      <c r="W5" s="21">
        <v>0</v>
      </c>
      <c r="X5" s="21">
        <f>Q5*W5</f>
        <v>0</v>
      </c>
      <c r="Y5" s="21">
        <v>0</v>
      </c>
      <c r="Z5" s="21">
        <f>Q5*Y5</f>
        <v>0</v>
      </c>
      <c r="AA5" s="21">
        <v>0</v>
      </c>
      <c r="AB5" s="21">
        <f>P5*AA5</f>
        <v>0</v>
      </c>
      <c r="AC5" s="22">
        <f>X5+Z5+AB5</f>
        <v>0</v>
      </c>
      <c r="AD5" s="23">
        <f>V5-AC5</f>
        <v>7150</v>
      </c>
      <c r="AE5" s="24">
        <f>7000/1.3</f>
        <v>5384.6153846153848</v>
      </c>
      <c r="AF5" s="24">
        <f>+AE5*0.11</f>
        <v>592.30769230769238</v>
      </c>
      <c r="AG5" s="25">
        <v>1666.6666666666667</v>
      </c>
      <c r="AH5" s="25">
        <f>(AD5-AF5-AG5)*12</f>
        <v>58692.307692307688</v>
      </c>
      <c r="AI5" s="25">
        <f>IF(AND(AH5&gt;40000,AH5&lt;=55000),(AH5-40000)*10%,
IF(AND(AH5&gt;55000,AH5&lt;=70000),(AH5-55000)*15%+15000*10%,
IF(AND(AH5&gt;70000,AH5&lt;=200000),(AH5-70000)*20%+15000*10%+15000*15%,
IF(AND(AH5&gt;200000,AH5&lt;=400000),(AH5-200000)*22.5%+15000*10%+15000*15%+130000*20%,
IF(AND(AH5&gt;400000,AH5&lt;=600000),(AH5-400000)*25%+15000*10%+15000*15%+130000*20%+200000*22.5%,
IF(AND(AH5&gt;600000,AH5&lt;=700000),(AH5-400000)*25%+55000*10%+15000*15%+130000*20%+200000*22.5%,
IF(AND(AH5&gt;700000,AH5&lt;=800000),(AH5-400000)*25%+70000*15%+130000*20%+200000*22.5%,
IF(AND(AH5&gt;800000,AH5&lt;=900000),(AH5-400000)*25%+200000*20%+200000*22.5%,
IF(AND(AH5&gt;900000,AH5&lt;=1200000),(AH5-400000)*25%+400000*22.5%,
IF(AH5&gt;1200000,(AH5-1200000)*27.5%+1200000*25%))))))))))/12</f>
        <v>171.1538461538461</v>
      </c>
      <c r="AJ5" s="24">
        <f>+AD5*0.0005</f>
        <v>3.5750000000000002</v>
      </c>
      <c r="AK5" s="23">
        <f>+AD5-AF5-AI5-AJ5</f>
        <v>6382.9634615384621</v>
      </c>
      <c r="AL5" s="24">
        <v>0</v>
      </c>
      <c r="AM5" s="24">
        <v>0</v>
      </c>
      <c r="AN5" s="23">
        <f>+AK5-AL5+AM5</f>
        <v>6382.9634615384621</v>
      </c>
      <c r="AO5" s="25">
        <f>+AE5*0.1875</f>
        <v>1009.6153846153846</v>
      </c>
      <c r="AP5" s="26">
        <v>16</v>
      </c>
      <c r="AQ5" s="27">
        <f>AD5+AO5</f>
        <v>8159.6153846153848</v>
      </c>
    </row>
    <row r="6" spans="1:43" ht="18.5" x14ac:dyDescent="0.35">
      <c r="A6" s="62" t="s">
        <v>60</v>
      </c>
      <c r="B6" s="63"/>
      <c r="C6" s="63"/>
      <c r="D6" s="63"/>
      <c r="E6" s="63"/>
      <c r="F6" s="63"/>
      <c r="G6" s="66"/>
      <c r="H6" s="33">
        <f>SUM(H3:H5)</f>
        <v>12000</v>
      </c>
      <c r="I6" s="33">
        <f>SUM(I3:I5)</f>
        <v>9000</v>
      </c>
      <c r="J6" s="33">
        <f>SUM(J3:J5)</f>
        <v>0</v>
      </c>
      <c r="K6" s="33"/>
      <c r="L6" s="33">
        <f>SUM(L3:L5)</f>
        <v>9450</v>
      </c>
      <c r="M6" s="33"/>
      <c r="N6" s="33"/>
      <c r="O6" s="33">
        <f>SUM(O3:O5)</f>
        <v>0</v>
      </c>
      <c r="P6" s="33"/>
      <c r="Q6" s="33"/>
      <c r="R6" s="33"/>
      <c r="S6" s="33">
        <f t="shared" ref="S6:AF6" si="0">SUM(S3:S5)</f>
        <v>0</v>
      </c>
      <c r="T6" s="33">
        <f t="shared" si="0"/>
        <v>0</v>
      </c>
      <c r="U6" s="33">
        <f t="shared" si="0"/>
        <v>0</v>
      </c>
      <c r="V6" s="33">
        <f t="shared" si="0"/>
        <v>21450</v>
      </c>
      <c r="W6" s="33">
        <f t="shared" si="0"/>
        <v>0</v>
      </c>
      <c r="X6" s="33">
        <f t="shared" si="0"/>
        <v>0</v>
      </c>
      <c r="Y6" s="33">
        <f t="shared" si="0"/>
        <v>0</v>
      </c>
      <c r="Z6" s="33">
        <f t="shared" si="0"/>
        <v>0</v>
      </c>
      <c r="AA6" s="33">
        <f t="shared" si="0"/>
        <v>0</v>
      </c>
      <c r="AB6" s="33">
        <f t="shared" si="0"/>
        <v>0</v>
      </c>
      <c r="AC6" s="33">
        <f t="shared" si="0"/>
        <v>0</v>
      </c>
      <c r="AD6" s="33">
        <f t="shared" si="0"/>
        <v>21450</v>
      </c>
      <c r="AE6" s="33">
        <f t="shared" si="0"/>
        <v>16153.846153846154</v>
      </c>
      <c r="AF6" s="33">
        <f t="shared" si="0"/>
        <v>1776.9230769230771</v>
      </c>
      <c r="AG6" s="33"/>
      <c r="AH6" s="33"/>
      <c r="AI6" s="33">
        <f>SUM(AI3:AI5)</f>
        <v>513.46153846153834</v>
      </c>
      <c r="AJ6" s="33">
        <f>SUM(AJ3:AJ5)</f>
        <v>10.725000000000001</v>
      </c>
      <c r="AK6" s="33">
        <f>SUM(AK3:AK5)</f>
        <v>19148.890384615384</v>
      </c>
      <c r="AL6" s="33">
        <f>SUM(AL3:AL5)</f>
        <v>0</v>
      </c>
      <c r="AM6" s="33"/>
      <c r="AN6" s="33">
        <f>SUM(AN3:AN5)</f>
        <v>19148.890384615384</v>
      </c>
      <c r="AO6" s="33">
        <f>SUM(AO3:AO5)</f>
        <v>3028.8461538461538</v>
      </c>
      <c r="AP6" s="33"/>
      <c r="AQ6" s="33">
        <f>SUM(AQ3:AQ5)</f>
        <v>24478.846153846156</v>
      </c>
    </row>
    <row r="7" spans="1:43" x14ac:dyDescent="0.35">
      <c r="A7" s="34"/>
      <c r="B7" s="34"/>
      <c r="C7" s="35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</row>
    <row r="8" spans="1:43" ht="31" customHeight="1" x14ac:dyDescent="0.35">
      <c r="A8" s="68" t="s">
        <v>63</v>
      </c>
      <c r="B8" s="69"/>
      <c r="C8" s="70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</row>
    <row r="9" spans="1:43" x14ac:dyDescent="0.35">
      <c r="A9" s="55" t="s">
        <v>41</v>
      </c>
      <c r="B9" s="12" t="s">
        <v>42</v>
      </c>
      <c r="C9" s="55" t="s">
        <v>43</v>
      </c>
      <c r="D9" s="56" t="s">
        <v>44</v>
      </c>
      <c r="E9" s="57" t="s">
        <v>45</v>
      </c>
      <c r="F9" s="15" t="s">
        <v>46</v>
      </c>
      <c r="G9" s="16" t="s">
        <v>47</v>
      </c>
      <c r="H9" s="17">
        <v>4000</v>
      </c>
      <c r="I9" s="17">
        <v>3000</v>
      </c>
      <c r="J9" s="17">
        <v>0</v>
      </c>
      <c r="K9" s="18">
        <v>1.05</v>
      </c>
      <c r="L9" s="17">
        <f>+I9*K9</f>
        <v>3150</v>
      </c>
      <c r="M9" s="17">
        <v>0</v>
      </c>
      <c r="N9" s="17">
        <f>30-W9</f>
        <v>30</v>
      </c>
      <c r="O9" s="17">
        <f>M9*N9</f>
        <v>0</v>
      </c>
      <c r="P9" s="19">
        <f>L9/30</f>
        <v>105</v>
      </c>
      <c r="Q9" s="19">
        <f>(I9+H9+1300)/30</f>
        <v>276.66666666666669</v>
      </c>
      <c r="R9" s="19">
        <f>+Q9/8</f>
        <v>34.583333333333336</v>
      </c>
      <c r="S9" s="17">
        <v>0</v>
      </c>
      <c r="T9" s="17">
        <f>+R9*S9</f>
        <v>0</v>
      </c>
      <c r="U9" s="17">
        <v>0</v>
      </c>
      <c r="V9" s="20">
        <f>H9+L9+O9+T9+U9+J9</f>
        <v>7150</v>
      </c>
      <c r="W9" s="21">
        <v>0</v>
      </c>
      <c r="X9" s="21">
        <f>Q9*W9</f>
        <v>0</v>
      </c>
      <c r="Y9" s="21">
        <v>0</v>
      </c>
      <c r="Z9" s="21">
        <f>Q9*Y9</f>
        <v>0</v>
      </c>
      <c r="AA9" s="21">
        <v>0</v>
      </c>
      <c r="AB9" s="21">
        <f>P9*AA9</f>
        <v>0</v>
      </c>
      <c r="AC9" s="22">
        <f>X9+Z9+AB9</f>
        <v>0</v>
      </c>
      <c r="AD9" s="23">
        <f>V9-AC9</f>
        <v>7150</v>
      </c>
      <c r="AE9" s="24">
        <v>0</v>
      </c>
      <c r="AF9" s="24">
        <f>+AE9*0.11</f>
        <v>0</v>
      </c>
      <c r="AG9" s="25">
        <v>1666.6666666666667</v>
      </c>
      <c r="AH9" s="25">
        <f>(AD9-AF9-AG9)*12</f>
        <v>65800</v>
      </c>
      <c r="AI9" s="25">
        <f>IF(AND(AH9&gt;40000,AH9&lt;=55000),(AH9-40000)*10%,
IF(AND(AH9&gt;55000,AH9&lt;=70000),(AH9-55000)*15%+15000*10%,
IF(AND(AH9&gt;70000,AH9&lt;=200000),(AH9-70000)*20%+15000*10%+15000*15%,
IF(AND(AH9&gt;200000,AH9&lt;=400000),(AH9-200000)*22.5%+15000*10%+15000*15%+130000*20%,
IF(AND(AH9&gt;400000,AH9&lt;=600000),(AH9-400000)*25%+15000*10%+15000*15%+130000*20%+200000*22.5%,
IF(AND(AH9&gt;600000,AH9&lt;=700000),(AH9-400000)*25%+55000*10%+15000*15%+130000*20%+200000*22.5%,
IF(AND(AH9&gt;700000,AH9&lt;=800000),(AH9-400000)*25%+70000*15%+130000*20%+200000*22.5%,
IF(AND(AH9&gt;800000,AH9&lt;=900000),(AH9-400000)*25%+200000*20%+200000*22.5%,
IF(AND(AH9&gt;900000,AH9&lt;=1200000),(AH9-400000)*25%+400000*22.5%,
IF(AH9&gt;1200000,(AH9-1200000)*27.5%+1200000*25%))))))))))/12</f>
        <v>260</v>
      </c>
      <c r="AJ9" s="24">
        <f>+AD9*0.0005</f>
        <v>3.5750000000000002</v>
      </c>
      <c r="AK9" s="23">
        <f>+AD9-AF9-AI9-AJ9</f>
        <v>6886.4250000000002</v>
      </c>
      <c r="AL9" s="24">
        <v>0</v>
      </c>
      <c r="AM9" s="24">
        <v>0</v>
      </c>
      <c r="AN9" s="23">
        <f>+AK9-AL9+AM9</f>
        <v>6886.4250000000002</v>
      </c>
      <c r="AO9" s="25">
        <f>+AE9*0.1875</f>
        <v>0</v>
      </c>
      <c r="AP9" s="26">
        <v>16</v>
      </c>
      <c r="AQ9" s="27">
        <f>AD9+AO9</f>
        <v>7150</v>
      </c>
    </row>
    <row r="10" spans="1:43" ht="18.5" x14ac:dyDescent="0.35">
      <c r="A10" s="62" t="s">
        <v>60</v>
      </c>
      <c r="B10" s="63"/>
      <c r="C10" s="63"/>
      <c r="D10" s="63"/>
      <c r="E10" s="63"/>
      <c r="F10" s="63"/>
      <c r="G10" s="66"/>
      <c r="H10" s="33">
        <f>SUM(H9)</f>
        <v>4000</v>
      </c>
      <c r="I10" s="33">
        <f>SUM(I9)</f>
        <v>3000</v>
      </c>
      <c r="J10" s="33">
        <f>SUM(J6:J9)</f>
        <v>0</v>
      </c>
      <c r="K10" s="33"/>
      <c r="L10" s="33">
        <f>SUM(L9)</f>
        <v>3150</v>
      </c>
      <c r="M10" s="33">
        <f t="shared" ref="M10:AQ10" si="1">SUM(M9)</f>
        <v>0</v>
      </c>
      <c r="N10" s="33">
        <f t="shared" si="1"/>
        <v>30</v>
      </c>
      <c r="O10" s="33">
        <f t="shared" si="1"/>
        <v>0</v>
      </c>
      <c r="P10" s="33">
        <v>0</v>
      </c>
      <c r="Q10" s="33">
        <v>0</v>
      </c>
      <c r="R10" s="33">
        <v>0</v>
      </c>
      <c r="S10" s="33">
        <f t="shared" si="1"/>
        <v>0</v>
      </c>
      <c r="T10" s="33">
        <f t="shared" si="1"/>
        <v>0</v>
      </c>
      <c r="U10" s="33">
        <f t="shared" si="1"/>
        <v>0</v>
      </c>
      <c r="V10" s="33">
        <f t="shared" si="1"/>
        <v>7150</v>
      </c>
      <c r="W10" s="33">
        <f t="shared" si="1"/>
        <v>0</v>
      </c>
      <c r="X10" s="33">
        <f t="shared" si="1"/>
        <v>0</v>
      </c>
      <c r="Y10" s="33">
        <f t="shared" si="1"/>
        <v>0</v>
      </c>
      <c r="Z10" s="33">
        <f t="shared" si="1"/>
        <v>0</v>
      </c>
      <c r="AA10" s="33">
        <f t="shared" si="1"/>
        <v>0</v>
      </c>
      <c r="AB10" s="33">
        <f t="shared" si="1"/>
        <v>0</v>
      </c>
      <c r="AC10" s="33">
        <f t="shared" si="1"/>
        <v>0</v>
      </c>
      <c r="AD10" s="33">
        <f t="shared" si="1"/>
        <v>7150</v>
      </c>
      <c r="AE10" s="33">
        <f t="shared" si="1"/>
        <v>0</v>
      </c>
      <c r="AF10" s="33">
        <f t="shared" si="1"/>
        <v>0</v>
      </c>
      <c r="AG10" s="33">
        <v>0</v>
      </c>
      <c r="AH10" s="33">
        <v>0</v>
      </c>
      <c r="AI10" s="33">
        <f t="shared" si="1"/>
        <v>260</v>
      </c>
      <c r="AJ10" s="33">
        <f t="shared" si="1"/>
        <v>3.5750000000000002</v>
      </c>
      <c r="AK10" s="33">
        <f t="shared" si="1"/>
        <v>6886.4250000000002</v>
      </c>
      <c r="AL10" s="33">
        <f t="shared" si="1"/>
        <v>0</v>
      </c>
      <c r="AM10" s="33"/>
      <c r="AN10" s="33">
        <f t="shared" si="1"/>
        <v>6886.4250000000002</v>
      </c>
      <c r="AO10" s="33">
        <f t="shared" si="1"/>
        <v>0</v>
      </c>
      <c r="AP10" s="33"/>
      <c r="AQ10" s="33">
        <f t="shared" si="1"/>
        <v>7150</v>
      </c>
    </row>
    <row r="11" spans="1:43" ht="14.5" x14ac:dyDescent="0.35">
      <c r="AP11"/>
    </row>
    <row r="12" spans="1:43" ht="15" thickBot="1" x14ac:dyDescent="0.4">
      <c r="AP12"/>
    </row>
    <row r="13" spans="1:43" ht="19" thickBot="1" x14ac:dyDescent="0.4">
      <c r="A13" s="58" t="s">
        <v>61</v>
      </c>
      <c r="B13" s="59"/>
      <c r="C13" s="59"/>
      <c r="D13" s="60"/>
      <c r="E13" s="36">
        <f>AN6+AN10</f>
        <v>26035.315384615384</v>
      </c>
      <c r="F13" s="37"/>
    </row>
    <row r="14" spans="1:43" ht="19" thickBot="1" x14ac:dyDescent="0.4">
      <c r="A14" s="58" t="s">
        <v>62</v>
      </c>
      <c r="B14" s="59"/>
      <c r="C14" s="59"/>
      <c r="D14" s="67"/>
      <c r="E14" s="36">
        <f>AQ6+AQ10</f>
        <v>31628.846153846156</v>
      </c>
    </row>
    <row r="16" spans="1:43" x14ac:dyDescent="0.35">
      <c r="AK16" s="38"/>
    </row>
    <row r="84" spans="42:42" ht="14.5" x14ac:dyDescent="0.35">
      <c r="AP84"/>
    </row>
    <row r="85" spans="42:42" ht="14.5" x14ac:dyDescent="0.35">
      <c r="AP85"/>
    </row>
    <row r="89" spans="42:42" ht="18.5" x14ac:dyDescent="0.35">
      <c r="AP89" s="39"/>
    </row>
  </sheetData>
  <protectedRanges>
    <protectedRange sqref="E9 A9 C9 C3:C5 A3:A5 E3" name="Range3_1_2"/>
    <protectedRange sqref="E9 A9 C9 C3:C5 A3:A5 E3" name="Range2_1_2"/>
    <protectedRange sqref="E4:E5" name="Range1_1_2"/>
    <protectedRange sqref="F9 F3:F5" name="Range1_2_2"/>
    <protectedRange sqref="D9 D3:D5" name="Range3_1_2_3"/>
    <protectedRange sqref="D9 D3:D5" name="Range2_1_2_3"/>
  </protectedRanges>
  <mergeCells count="6">
    <mergeCell ref="A1:AQ1"/>
    <mergeCell ref="A6:G6"/>
    <mergeCell ref="A13:D13"/>
    <mergeCell ref="A14:D14"/>
    <mergeCell ref="A10:G10"/>
    <mergeCell ref="A8:C8"/>
  </mergeCells>
  <conditionalFormatting sqref="C3 E3">
    <cfRule type="duplicateValues" dxfId="132" priority="5"/>
  </conditionalFormatting>
  <conditionalFormatting sqref="C4:C5">
    <cfRule type="duplicateValues" dxfId="131" priority="6"/>
  </conditionalFormatting>
  <conditionalFormatting sqref="C9">
    <cfRule type="duplicateValues" dxfId="130" priority="3"/>
  </conditionalFormatting>
  <conditionalFormatting sqref="E4:E5">
    <cfRule type="duplicateValues" dxfId="129" priority="7"/>
  </conditionalFormatting>
  <conditionalFormatting sqref="E9">
    <cfRule type="duplicateValues" dxfId="128" priority="1"/>
  </conditionalFormatting>
  <conditionalFormatting sqref="F3">
    <cfRule type="duplicateValues" dxfId="127" priority="4"/>
  </conditionalFormatting>
  <conditionalFormatting sqref="F4:F5">
    <cfRule type="duplicateValues" dxfId="126" priority="8"/>
  </conditionalFormatting>
  <conditionalFormatting sqref="F9">
    <cfRule type="duplicateValues" dxfId="125" priority="2"/>
  </conditionalFormatting>
  <dataValidations count="2">
    <dataValidation type="list" allowBlank="1" showInputMessage="1" showErrorMessage="1" sqref="E4:E5 E9" xr:uid="{472DA408-A50E-45CE-B675-81ED1A11C8DD}">
      <formula1>#REF!</formula1>
    </dataValidation>
    <dataValidation allowBlank="1" showInputMessage="1" sqref="AP76:AP1048576 AP9 AP2 AP3:AP5" xr:uid="{27E00959-1436-4F2A-B792-1A556BFF107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10th</vt:lpstr>
      <vt:lpstr>Gomherya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ahmed</dc:creator>
  <cp:lastModifiedBy>Mohamed Abdelaziz</cp:lastModifiedBy>
  <dcterms:created xsi:type="dcterms:W3CDTF">2015-06-05T18:17:20Z</dcterms:created>
  <dcterms:modified xsi:type="dcterms:W3CDTF">2026-03-02T14:34:35Z</dcterms:modified>
</cp:coreProperties>
</file>
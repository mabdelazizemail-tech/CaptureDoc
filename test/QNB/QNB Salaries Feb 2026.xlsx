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man\Desktop\Feb -2026\Employee payroll\"/>
    </mc:Choice>
  </mc:AlternateContent>
  <bookViews>
    <workbookView xWindow="0" yWindow="0" windowWidth="23000" windowHeight="7730"/>
  </bookViews>
  <sheets>
    <sheet name="QNB" sheetId="3" r:id="rId1"/>
  </sheets>
  <definedNames>
    <definedName name="_xlnm._FilterDatabase" localSheetId="0" hidden="1">QNB!$A$2:$AP$83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89" i="3" l="1"/>
  <c r="AN89" i="3"/>
  <c r="AG82" i="3"/>
  <c r="AG81" i="3"/>
  <c r="AG80" i="3"/>
  <c r="AF79" i="3"/>
  <c r="AG79" i="3" s="1"/>
  <c r="AF78" i="3"/>
  <c r="AG78" i="3" s="1"/>
  <c r="AF77" i="3"/>
  <c r="AG77" i="3" s="1"/>
  <c r="AF76" i="3"/>
  <c r="AG76" i="3" s="1"/>
  <c r="AG75" i="3"/>
  <c r="AF74" i="3"/>
  <c r="AG74" i="3" s="1"/>
  <c r="AF73" i="3"/>
  <c r="AG73" i="3" s="1"/>
  <c r="AG72" i="3"/>
  <c r="AG88" i="3"/>
  <c r="AF71" i="3"/>
  <c r="AG71" i="3" s="1"/>
  <c r="AF70" i="3"/>
  <c r="AG70" i="3" s="1"/>
  <c r="AF69" i="3"/>
  <c r="AG69" i="3" s="1"/>
  <c r="AF68" i="3"/>
  <c r="AG68" i="3" s="1"/>
  <c r="AF67" i="3"/>
  <c r="AG67" i="3" s="1"/>
  <c r="AF66" i="3"/>
  <c r="AG66" i="3" s="1"/>
  <c r="AF65" i="3"/>
  <c r="AG65" i="3" s="1"/>
  <c r="AF64" i="3"/>
  <c r="AG64" i="3" s="1"/>
  <c r="AF63" i="3"/>
  <c r="AG63" i="3" s="1"/>
  <c r="AF62" i="3"/>
  <c r="AG62" i="3" s="1"/>
  <c r="AF61" i="3"/>
  <c r="AG61" i="3" s="1"/>
  <c r="AF60" i="3"/>
  <c r="AG60" i="3" s="1"/>
  <c r="AF59" i="3"/>
  <c r="AG59" i="3" s="1"/>
  <c r="AF58" i="3"/>
  <c r="AG58" i="3" s="1"/>
  <c r="AF57" i="3"/>
  <c r="AG57" i="3" s="1"/>
  <c r="AF56" i="3"/>
  <c r="AG56" i="3" s="1"/>
  <c r="AF55" i="3"/>
  <c r="AG55" i="3" s="1"/>
  <c r="AF54" i="3"/>
  <c r="AG54" i="3" s="1"/>
  <c r="AF53" i="3"/>
  <c r="AG53" i="3" s="1"/>
  <c r="AF52" i="3"/>
  <c r="AG52" i="3" s="1"/>
  <c r="AF51" i="3"/>
  <c r="AG51" i="3" s="1"/>
  <c r="AF50" i="3"/>
  <c r="AG50" i="3" s="1"/>
  <c r="AF49" i="3"/>
  <c r="AG49" i="3" s="1"/>
  <c r="AF48" i="3"/>
  <c r="AG48" i="3" s="1"/>
  <c r="AF47" i="3"/>
  <c r="AG47" i="3" s="1"/>
  <c r="AF46" i="3"/>
  <c r="AG46" i="3" s="1"/>
  <c r="AF45" i="3"/>
  <c r="AG45" i="3" s="1"/>
  <c r="AF44" i="3"/>
  <c r="AG44" i="3" s="1"/>
  <c r="AF43" i="3"/>
  <c r="AG43" i="3" s="1"/>
  <c r="AF42" i="3"/>
  <c r="AG42" i="3" s="1"/>
  <c r="AF41" i="3"/>
  <c r="AG41" i="3" s="1"/>
  <c r="AF40" i="3"/>
  <c r="AG40" i="3" s="1"/>
  <c r="AF39" i="3"/>
  <c r="AG39" i="3" s="1"/>
  <c r="AF38" i="3"/>
  <c r="AG38" i="3" s="1"/>
  <c r="AF37" i="3"/>
  <c r="AG37" i="3" s="1"/>
  <c r="AF36" i="3"/>
  <c r="AG36" i="3" s="1"/>
  <c r="AF35" i="3"/>
  <c r="AG35" i="3" s="1"/>
  <c r="AF34" i="3"/>
  <c r="AG34" i="3" s="1"/>
  <c r="AF33" i="3"/>
  <c r="AG33" i="3" s="1"/>
  <c r="AF32" i="3"/>
  <c r="AG32" i="3" s="1"/>
  <c r="AF31" i="3"/>
  <c r="AG31" i="3" s="1"/>
  <c r="AF30" i="3"/>
  <c r="AG30" i="3" s="1"/>
  <c r="AF29" i="3"/>
  <c r="AG29" i="3" s="1"/>
  <c r="AF28" i="3"/>
  <c r="AG28" i="3" s="1"/>
  <c r="AG87" i="3"/>
  <c r="AF27" i="3"/>
  <c r="AG27" i="3" s="1"/>
  <c r="AF26" i="3"/>
  <c r="AG26" i="3" s="1"/>
  <c r="AF25" i="3"/>
  <c r="AG25" i="3" s="1"/>
  <c r="AF24" i="3"/>
  <c r="AG24" i="3" s="1"/>
  <c r="AF23" i="3"/>
  <c r="AG23" i="3" s="1"/>
  <c r="AF22" i="3"/>
  <c r="AG22" i="3" s="1"/>
  <c r="AF21" i="3"/>
  <c r="AG21" i="3" s="1"/>
  <c r="AF20" i="3"/>
  <c r="AG20" i="3" s="1"/>
  <c r="AF19" i="3"/>
  <c r="AG19" i="3" s="1"/>
  <c r="AF18" i="3"/>
  <c r="AG18" i="3" s="1"/>
  <c r="AF17" i="3"/>
  <c r="AG17" i="3" s="1"/>
  <c r="AF16" i="3"/>
  <c r="AG16" i="3" s="1"/>
  <c r="AF15" i="3"/>
  <c r="AG15" i="3" s="1"/>
  <c r="AF14" i="3"/>
  <c r="AG14" i="3" s="1"/>
  <c r="AF13" i="3"/>
  <c r="AG13" i="3" s="1"/>
  <c r="AF12" i="3"/>
  <c r="AG12" i="3" s="1"/>
  <c r="AF11" i="3"/>
  <c r="AG11" i="3" s="1"/>
  <c r="AF10" i="3"/>
  <c r="AG10" i="3" s="1"/>
  <c r="AF9" i="3"/>
  <c r="AG9" i="3" s="1"/>
  <c r="AF8" i="3"/>
  <c r="AG8" i="3" s="1"/>
  <c r="AF7" i="3"/>
  <c r="AG7" i="3" s="1"/>
  <c r="AF6" i="3"/>
  <c r="AG6" i="3" s="1"/>
  <c r="AF5" i="3"/>
  <c r="AG5" i="3" s="1"/>
  <c r="AF4" i="3"/>
  <c r="AG4" i="3" s="1"/>
  <c r="AO82" i="3" l="1"/>
  <c r="P82" i="3"/>
  <c r="AA82" i="3" s="1"/>
  <c r="N82" i="3"/>
  <c r="O82" i="3" s="1"/>
  <c r="L82" i="3"/>
  <c r="Q82" i="3" s="1"/>
  <c r="AO81" i="3"/>
  <c r="P81" i="3"/>
  <c r="AA81" i="3" s="1"/>
  <c r="N81" i="3"/>
  <c r="O81" i="3" s="1"/>
  <c r="L81" i="3"/>
  <c r="AO80" i="3"/>
  <c r="P80" i="3"/>
  <c r="S80" i="3" s="1"/>
  <c r="U80" i="3" s="1"/>
  <c r="N80" i="3"/>
  <c r="O80" i="3" s="1"/>
  <c r="L80" i="3"/>
  <c r="AO79" i="3"/>
  <c r="P79" i="3"/>
  <c r="AA79" i="3" s="1"/>
  <c r="N79" i="3"/>
  <c r="O79" i="3" s="1"/>
  <c r="L79" i="3"/>
  <c r="AO78" i="3"/>
  <c r="P78" i="3"/>
  <c r="AA78" i="3" s="1"/>
  <c r="N78" i="3"/>
  <c r="O78" i="3" s="1"/>
  <c r="L78" i="3"/>
  <c r="AO77" i="3"/>
  <c r="P77" i="3"/>
  <c r="S77" i="3" s="1"/>
  <c r="U77" i="3" s="1"/>
  <c r="N77" i="3"/>
  <c r="O77" i="3" s="1"/>
  <c r="L77" i="3"/>
  <c r="W80" i="3" l="1"/>
  <c r="S82" i="3"/>
  <c r="U82" i="3" s="1"/>
  <c r="W82" i="3" s="1"/>
  <c r="R82" i="3"/>
  <c r="Y82" i="3" s="1"/>
  <c r="AC82" i="3"/>
  <c r="AA80" i="3"/>
  <c r="S81" i="3"/>
  <c r="U81" i="3" s="1"/>
  <c r="W81" i="3" s="1"/>
  <c r="Q81" i="3"/>
  <c r="Q80" i="3"/>
  <c r="S79" i="3"/>
  <c r="U79" i="3" s="1"/>
  <c r="W79" i="3" s="1"/>
  <c r="Q79" i="3"/>
  <c r="S78" i="3"/>
  <c r="U78" i="3" s="1"/>
  <c r="W78" i="3" s="1"/>
  <c r="Q78" i="3"/>
  <c r="W77" i="3"/>
  <c r="Q77" i="3"/>
  <c r="AA77" i="3"/>
  <c r="AO76" i="3"/>
  <c r="P76" i="3"/>
  <c r="S76" i="3" s="1"/>
  <c r="U76" i="3" s="1"/>
  <c r="N76" i="3"/>
  <c r="O76" i="3" s="1"/>
  <c r="L76" i="3"/>
  <c r="AO75" i="3"/>
  <c r="P75" i="3"/>
  <c r="S75" i="3" s="1"/>
  <c r="U75" i="3" s="1"/>
  <c r="N75" i="3"/>
  <c r="O75" i="3" s="1"/>
  <c r="L75" i="3"/>
  <c r="P73" i="3"/>
  <c r="S73" i="3" s="1"/>
  <c r="U73" i="3" s="1"/>
  <c r="N73" i="3"/>
  <c r="O73" i="3" s="1"/>
  <c r="L73" i="3"/>
  <c r="Q73" i="3" s="1"/>
  <c r="P74" i="3"/>
  <c r="S74" i="3" s="1"/>
  <c r="U74" i="3" s="1"/>
  <c r="N74" i="3"/>
  <c r="O74" i="3" s="1"/>
  <c r="L74" i="3"/>
  <c r="AD82" i="3" l="1"/>
  <c r="AE82" i="3" s="1"/>
  <c r="R81" i="3"/>
  <c r="Y81" i="3" s="1"/>
  <c r="AC81" i="3"/>
  <c r="AC80" i="3"/>
  <c r="R80" i="3"/>
  <c r="Y80" i="3" s="1"/>
  <c r="R79" i="3"/>
  <c r="Y79" i="3" s="1"/>
  <c r="AC79" i="3"/>
  <c r="R78" i="3"/>
  <c r="Y78" i="3" s="1"/>
  <c r="AC78" i="3"/>
  <c r="R77" i="3"/>
  <c r="Y77" i="3" s="1"/>
  <c r="AC77" i="3"/>
  <c r="AO73" i="3"/>
  <c r="AO74" i="3"/>
  <c r="AA75" i="3"/>
  <c r="AA76" i="3"/>
  <c r="W76" i="3"/>
  <c r="W75" i="3"/>
  <c r="Q76" i="3"/>
  <c r="Q75" i="3"/>
  <c r="W73" i="3"/>
  <c r="AA73" i="3"/>
  <c r="R73" i="3"/>
  <c r="Y73" i="3" s="1"/>
  <c r="AC73" i="3"/>
  <c r="AA74" i="3"/>
  <c r="W74" i="3"/>
  <c r="Q74" i="3"/>
  <c r="AM83" i="3"/>
  <c r="AB83" i="3"/>
  <c r="Z83" i="3"/>
  <c r="X83" i="3"/>
  <c r="V83" i="3"/>
  <c r="T83" i="3"/>
  <c r="J83" i="3"/>
  <c r="I83" i="3"/>
  <c r="H83" i="3"/>
  <c r="AD80" i="3" l="1"/>
  <c r="AE80" i="3" s="1"/>
  <c r="AK80" i="3" s="1"/>
  <c r="AK82" i="3"/>
  <c r="AI82" i="3"/>
  <c r="AJ82" i="3" s="1"/>
  <c r="AL82" i="3" s="1"/>
  <c r="AN82" i="3" s="1"/>
  <c r="AQ82" i="3"/>
  <c r="AD81" i="3"/>
  <c r="AE81" i="3" s="1"/>
  <c r="AD79" i="3"/>
  <c r="AE79" i="3" s="1"/>
  <c r="AD78" i="3"/>
  <c r="AE78" i="3" s="1"/>
  <c r="AD77" i="3"/>
  <c r="AE77" i="3" s="1"/>
  <c r="R76" i="3"/>
  <c r="Y76" i="3" s="1"/>
  <c r="AC76" i="3"/>
  <c r="R75" i="3"/>
  <c r="Y75" i="3" s="1"/>
  <c r="AC75" i="3"/>
  <c r="AD73" i="3"/>
  <c r="AE73" i="3" s="1"/>
  <c r="R74" i="3"/>
  <c r="Y74" i="3" s="1"/>
  <c r="AC74" i="3"/>
  <c r="AO32" i="3"/>
  <c r="AO33" i="3"/>
  <c r="AO34" i="3"/>
  <c r="AO35" i="3"/>
  <c r="AO37" i="3"/>
  <c r="AO38" i="3"/>
  <c r="AO39" i="3"/>
  <c r="AO40" i="3"/>
  <c r="AO41" i="3"/>
  <c r="AO44" i="3"/>
  <c r="AO45" i="3"/>
  <c r="AO46" i="3"/>
  <c r="AO47" i="3"/>
  <c r="AO49" i="3"/>
  <c r="AO50" i="3"/>
  <c r="AO51" i="3"/>
  <c r="AO52" i="3"/>
  <c r="AO54" i="3"/>
  <c r="AO55" i="3"/>
  <c r="AO56" i="3"/>
  <c r="AO57" i="3"/>
  <c r="AO58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88" i="3"/>
  <c r="AO72" i="3"/>
  <c r="AO6" i="3"/>
  <c r="AO10" i="3"/>
  <c r="AO12" i="3"/>
  <c r="AO14" i="3"/>
  <c r="AO17" i="3"/>
  <c r="AO18" i="3"/>
  <c r="AO20" i="3"/>
  <c r="AO22" i="3"/>
  <c r="AO23" i="3"/>
  <c r="AO24" i="3"/>
  <c r="AO26" i="3"/>
  <c r="AO27" i="3"/>
  <c r="AO29" i="3"/>
  <c r="AQ80" i="3" l="1"/>
  <c r="AI80" i="3"/>
  <c r="AJ80" i="3" s="1"/>
  <c r="AL80" i="3" s="1"/>
  <c r="AN80" i="3" s="1"/>
  <c r="AK81" i="3"/>
  <c r="AI81" i="3"/>
  <c r="AJ81" i="3" s="1"/>
  <c r="AK77" i="3"/>
  <c r="AI77" i="3"/>
  <c r="AJ77" i="3" s="1"/>
  <c r="AK78" i="3"/>
  <c r="AI78" i="3"/>
  <c r="AJ78" i="3" s="1"/>
  <c r="AL78" i="3" s="1"/>
  <c r="AN78" i="3" s="1"/>
  <c r="AK73" i="3"/>
  <c r="AI73" i="3"/>
  <c r="AJ73" i="3" s="1"/>
  <c r="AK79" i="3"/>
  <c r="AI79" i="3"/>
  <c r="AJ79" i="3" s="1"/>
  <c r="AL79" i="3" s="1"/>
  <c r="AN79" i="3" s="1"/>
  <c r="AQ81" i="3"/>
  <c r="AQ79" i="3"/>
  <c r="AQ78" i="3"/>
  <c r="AQ77" i="3"/>
  <c r="AD75" i="3"/>
  <c r="AE75" i="3" s="1"/>
  <c r="AD76" i="3"/>
  <c r="AE76" i="3" s="1"/>
  <c r="AQ73" i="3"/>
  <c r="AD74" i="3"/>
  <c r="AE74" i="3" s="1"/>
  <c r="AO13" i="3"/>
  <c r="AO43" i="3"/>
  <c r="AO42" i="3"/>
  <c r="AO31" i="3"/>
  <c r="AO36" i="3"/>
  <c r="AO8" i="3"/>
  <c r="AO87" i="3"/>
  <c r="AO5" i="3"/>
  <c r="AO59" i="3"/>
  <c r="AO7" i="3"/>
  <c r="AO30" i="3"/>
  <c r="AO48" i="3"/>
  <c r="AO25" i="3"/>
  <c r="AO53" i="3"/>
  <c r="AO21" i="3"/>
  <c r="AO15" i="3"/>
  <c r="AO4" i="3"/>
  <c r="AO11" i="3"/>
  <c r="AO16" i="3"/>
  <c r="AO28" i="3"/>
  <c r="AO19" i="3"/>
  <c r="AO9" i="3"/>
  <c r="AL81" i="3" l="1"/>
  <c r="AN81" i="3" s="1"/>
  <c r="AK75" i="3"/>
  <c r="AI75" i="3"/>
  <c r="AJ75" i="3" s="1"/>
  <c r="AK76" i="3"/>
  <c r="AI76" i="3"/>
  <c r="AJ76" i="3" s="1"/>
  <c r="AK74" i="3"/>
  <c r="AI74" i="3"/>
  <c r="AJ74" i="3" s="1"/>
  <c r="AL74" i="3" s="1"/>
  <c r="AN74" i="3" s="1"/>
  <c r="AL77" i="3"/>
  <c r="AN77" i="3" s="1"/>
  <c r="AQ75" i="3"/>
  <c r="AQ76" i="3"/>
  <c r="AQ74" i="3"/>
  <c r="AL73" i="3"/>
  <c r="AN73" i="3" s="1"/>
  <c r="P72" i="3"/>
  <c r="S72" i="3" s="1"/>
  <c r="U72" i="3" s="1"/>
  <c r="N72" i="3"/>
  <c r="O72" i="3" s="1"/>
  <c r="L72" i="3"/>
  <c r="P88" i="3"/>
  <c r="S88" i="3" s="1"/>
  <c r="U88" i="3" s="1"/>
  <c r="N88" i="3"/>
  <c r="O88" i="3" s="1"/>
  <c r="L88" i="3"/>
  <c r="P71" i="3"/>
  <c r="S71" i="3" s="1"/>
  <c r="U71" i="3" s="1"/>
  <c r="N71" i="3"/>
  <c r="O71" i="3" s="1"/>
  <c r="L71" i="3"/>
  <c r="P70" i="3"/>
  <c r="AA70" i="3" s="1"/>
  <c r="N70" i="3"/>
  <c r="O70" i="3" s="1"/>
  <c r="L70" i="3"/>
  <c r="AL75" i="3" l="1"/>
  <c r="AN75" i="3" s="1"/>
  <c r="AL76" i="3"/>
  <c r="AN76" i="3" s="1"/>
  <c r="S70" i="3"/>
  <c r="U70" i="3" s="1"/>
  <c r="W70" i="3" s="1"/>
  <c r="W72" i="3"/>
  <c r="W71" i="3"/>
  <c r="AA72" i="3"/>
  <c r="AA88" i="3"/>
  <c r="AA71" i="3"/>
  <c r="Q72" i="3"/>
  <c r="W88" i="3"/>
  <c r="Q88" i="3"/>
  <c r="Q71" i="3"/>
  <c r="Q70" i="3"/>
  <c r="AC71" i="3" l="1"/>
  <c r="R71" i="3"/>
  <c r="Y71" i="3" s="1"/>
  <c r="AC70" i="3"/>
  <c r="R70" i="3"/>
  <c r="Y70" i="3" s="1"/>
  <c r="AC72" i="3"/>
  <c r="R72" i="3"/>
  <c r="Y72" i="3" s="1"/>
  <c r="AC88" i="3"/>
  <c r="R88" i="3"/>
  <c r="Y88" i="3" s="1"/>
  <c r="N4" i="3"/>
  <c r="O4" i="3" s="1"/>
  <c r="P4" i="3"/>
  <c r="S4" i="3" s="1"/>
  <c r="U4" i="3" s="1"/>
  <c r="N5" i="3"/>
  <c r="O5" i="3" s="1"/>
  <c r="P5" i="3"/>
  <c r="S5" i="3" s="1"/>
  <c r="U5" i="3" s="1"/>
  <c r="N6" i="3"/>
  <c r="O6" i="3" s="1"/>
  <c r="P6" i="3"/>
  <c r="S6" i="3" s="1"/>
  <c r="U6" i="3" s="1"/>
  <c r="N7" i="3"/>
  <c r="O7" i="3" s="1"/>
  <c r="P7" i="3"/>
  <c r="AA7" i="3" s="1"/>
  <c r="N8" i="3"/>
  <c r="O8" i="3" s="1"/>
  <c r="P8" i="3"/>
  <c r="S8" i="3" s="1"/>
  <c r="U8" i="3" s="1"/>
  <c r="N9" i="3"/>
  <c r="O9" i="3" s="1"/>
  <c r="P9" i="3"/>
  <c r="S9" i="3" s="1"/>
  <c r="U9" i="3" s="1"/>
  <c r="N10" i="3"/>
  <c r="O10" i="3" s="1"/>
  <c r="P10" i="3"/>
  <c r="N11" i="3"/>
  <c r="O11" i="3" s="1"/>
  <c r="P11" i="3"/>
  <c r="S11" i="3" s="1"/>
  <c r="U11" i="3" s="1"/>
  <c r="N12" i="3"/>
  <c r="O12" i="3" s="1"/>
  <c r="P12" i="3"/>
  <c r="S12" i="3" s="1"/>
  <c r="U12" i="3" s="1"/>
  <c r="N13" i="3"/>
  <c r="O13" i="3" s="1"/>
  <c r="P13" i="3"/>
  <c r="S13" i="3" s="1"/>
  <c r="U13" i="3" s="1"/>
  <c r="N14" i="3"/>
  <c r="O14" i="3" s="1"/>
  <c r="P14" i="3"/>
  <c r="S14" i="3" s="1"/>
  <c r="U14" i="3" s="1"/>
  <c r="N15" i="3"/>
  <c r="O15" i="3" s="1"/>
  <c r="P15" i="3"/>
  <c r="S15" i="3" s="1"/>
  <c r="U15" i="3" s="1"/>
  <c r="N16" i="3"/>
  <c r="O16" i="3" s="1"/>
  <c r="P16" i="3"/>
  <c r="S16" i="3" s="1"/>
  <c r="U16" i="3" s="1"/>
  <c r="N17" i="3"/>
  <c r="O17" i="3" s="1"/>
  <c r="P17" i="3"/>
  <c r="N18" i="3"/>
  <c r="O18" i="3" s="1"/>
  <c r="P18" i="3"/>
  <c r="S18" i="3" s="1"/>
  <c r="U18" i="3" s="1"/>
  <c r="N19" i="3"/>
  <c r="O19" i="3" s="1"/>
  <c r="P19" i="3"/>
  <c r="N20" i="3"/>
  <c r="O20" i="3" s="1"/>
  <c r="P20" i="3"/>
  <c r="S20" i="3" s="1"/>
  <c r="U20" i="3" s="1"/>
  <c r="N21" i="3"/>
  <c r="O21" i="3" s="1"/>
  <c r="P21" i="3"/>
  <c r="S21" i="3" s="1"/>
  <c r="U21" i="3" s="1"/>
  <c r="N22" i="3"/>
  <c r="O22" i="3" s="1"/>
  <c r="P22" i="3"/>
  <c r="S22" i="3" s="1"/>
  <c r="U22" i="3" s="1"/>
  <c r="N23" i="3"/>
  <c r="O23" i="3" s="1"/>
  <c r="P23" i="3"/>
  <c r="AA23" i="3" s="1"/>
  <c r="N24" i="3"/>
  <c r="O24" i="3" s="1"/>
  <c r="P24" i="3"/>
  <c r="S24" i="3" s="1"/>
  <c r="U24" i="3" s="1"/>
  <c r="N25" i="3"/>
  <c r="O25" i="3" s="1"/>
  <c r="P25" i="3"/>
  <c r="AA25" i="3" s="1"/>
  <c r="N26" i="3"/>
  <c r="O26" i="3" s="1"/>
  <c r="P26" i="3"/>
  <c r="S26" i="3" s="1"/>
  <c r="U26" i="3" s="1"/>
  <c r="N27" i="3"/>
  <c r="O27" i="3" s="1"/>
  <c r="P27" i="3"/>
  <c r="AA27" i="3" s="1"/>
  <c r="N87" i="3"/>
  <c r="O87" i="3" s="1"/>
  <c r="P87" i="3"/>
  <c r="AA87" i="3" s="1"/>
  <c r="N28" i="3"/>
  <c r="O28" i="3" s="1"/>
  <c r="P28" i="3"/>
  <c r="N29" i="3"/>
  <c r="O29" i="3" s="1"/>
  <c r="P29" i="3"/>
  <c r="S29" i="3" s="1"/>
  <c r="U29" i="3" s="1"/>
  <c r="N30" i="3"/>
  <c r="O30" i="3" s="1"/>
  <c r="P30" i="3"/>
  <c r="S30" i="3" s="1"/>
  <c r="U30" i="3" s="1"/>
  <c r="N31" i="3"/>
  <c r="O31" i="3" s="1"/>
  <c r="P31" i="3"/>
  <c r="S31" i="3" s="1"/>
  <c r="U31" i="3" s="1"/>
  <c r="N32" i="3"/>
  <c r="O32" i="3" s="1"/>
  <c r="P32" i="3"/>
  <c r="S32" i="3" s="1"/>
  <c r="U32" i="3" s="1"/>
  <c r="N33" i="3"/>
  <c r="O33" i="3" s="1"/>
  <c r="P33" i="3"/>
  <c r="S33" i="3" s="1"/>
  <c r="U33" i="3" s="1"/>
  <c r="N34" i="3"/>
  <c r="O34" i="3" s="1"/>
  <c r="P34" i="3"/>
  <c r="AA34" i="3" s="1"/>
  <c r="N35" i="3"/>
  <c r="O35" i="3" s="1"/>
  <c r="P35" i="3"/>
  <c r="S35" i="3" s="1"/>
  <c r="U35" i="3" s="1"/>
  <c r="N36" i="3"/>
  <c r="O36" i="3" s="1"/>
  <c r="P36" i="3"/>
  <c r="N37" i="3"/>
  <c r="O37" i="3" s="1"/>
  <c r="P37" i="3"/>
  <c r="S37" i="3" s="1"/>
  <c r="U37" i="3" s="1"/>
  <c r="N38" i="3"/>
  <c r="O38" i="3" s="1"/>
  <c r="P38" i="3"/>
  <c r="S38" i="3" s="1"/>
  <c r="U38" i="3" s="1"/>
  <c r="N39" i="3"/>
  <c r="O39" i="3" s="1"/>
  <c r="P39" i="3"/>
  <c r="S39" i="3" s="1"/>
  <c r="U39" i="3" s="1"/>
  <c r="N40" i="3"/>
  <c r="O40" i="3" s="1"/>
  <c r="P40" i="3"/>
  <c r="AA40" i="3" s="1"/>
  <c r="N41" i="3"/>
  <c r="O41" i="3" s="1"/>
  <c r="P41" i="3"/>
  <c r="S41" i="3" s="1"/>
  <c r="U41" i="3" s="1"/>
  <c r="N42" i="3"/>
  <c r="O42" i="3" s="1"/>
  <c r="P42" i="3"/>
  <c r="S42" i="3" s="1"/>
  <c r="U42" i="3" s="1"/>
  <c r="N43" i="3"/>
  <c r="O43" i="3" s="1"/>
  <c r="P43" i="3"/>
  <c r="S43" i="3" s="1"/>
  <c r="U43" i="3" s="1"/>
  <c r="N44" i="3"/>
  <c r="O44" i="3" s="1"/>
  <c r="P44" i="3"/>
  <c r="S44" i="3" s="1"/>
  <c r="U44" i="3" s="1"/>
  <c r="N45" i="3"/>
  <c r="O45" i="3" s="1"/>
  <c r="P45" i="3"/>
  <c r="S45" i="3" s="1"/>
  <c r="U45" i="3" s="1"/>
  <c r="N46" i="3"/>
  <c r="O46" i="3" s="1"/>
  <c r="P46" i="3"/>
  <c r="AA46" i="3" s="1"/>
  <c r="N47" i="3"/>
  <c r="O47" i="3" s="1"/>
  <c r="P47" i="3"/>
  <c r="S47" i="3" s="1"/>
  <c r="U47" i="3" s="1"/>
  <c r="N48" i="3"/>
  <c r="O48" i="3" s="1"/>
  <c r="P48" i="3"/>
  <c r="N49" i="3"/>
  <c r="O49" i="3" s="1"/>
  <c r="P49" i="3"/>
  <c r="N50" i="3"/>
  <c r="O50" i="3" s="1"/>
  <c r="P50" i="3"/>
  <c r="S50" i="3" s="1"/>
  <c r="U50" i="3" s="1"/>
  <c r="N51" i="3"/>
  <c r="O51" i="3" s="1"/>
  <c r="P51" i="3"/>
  <c r="S51" i="3" s="1"/>
  <c r="U51" i="3" s="1"/>
  <c r="N52" i="3"/>
  <c r="O52" i="3" s="1"/>
  <c r="P52" i="3"/>
  <c r="S52" i="3" s="1"/>
  <c r="U52" i="3" s="1"/>
  <c r="N53" i="3"/>
  <c r="O53" i="3" s="1"/>
  <c r="P53" i="3"/>
  <c r="S53" i="3" s="1"/>
  <c r="U53" i="3" s="1"/>
  <c r="N54" i="3"/>
  <c r="O54" i="3" s="1"/>
  <c r="P54" i="3"/>
  <c r="AA54" i="3" s="1"/>
  <c r="N55" i="3"/>
  <c r="O55" i="3" s="1"/>
  <c r="P55" i="3"/>
  <c r="S55" i="3" s="1"/>
  <c r="U55" i="3" s="1"/>
  <c r="N56" i="3"/>
  <c r="O56" i="3" s="1"/>
  <c r="P56" i="3"/>
  <c r="S56" i="3" s="1"/>
  <c r="U56" i="3" s="1"/>
  <c r="N57" i="3"/>
  <c r="O57" i="3" s="1"/>
  <c r="P57" i="3"/>
  <c r="S57" i="3" s="1"/>
  <c r="U57" i="3" s="1"/>
  <c r="N58" i="3"/>
  <c r="O58" i="3" s="1"/>
  <c r="P58" i="3"/>
  <c r="AA58" i="3" s="1"/>
  <c r="N59" i="3"/>
  <c r="O59" i="3" s="1"/>
  <c r="P59" i="3"/>
  <c r="N60" i="3"/>
  <c r="O60" i="3" s="1"/>
  <c r="P60" i="3"/>
  <c r="S60" i="3" s="1"/>
  <c r="U60" i="3" s="1"/>
  <c r="N61" i="3"/>
  <c r="O61" i="3" s="1"/>
  <c r="P61" i="3"/>
  <c r="S61" i="3" s="1"/>
  <c r="U61" i="3" s="1"/>
  <c r="N62" i="3"/>
  <c r="O62" i="3" s="1"/>
  <c r="P62" i="3"/>
  <c r="S62" i="3" s="1"/>
  <c r="U62" i="3" s="1"/>
  <c r="N63" i="3"/>
  <c r="O63" i="3" s="1"/>
  <c r="P63" i="3"/>
  <c r="AA63" i="3" s="1"/>
  <c r="N64" i="3"/>
  <c r="O64" i="3" s="1"/>
  <c r="P64" i="3"/>
  <c r="S64" i="3" s="1"/>
  <c r="U64" i="3" s="1"/>
  <c r="N65" i="3"/>
  <c r="O65" i="3" s="1"/>
  <c r="P65" i="3"/>
  <c r="S65" i="3" s="1"/>
  <c r="U65" i="3" s="1"/>
  <c r="N66" i="3"/>
  <c r="O66" i="3" s="1"/>
  <c r="P66" i="3"/>
  <c r="S66" i="3" s="1"/>
  <c r="U66" i="3" s="1"/>
  <c r="N67" i="3"/>
  <c r="O67" i="3" s="1"/>
  <c r="P67" i="3"/>
  <c r="S67" i="3" s="1"/>
  <c r="U67" i="3" s="1"/>
  <c r="N68" i="3"/>
  <c r="O68" i="3" s="1"/>
  <c r="P68" i="3"/>
  <c r="N69" i="3"/>
  <c r="O69" i="3" s="1"/>
  <c r="P69" i="3"/>
  <c r="S69" i="3" s="1"/>
  <c r="U69" i="3" s="1"/>
  <c r="AD88" i="3" l="1"/>
  <c r="AE88" i="3" s="1"/>
  <c r="AD72" i="3"/>
  <c r="AE72" i="3" s="1"/>
  <c r="AD71" i="3"/>
  <c r="AE71" i="3" s="1"/>
  <c r="AD70" i="3"/>
  <c r="AE70" i="3" s="1"/>
  <c r="AA16" i="3"/>
  <c r="AA30" i="3"/>
  <c r="AA13" i="3"/>
  <c r="AA42" i="3"/>
  <c r="S54" i="3"/>
  <c r="U54" i="3" s="1"/>
  <c r="AA50" i="3"/>
  <c r="AA43" i="3"/>
  <c r="AA5" i="3"/>
  <c r="AA44" i="3"/>
  <c r="AA60" i="3"/>
  <c r="S25" i="3"/>
  <c r="U25" i="3" s="1"/>
  <c r="AA41" i="3"/>
  <c r="AA11" i="3"/>
  <c r="AA12" i="3"/>
  <c r="AA32" i="3"/>
  <c r="AA9" i="3"/>
  <c r="AA6" i="3"/>
  <c r="AA26" i="3"/>
  <c r="AA67" i="3"/>
  <c r="AA8" i="3"/>
  <c r="S34" i="3"/>
  <c r="U34" i="3" s="1"/>
  <c r="S23" i="3"/>
  <c r="U23" i="3" s="1"/>
  <c r="AA66" i="3"/>
  <c r="S63" i="3"/>
  <c r="U63" i="3" s="1"/>
  <c r="AA69" i="3"/>
  <c r="AA24" i="3"/>
  <c r="AA56" i="3"/>
  <c r="AA21" i="3"/>
  <c r="S46" i="3"/>
  <c r="U46" i="3" s="1"/>
  <c r="AA65" i="3"/>
  <c r="AA35" i="3"/>
  <c r="AA22" i="3"/>
  <c r="AA61" i="3"/>
  <c r="AA38" i="3"/>
  <c r="AA57" i="3"/>
  <c r="AA33" i="3"/>
  <c r="AA55" i="3"/>
  <c r="AA31" i="3"/>
  <c r="AA18" i="3"/>
  <c r="AA51" i="3"/>
  <c r="AA4" i="3"/>
  <c r="S58" i="3"/>
  <c r="U58" i="3" s="1"/>
  <c r="AA15" i="3"/>
  <c r="AA45" i="3"/>
  <c r="AA29" i="3"/>
  <c r="AA14" i="3"/>
  <c r="S68" i="3"/>
  <c r="U68" i="3" s="1"/>
  <c r="AA68" i="3"/>
  <c r="AA48" i="3"/>
  <c r="S48" i="3"/>
  <c r="U48" i="3" s="1"/>
  <c r="AA36" i="3"/>
  <c r="S36" i="3"/>
  <c r="U36" i="3" s="1"/>
  <c r="AA17" i="3"/>
  <c r="S17" i="3"/>
  <c r="U17" i="3" s="1"/>
  <c r="S10" i="3"/>
  <c r="U10" i="3" s="1"/>
  <c r="AA10" i="3"/>
  <c r="S19" i="3"/>
  <c r="U19" i="3" s="1"/>
  <c r="AA19" i="3"/>
  <c r="S59" i="3"/>
  <c r="U59" i="3" s="1"/>
  <c r="AA59" i="3"/>
  <c r="S28" i="3"/>
  <c r="U28" i="3" s="1"/>
  <c r="AA28" i="3"/>
  <c r="S49" i="3"/>
  <c r="U49" i="3" s="1"/>
  <c r="AA49" i="3"/>
  <c r="S40" i="3"/>
  <c r="U40" i="3" s="1"/>
  <c r="AA64" i="3"/>
  <c r="AA53" i="3"/>
  <c r="AA20" i="3"/>
  <c r="S87" i="3"/>
  <c r="U87" i="3" s="1"/>
  <c r="S27" i="3"/>
  <c r="U27" i="3" s="1"/>
  <c r="S7" i="3"/>
  <c r="U7" i="3" s="1"/>
  <c r="AA62" i="3"/>
  <c r="AA52" i="3"/>
  <c r="AA39" i="3"/>
  <c r="AA37" i="3"/>
  <c r="AA47" i="3"/>
  <c r="L68" i="3"/>
  <c r="Q68" i="3" s="1"/>
  <c r="R68" i="3" s="1"/>
  <c r="Y68" i="3" s="1"/>
  <c r="L69" i="3"/>
  <c r="Q69" i="3" s="1"/>
  <c r="R69" i="3" s="1"/>
  <c r="Y69" i="3" s="1"/>
  <c r="L67" i="3"/>
  <c r="L66" i="3"/>
  <c r="Q66" i="3" s="1"/>
  <c r="R66" i="3" s="1"/>
  <c r="Y66" i="3" s="1"/>
  <c r="AK70" i="3" l="1"/>
  <c r="AI70" i="3"/>
  <c r="AJ70" i="3" s="1"/>
  <c r="AQ71" i="3"/>
  <c r="AK71" i="3"/>
  <c r="AI71" i="3"/>
  <c r="AJ71" i="3" s="1"/>
  <c r="AK72" i="3"/>
  <c r="AI72" i="3"/>
  <c r="AJ72" i="3" s="1"/>
  <c r="AK88" i="3"/>
  <c r="AI88" i="3"/>
  <c r="AJ88" i="3" s="1"/>
  <c r="AQ70" i="3"/>
  <c r="AQ88" i="3"/>
  <c r="AL71" i="3"/>
  <c r="AN71" i="3" s="1"/>
  <c r="AQ72" i="3"/>
  <c r="W66" i="3"/>
  <c r="Q67" i="3"/>
  <c r="W69" i="3"/>
  <c r="W67" i="3"/>
  <c r="W68" i="3"/>
  <c r="AC68" i="3"/>
  <c r="AD68" i="3" s="1"/>
  <c r="AC69" i="3"/>
  <c r="AD69" i="3" s="1"/>
  <c r="AC66" i="3"/>
  <c r="AD66" i="3" s="1"/>
  <c r="AL72" i="3" l="1"/>
  <c r="AN72" i="3" s="1"/>
  <c r="AL88" i="3"/>
  <c r="AN88" i="3" s="1"/>
  <c r="AL70" i="3"/>
  <c r="AN70" i="3" s="1"/>
  <c r="AC67" i="3"/>
  <c r="R67" i="3"/>
  <c r="Y67" i="3" s="1"/>
  <c r="AE66" i="3"/>
  <c r="AE69" i="3"/>
  <c r="AE68" i="3"/>
  <c r="AK68" i="3" l="1"/>
  <c r="AI68" i="3"/>
  <c r="AJ68" i="3" s="1"/>
  <c r="AK69" i="3"/>
  <c r="AI69" i="3"/>
  <c r="AJ69" i="3" s="1"/>
  <c r="AK66" i="3"/>
  <c r="AI66" i="3"/>
  <c r="AJ66" i="3" s="1"/>
  <c r="AD67" i="3"/>
  <c r="AE67" i="3" s="1"/>
  <c r="AQ69" i="3"/>
  <c r="AQ66" i="3"/>
  <c r="AQ68" i="3"/>
  <c r="AK67" i="3" l="1"/>
  <c r="AI67" i="3"/>
  <c r="AJ67" i="3" s="1"/>
  <c r="AQ67" i="3"/>
  <c r="AL69" i="3"/>
  <c r="AN69" i="3" s="1"/>
  <c r="AL66" i="3"/>
  <c r="AN66" i="3" s="1"/>
  <c r="AL68" i="3"/>
  <c r="AN68" i="3" s="1"/>
  <c r="AL67" i="3" l="1"/>
  <c r="AN67" i="3" s="1"/>
  <c r="L48" i="3"/>
  <c r="Q48" i="3" l="1"/>
  <c r="W48" i="3"/>
  <c r="AC48" i="3" l="1"/>
  <c r="R48" i="3"/>
  <c r="Y48" i="3" s="1"/>
  <c r="AD48" i="3" l="1"/>
  <c r="AE48" i="3" s="1"/>
  <c r="AK48" i="3" l="1"/>
  <c r="AI48" i="3"/>
  <c r="AJ48" i="3" s="1"/>
  <c r="AF3" i="3"/>
  <c r="AF83" i="3" s="1"/>
  <c r="AL48" i="3" l="1"/>
  <c r="AN48" i="3" s="1"/>
  <c r="L65" i="3"/>
  <c r="Q65" i="3" l="1"/>
  <c r="W65" i="3"/>
  <c r="AC65" i="3" l="1"/>
  <c r="R65" i="3"/>
  <c r="Y65" i="3" s="1"/>
  <c r="AD65" i="3" l="1"/>
  <c r="AE65" i="3" s="1"/>
  <c r="AK65" i="3" l="1"/>
  <c r="AI65" i="3"/>
  <c r="AJ65" i="3" s="1"/>
  <c r="AQ65" i="3"/>
  <c r="AG3" i="3"/>
  <c r="AG83" i="3" s="1"/>
  <c r="L39" i="3"/>
  <c r="L35" i="3"/>
  <c r="L29" i="3"/>
  <c r="L25" i="3"/>
  <c r="L26" i="3"/>
  <c r="L22" i="3"/>
  <c r="L17" i="3"/>
  <c r="L12" i="3"/>
  <c r="L7" i="3"/>
  <c r="L6" i="3"/>
  <c r="AL65" i="3" l="1"/>
  <c r="AN65" i="3" s="1"/>
  <c r="Q7" i="3"/>
  <c r="W7" i="3"/>
  <c r="Q17" i="3"/>
  <c r="W17" i="3"/>
  <c r="Q6" i="3"/>
  <c r="W6" i="3"/>
  <c r="Q12" i="3"/>
  <c r="W12" i="3"/>
  <c r="Q22" i="3"/>
  <c r="W22" i="3"/>
  <c r="Q26" i="3"/>
  <c r="W26" i="3"/>
  <c r="Q25" i="3"/>
  <c r="W25" i="3"/>
  <c r="Q29" i="3"/>
  <c r="W29" i="3"/>
  <c r="Q35" i="3"/>
  <c r="R35" i="3" s="1"/>
  <c r="Y35" i="3" s="1"/>
  <c r="W35" i="3"/>
  <c r="Q39" i="3"/>
  <c r="R39" i="3" s="1"/>
  <c r="Y39" i="3" s="1"/>
  <c r="W39" i="3"/>
  <c r="AC39" i="3"/>
  <c r="AD39" i="3" l="1"/>
  <c r="AE39" i="3" s="1"/>
  <c r="AC35" i="3"/>
  <c r="AD35" i="3" s="1"/>
  <c r="AE35" i="3" s="1"/>
  <c r="AC26" i="3"/>
  <c r="R26" i="3"/>
  <c r="Y26" i="3" s="1"/>
  <c r="AC22" i="3"/>
  <c r="R22" i="3"/>
  <c r="Y22" i="3" s="1"/>
  <c r="AC12" i="3"/>
  <c r="R12" i="3"/>
  <c r="Y12" i="3" s="1"/>
  <c r="AC6" i="3"/>
  <c r="R6" i="3"/>
  <c r="Y6" i="3" s="1"/>
  <c r="AC29" i="3"/>
  <c r="R29" i="3"/>
  <c r="Y29" i="3" s="1"/>
  <c r="AC17" i="3"/>
  <c r="R17" i="3"/>
  <c r="Y17" i="3" s="1"/>
  <c r="AC25" i="3"/>
  <c r="R25" i="3"/>
  <c r="Y25" i="3" s="1"/>
  <c r="AC7" i="3"/>
  <c r="R7" i="3"/>
  <c r="Y7" i="3" s="1"/>
  <c r="AK35" i="3" l="1"/>
  <c r="AI35" i="3"/>
  <c r="AJ35" i="3" s="1"/>
  <c r="AK39" i="3"/>
  <c r="AI39" i="3"/>
  <c r="AJ39" i="3" s="1"/>
  <c r="AD17" i="3"/>
  <c r="AE17" i="3" s="1"/>
  <c r="AD6" i="3"/>
  <c r="AE6" i="3" s="1"/>
  <c r="AQ35" i="3"/>
  <c r="AD29" i="3"/>
  <c r="AE29" i="3" s="1"/>
  <c r="AD12" i="3"/>
  <c r="AE12" i="3" s="1"/>
  <c r="AD7" i="3"/>
  <c r="AE7" i="3" s="1"/>
  <c r="AD22" i="3"/>
  <c r="AE22" i="3" s="1"/>
  <c r="AD25" i="3"/>
  <c r="AE25" i="3" s="1"/>
  <c r="AD26" i="3"/>
  <c r="AE26" i="3" s="1"/>
  <c r="AQ39" i="3"/>
  <c r="AL35" i="3" l="1"/>
  <c r="AN35" i="3" s="1"/>
  <c r="AK7" i="3"/>
  <c r="AI7" i="3"/>
  <c r="AJ7" i="3" s="1"/>
  <c r="AK22" i="3"/>
  <c r="AI22" i="3"/>
  <c r="AJ22" i="3" s="1"/>
  <c r="AK17" i="3"/>
  <c r="AI17" i="3"/>
  <c r="AJ17" i="3" s="1"/>
  <c r="AK29" i="3"/>
  <c r="AI29" i="3"/>
  <c r="AJ29" i="3" s="1"/>
  <c r="AK6" i="3"/>
  <c r="AI6" i="3"/>
  <c r="AJ6" i="3" s="1"/>
  <c r="AK12" i="3"/>
  <c r="AI12" i="3"/>
  <c r="AJ12" i="3" s="1"/>
  <c r="AK26" i="3"/>
  <c r="AI26" i="3"/>
  <c r="AJ26" i="3" s="1"/>
  <c r="AK25" i="3"/>
  <c r="AI25" i="3"/>
  <c r="AJ25" i="3" s="1"/>
  <c r="AQ17" i="3"/>
  <c r="AQ7" i="3"/>
  <c r="AQ29" i="3"/>
  <c r="AQ6" i="3"/>
  <c r="AQ26" i="3"/>
  <c r="AL39" i="3"/>
  <c r="AN39" i="3" s="1"/>
  <c r="AQ12" i="3"/>
  <c r="AQ22" i="3"/>
  <c r="AQ25" i="3"/>
  <c r="L59" i="3"/>
  <c r="L64" i="3"/>
  <c r="L63" i="3"/>
  <c r="L62" i="3"/>
  <c r="L61" i="3"/>
  <c r="L60" i="3"/>
  <c r="L58" i="3"/>
  <c r="L57" i="3"/>
  <c r="L56" i="3"/>
  <c r="L55" i="3"/>
  <c r="L54" i="3"/>
  <c r="L53" i="3"/>
  <c r="L52" i="3"/>
  <c r="L51" i="3"/>
  <c r="L50" i="3"/>
  <c r="L49" i="3"/>
  <c r="L47" i="3"/>
  <c r="L46" i="3"/>
  <c r="L45" i="3"/>
  <c r="L44" i="3"/>
  <c r="L43" i="3"/>
  <c r="L42" i="3"/>
  <c r="L41" i="3"/>
  <c r="L40" i="3"/>
  <c r="L38" i="3"/>
  <c r="L37" i="3"/>
  <c r="L36" i="3"/>
  <c r="L34" i="3"/>
  <c r="L33" i="3"/>
  <c r="L32" i="3"/>
  <c r="L31" i="3"/>
  <c r="L30" i="3"/>
  <c r="L28" i="3"/>
  <c r="L87" i="3"/>
  <c r="L27" i="3"/>
  <c r="L24" i="3"/>
  <c r="L23" i="3"/>
  <c r="L21" i="3"/>
  <c r="L20" i="3"/>
  <c r="L19" i="3"/>
  <c r="L18" i="3"/>
  <c r="L16" i="3"/>
  <c r="L15" i="3"/>
  <c r="L14" i="3"/>
  <c r="L13" i="3"/>
  <c r="L11" i="3"/>
  <c r="L10" i="3"/>
  <c r="L9" i="3"/>
  <c r="L8" i="3"/>
  <c r="L5" i="3"/>
  <c r="L4" i="3"/>
  <c r="AO3" i="3"/>
  <c r="AO83" i="3" s="1"/>
  <c r="P3" i="3"/>
  <c r="N3" i="3"/>
  <c r="O3" i="3" s="1"/>
  <c r="O83" i="3" s="1"/>
  <c r="L3" i="3"/>
  <c r="AL17" i="3" l="1"/>
  <c r="AN17" i="3" s="1"/>
  <c r="AL6" i="3"/>
  <c r="AN6" i="3" s="1"/>
  <c r="AL22" i="3"/>
  <c r="AN22" i="3" s="1"/>
  <c r="AL26" i="3"/>
  <c r="AN26" i="3" s="1"/>
  <c r="AL12" i="3"/>
  <c r="AN12" i="3" s="1"/>
  <c r="AL29" i="3"/>
  <c r="AN29" i="3" s="1"/>
  <c r="AL25" i="3"/>
  <c r="AN25" i="3" s="1"/>
  <c r="AL7" i="3"/>
  <c r="AN7" i="3" s="1"/>
  <c r="L83" i="3"/>
  <c r="Q42" i="3"/>
  <c r="W42" i="3"/>
  <c r="Q43" i="3"/>
  <c r="W43" i="3"/>
  <c r="Q14" i="3"/>
  <c r="W14" i="3"/>
  <c r="Q40" i="3"/>
  <c r="W40" i="3"/>
  <c r="Q53" i="3"/>
  <c r="W53" i="3"/>
  <c r="Q64" i="3"/>
  <c r="W64" i="3"/>
  <c r="Q15" i="3"/>
  <c r="R15" i="3" s="1"/>
  <c r="Y15" i="3" s="1"/>
  <c r="W15" i="3"/>
  <c r="Q87" i="3"/>
  <c r="W87" i="3"/>
  <c r="Q41" i="3"/>
  <c r="W41" i="3"/>
  <c r="Q54" i="3"/>
  <c r="W54" i="3"/>
  <c r="Q59" i="3"/>
  <c r="W59" i="3"/>
  <c r="Q16" i="3"/>
  <c r="W16" i="3"/>
  <c r="Q18" i="3"/>
  <c r="W18" i="3"/>
  <c r="Q5" i="3"/>
  <c r="W5" i="3"/>
  <c r="Q19" i="3"/>
  <c r="W19" i="3"/>
  <c r="Q30" i="3"/>
  <c r="W30" i="3"/>
  <c r="Q44" i="3"/>
  <c r="W44" i="3"/>
  <c r="Q57" i="3"/>
  <c r="R57" i="3" s="1"/>
  <c r="Y57" i="3" s="1"/>
  <c r="W57" i="3"/>
  <c r="Q28" i="3"/>
  <c r="W28" i="3"/>
  <c r="Q4" i="3"/>
  <c r="W4" i="3"/>
  <c r="Q8" i="3"/>
  <c r="W8" i="3"/>
  <c r="Q20" i="3"/>
  <c r="W20" i="3"/>
  <c r="Q31" i="3"/>
  <c r="W31" i="3"/>
  <c r="Q45" i="3"/>
  <c r="W45" i="3"/>
  <c r="Q58" i="3"/>
  <c r="W58" i="3"/>
  <c r="Q55" i="3"/>
  <c r="W55" i="3"/>
  <c r="Q56" i="3"/>
  <c r="W56" i="3"/>
  <c r="Q9" i="3"/>
  <c r="W9" i="3"/>
  <c r="Q32" i="3"/>
  <c r="W32" i="3"/>
  <c r="Q46" i="3"/>
  <c r="W46" i="3"/>
  <c r="Q10" i="3"/>
  <c r="W10" i="3"/>
  <c r="Q33" i="3"/>
  <c r="W33" i="3"/>
  <c r="Q47" i="3"/>
  <c r="W47" i="3"/>
  <c r="Q11" i="3"/>
  <c r="W11" i="3"/>
  <c r="Q21" i="3"/>
  <c r="W21" i="3"/>
  <c r="Q34" i="3"/>
  <c r="W34" i="3"/>
  <c r="Q49" i="3"/>
  <c r="W49" i="3"/>
  <c r="Q60" i="3"/>
  <c r="W60" i="3"/>
  <c r="Q13" i="3"/>
  <c r="W13" i="3"/>
  <c r="Q23" i="3"/>
  <c r="W23" i="3"/>
  <c r="Q36" i="3"/>
  <c r="W36" i="3"/>
  <c r="Q50" i="3"/>
  <c r="W50" i="3"/>
  <c r="Q61" i="3"/>
  <c r="W61" i="3"/>
  <c r="Q24" i="3"/>
  <c r="W24" i="3"/>
  <c r="Q37" i="3"/>
  <c r="W37" i="3"/>
  <c r="Q51" i="3"/>
  <c r="W51" i="3"/>
  <c r="Q62" i="3"/>
  <c r="W62" i="3"/>
  <c r="Q27" i="3"/>
  <c r="W27" i="3"/>
  <c r="Q38" i="3"/>
  <c r="W38" i="3"/>
  <c r="Q52" i="3"/>
  <c r="W52" i="3"/>
  <c r="Q63" i="3"/>
  <c r="W63" i="3"/>
  <c r="AA3" i="3"/>
  <c r="AA83" i="3" s="1"/>
  <c r="S3" i="3"/>
  <c r="U3" i="3" s="1"/>
  <c r="U83" i="3" s="1"/>
  <c r="Q3" i="3"/>
  <c r="AC15" i="3" l="1"/>
  <c r="AD15" i="3" s="1"/>
  <c r="AE15" i="3" s="1"/>
  <c r="AC16" i="3"/>
  <c r="R16" i="3"/>
  <c r="Y16" i="3" s="1"/>
  <c r="AC32" i="3"/>
  <c r="R32" i="3"/>
  <c r="Y32" i="3" s="1"/>
  <c r="AC64" i="3"/>
  <c r="R64" i="3"/>
  <c r="Y64" i="3" s="1"/>
  <c r="AC47" i="3"/>
  <c r="R47" i="3"/>
  <c r="Y47" i="3" s="1"/>
  <c r="AC57" i="3"/>
  <c r="AD57" i="3" s="1"/>
  <c r="AE57" i="3" s="1"/>
  <c r="AC49" i="3"/>
  <c r="R49" i="3"/>
  <c r="Y49" i="3" s="1"/>
  <c r="AC13" i="3"/>
  <c r="R13" i="3"/>
  <c r="Y13" i="3" s="1"/>
  <c r="AC27" i="3"/>
  <c r="R27" i="3"/>
  <c r="Y27" i="3" s="1"/>
  <c r="AC44" i="3"/>
  <c r="R44" i="3"/>
  <c r="Y44" i="3" s="1"/>
  <c r="AC30" i="3"/>
  <c r="R30" i="3"/>
  <c r="Y30" i="3" s="1"/>
  <c r="AC34" i="3"/>
  <c r="R34" i="3"/>
  <c r="Y34" i="3" s="1"/>
  <c r="AC56" i="3"/>
  <c r="R56" i="3"/>
  <c r="Y56" i="3" s="1"/>
  <c r="AC8" i="3"/>
  <c r="R8" i="3"/>
  <c r="Y8" i="3" s="1"/>
  <c r="AC19" i="3"/>
  <c r="R19" i="3"/>
  <c r="Y19" i="3" s="1"/>
  <c r="AC41" i="3"/>
  <c r="R41" i="3"/>
  <c r="Y41" i="3" s="1"/>
  <c r="AC14" i="3"/>
  <c r="R14" i="3"/>
  <c r="Y14" i="3" s="1"/>
  <c r="AC53" i="3"/>
  <c r="R53" i="3"/>
  <c r="Y53" i="3" s="1"/>
  <c r="AC40" i="3"/>
  <c r="R40" i="3"/>
  <c r="Y40" i="3" s="1"/>
  <c r="AC24" i="3"/>
  <c r="R24" i="3"/>
  <c r="Y24" i="3" s="1"/>
  <c r="AC60" i="3"/>
  <c r="R60" i="3"/>
  <c r="Y60" i="3" s="1"/>
  <c r="AC31" i="3"/>
  <c r="R31" i="3"/>
  <c r="Y31" i="3" s="1"/>
  <c r="AC20" i="3"/>
  <c r="R20" i="3"/>
  <c r="Y20" i="3" s="1"/>
  <c r="AC62" i="3"/>
  <c r="R62" i="3"/>
  <c r="Y62" i="3" s="1"/>
  <c r="AC63" i="3"/>
  <c r="R63" i="3"/>
  <c r="Y63" i="3" s="1"/>
  <c r="AC55" i="3"/>
  <c r="R55" i="3"/>
  <c r="Y55" i="3" s="1"/>
  <c r="AC87" i="3"/>
  <c r="R87" i="3"/>
  <c r="Y87" i="3" s="1"/>
  <c r="AC52" i="3"/>
  <c r="R52" i="3"/>
  <c r="Y52" i="3" s="1"/>
  <c r="AC37" i="3"/>
  <c r="R37" i="3"/>
  <c r="Y37" i="3" s="1"/>
  <c r="AC23" i="3"/>
  <c r="R23" i="3"/>
  <c r="Y23" i="3" s="1"/>
  <c r="AC11" i="3"/>
  <c r="R11" i="3"/>
  <c r="Y11" i="3" s="1"/>
  <c r="AC46" i="3"/>
  <c r="R46" i="3"/>
  <c r="Y46" i="3" s="1"/>
  <c r="AC58" i="3"/>
  <c r="R58" i="3"/>
  <c r="Y58" i="3" s="1"/>
  <c r="AC28" i="3"/>
  <c r="R28" i="3"/>
  <c r="Y28" i="3" s="1"/>
  <c r="AC18" i="3"/>
  <c r="R18" i="3"/>
  <c r="Y18" i="3" s="1"/>
  <c r="AC42" i="3"/>
  <c r="R42" i="3"/>
  <c r="Y42" i="3" s="1"/>
  <c r="AC38" i="3"/>
  <c r="R38" i="3"/>
  <c r="Y38" i="3" s="1"/>
  <c r="AC45" i="3"/>
  <c r="R45" i="3"/>
  <c r="Y45" i="3" s="1"/>
  <c r="AC59" i="3"/>
  <c r="R59" i="3"/>
  <c r="Y59" i="3" s="1"/>
  <c r="AC61" i="3"/>
  <c r="R61" i="3"/>
  <c r="Y61" i="3" s="1"/>
  <c r="AC33" i="3"/>
  <c r="R33" i="3"/>
  <c r="Y33" i="3" s="1"/>
  <c r="AC9" i="3"/>
  <c r="R9" i="3"/>
  <c r="Y9" i="3" s="1"/>
  <c r="AC54" i="3"/>
  <c r="R54" i="3"/>
  <c r="Y54" i="3" s="1"/>
  <c r="AC50" i="3"/>
  <c r="R50" i="3"/>
  <c r="Y50" i="3" s="1"/>
  <c r="AC51" i="3"/>
  <c r="R51" i="3"/>
  <c r="Y51" i="3" s="1"/>
  <c r="AC36" i="3"/>
  <c r="R36" i="3"/>
  <c r="Y36" i="3" s="1"/>
  <c r="AC21" i="3"/>
  <c r="R21" i="3"/>
  <c r="Y21" i="3" s="1"/>
  <c r="AC10" i="3"/>
  <c r="R10" i="3"/>
  <c r="Y10" i="3" s="1"/>
  <c r="AC4" i="3"/>
  <c r="R4" i="3"/>
  <c r="Y4" i="3" s="1"/>
  <c r="AC5" i="3"/>
  <c r="R5" i="3"/>
  <c r="Y5" i="3" s="1"/>
  <c r="AC43" i="3"/>
  <c r="R43" i="3"/>
  <c r="Y43" i="3" s="1"/>
  <c r="AC3" i="3"/>
  <c r="R3" i="3"/>
  <c r="Y3" i="3" s="1"/>
  <c r="AD3" i="3" s="1"/>
  <c r="W3" i="3"/>
  <c r="W83" i="3" s="1"/>
  <c r="AK57" i="3" l="1"/>
  <c r="AI57" i="3"/>
  <c r="AJ57" i="3" s="1"/>
  <c r="AK15" i="3"/>
  <c r="AI15" i="3"/>
  <c r="AJ15" i="3" s="1"/>
  <c r="AQ15" i="3"/>
  <c r="AD54" i="3"/>
  <c r="AE54" i="3" s="1"/>
  <c r="AD16" i="3"/>
  <c r="AE16" i="3" s="1"/>
  <c r="AD32" i="3"/>
  <c r="AE32" i="3" s="1"/>
  <c r="AC83" i="3"/>
  <c r="AD21" i="3"/>
  <c r="AE21" i="3" s="1"/>
  <c r="AD33" i="3"/>
  <c r="AE33" i="3" s="1"/>
  <c r="AD18" i="3"/>
  <c r="AE18" i="3" s="1"/>
  <c r="AD37" i="3"/>
  <c r="AE37" i="3" s="1"/>
  <c r="AD20" i="3"/>
  <c r="AE20" i="3" s="1"/>
  <c r="AD56" i="3"/>
  <c r="AE56" i="3" s="1"/>
  <c r="AD49" i="3"/>
  <c r="AE49" i="3" s="1"/>
  <c r="Y83" i="3"/>
  <c r="AD61" i="3"/>
  <c r="AE61" i="3" s="1"/>
  <c r="AD47" i="3"/>
  <c r="AE47" i="3" s="1"/>
  <c r="AD59" i="3"/>
  <c r="AE59" i="3" s="1"/>
  <c r="AD87" i="3"/>
  <c r="AE87" i="3" s="1"/>
  <c r="AD60" i="3"/>
  <c r="AE60" i="3" s="1"/>
  <c r="AD30" i="3"/>
  <c r="AE30" i="3" s="1"/>
  <c r="AD31" i="3"/>
  <c r="AE31" i="3" s="1"/>
  <c r="AD36" i="3"/>
  <c r="AE36" i="3" s="1"/>
  <c r="AD51" i="3"/>
  <c r="AE51" i="3" s="1"/>
  <c r="AD14" i="3"/>
  <c r="AE14" i="3" s="1"/>
  <c r="AD5" i="3"/>
  <c r="AE5" i="3" s="1"/>
  <c r="AD50" i="3"/>
  <c r="AE50" i="3" s="1"/>
  <c r="AD45" i="3"/>
  <c r="AE45" i="3" s="1"/>
  <c r="AD46" i="3"/>
  <c r="AE46" i="3" s="1"/>
  <c r="AD55" i="3"/>
  <c r="AE55" i="3" s="1"/>
  <c r="AD24" i="3"/>
  <c r="AE24" i="3" s="1"/>
  <c r="AD41" i="3"/>
  <c r="AE41" i="3" s="1"/>
  <c r="AD44" i="3"/>
  <c r="AE44" i="3" s="1"/>
  <c r="AD28" i="3"/>
  <c r="AE28" i="3" s="1"/>
  <c r="AD58" i="3"/>
  <c r="AE58" i="3" s="1"/>
  <c r="AD64" i="3"/>
  <c r="AE64" i="3" s="1"/>
  <c r="AD52" i="3"/>
  <c r="AE52" i="3" s="1"/>
  <c r="AD11" i="3"/>
  <c r="AE11" i="3" s="1"/>
  <c r="AD63" i="3"/>
  <c r="AE63" i="3" s="1"/>
  <c r="AD40" i="3"/>
  <c r="AE40" i="3" s="1"/>
  <c r="AD19" i="3"/>
  <c r="AE19" i="3" s="1"/>
  <c r="AD27" i="3"/>
  <c r="AE27" i="3" s="1"/>
  <c r="AD34" i="3"/>
  <c r="AE34" i="3" s="1"/>
  <c r="AD43" i="3"/>
  <c r="AE43" i="3" s="1"/>
  <c r="AD4" i="3"/>
  <c r="AE4" i="3" s="1"/>
  <c r="AD38" i="3"/>
  <c r="AE38" i="3" s="1"/>
  <c r="AD10" i="3"/>
  <c r="AE10" i="3" s="1"/>
  <c r="AD9" i="3"/>
  <c r="AE9" i="3" s="1"/>
  <c r="AD42" i="3"/>
  <c r="AE42" i="3" s="1"/>
  <c r="AD23" i="3"/>
  <c r="AE23" i="3" s="1"/>
  <c r="AD62" i="3"/>
  <c r="AE62" i="3" s="1"/>
  <c r="AD53" i="3"/>
  <c r="AE53" i="3" s="1"/>
  <c r="AD8" i="3"/>
  <c r="AE8" i="3" s="1"/>
  <c r="AD13" i="3"/>
  <c r="AE13" i="3" s="1"/>
  <c r="AL15" i="3"/>
  <c r="AN15" i="3" s="1"/>
  <c r="AQ48" i="3"/>
  <c r="AQ57" i="3"/>
  <c r="AE3" i="3"/>
  <c r="AK21" i="3" l="1"/>
  <c r="AI21" i="3"/>
  <c r="AJ21" i="3" s="1"/>
  <c r="AK28" i="3"/>
  <c r="AI28" i="3"/>
  <c r="AJ28" i="3" s="1"/>
  <c r="AK30" i="3"/>
  <c r="AI30" i="3"/>
  <c r="AJ30" i="3" s="1"/>
  <c r="AK59" i="3"/>
  <c r="AI59" i="3"/>
  <c r="AJ59" i="3" s="1"/>
  <c r="AK8" i="3"/>
  <c r="AI8" i="3"/>
  <c r="AJ8" i="3" s="1"/>
  <c r="AK19" i="3"/>
  <c r="AI19" i="3"/>
  <c r="AJ19" i="3" s="1"/>
  <c r="AK46" i="3"/>
  <c r="AI46" i="3"/>
  <c r="AJ46" i="3" s="1"/>
  <c r="AK47" i="3"/>
  <c r="AI47" i="3"/>
  <c r="AJ47" i="3" s="1"/>
  <c r="AK16" i="3"/>
  <c r="AI16" i="3"/>
  <c r="AJ16" i="3" s="1"/>
  <c r="AK40" i="3"/>
  <c r="AI40" i="3"/>
  <c r="AJ40" i="3" s="1"/>
  <c r="AK62" i="3"/>
  <c r="AI62" i="3"/>
  <c r="AJ62" i="3" s="1"/>
  <c r="AK5" i="3"/>
  <c r="AI5" i="3"/>
  <c r="AJ5" i="3" s="1"/>
  <c r="AK18" i="3"/>
  <c r="AI18" i="3"/>
  <c r="AJ18" i="3" s="1"/>
  <c r="AK4" i="3"/>
  <c r="AI4" i="3"/>
  <c r="AJ4" i="3" s="1"/>
  <c r="AK60" i="3"/>
  <c r="AI60" i="3"/>
  <c r="AJ60" i="3" s="1"/>
  <c r="AK24" i="3"/>
  <c r="AI24" i="3"/>
  <c r="AJ24" i="3" s="1"/>
  <c r="AK27" i="3"/>
  <c r="AI27" i="3"/>
  <c r="AJ27" i="3" s="1"/>
  <c r="AK53" i="3"/>
  <c r="AI53" i="3"/>
  <c r="AJ53" i="3" s="1"/>
  <c r="AK61" i="3"/>
  <c r="AI61" i="3"/>
  <c r="AJ61" i="3" s="1"/>
  <c r="AK50" i="3"/>
  <c r="AI50" i="3"/>
  <c r="AJ50" i="3" s="1"/>
  <c r="AK11" i="3"/>
  <c r="AI11" i="3"/>
  <c r="AJ11" i="3" s="1"/>
  <c r="AK14" i="3"/>
  <c r="AI14" i="3"/>
  <c r="AJ14" i="3" s="1"/>
  <c r="AK56" i="3"/>
  <c r="AI56" i="3"/>
  <c r="AJ56" i="3" s="1"/>
  <c r="AK31" i="3"/>
  <c r="AI31" i="3"/>
  <c r="AJ31" i="3" s="1"/>
  <c r="AK44" i="3"/>
  <c r="AI44" i="3"/>
  <c r="AJ44" i="3" s="1"/>
  <c r="AK41" i="3"/>
  <c r="AI41" i="3"/>
  <c r="AJ41" i="3" s="1"/>
  <c r="AK87" i="3"/>
  <c r="AI87" i="3"/>
  <c r="AJ87" i="3" s="1"/>
  <c r="AK55" i="3"/>
  <c r="AI55" i="3"/>
  <c r="AJ55" i="3" s="1"/>
  <c r="AK23" i="3"/>
  <c r="AI23" i="3"/>
  <c r="AJ23" i="3" s="1"/>
  <c r="AK49" i="3"/>
  <c r="AI49" i="3"/>
  <c r="AJ49" i="3" s="1"/>
  <c r="AK38" i="3"/>
  <c r="AI38" i="3"/>
  <c r="AJ38" i="3" s="1"/>
  <c r="AK33" i="3"/>
  <c r="AI33" i="3"/>
  <c r="AJ33" i="3" s="1"/>
  <c r="AK43" i="3"/>
  <c r="AI43" i="3"/>
  <c r="AJ43" i="3" s="1"/>
  <c r="AK34" i="3"/>
  <c r="AI34" i="3"/>
  <c r="AJ34" i="3" s="1"/>
  <c r="AK13" i="3"/>
  <c r="AI13" i="3"/>
  <c r="AJ13" i="3" s="1"/>
  <c r="AK32" i="3"/>
  <c r="AI32" i="3"/>
  <c r="AJ32" i="3" s="1"/>
  <c r="AK45" i="3"/>
  <c r="AI45" i="3"/>
  <c r="AJ45" i="3" s="1"/>
  <c r="AK54" i="3"/>
  <c r="AI54" i="3"/>
  <c r="AJ54" i="3" s="1"/>
  <c r="AK63" i="3"/>
  <c r="AI63" i="3"/>
  <c r="AJ63" i="3" s="1"/>
  <c r="AK42" i="3"/>
  <c r="AI42" i="3"/>
  <c r="AJ42" i="3" s="1"/>
  <c r="AK52" i="3"/>
  <c r="AI52" i="3"/>
  <c r="AJ52" i="3" s="1"/>
  <c r="AK9" i="3"/>
  <c r="AI9" i="3"/>
  <c r="AJ9" i="3" s="1"/>
  <c r="AK64" i="3"/>
  <c r="AI64" i="3"/>
  <c r="AJ64" i="3" s="1"/>
  <c r="AK51" i="3"/>
  <c r="AI51" i="3"/>
  <c r="AJ51" i="3" s="1"/>
  <c r="AK20" i="3"/>
  <c r="AI20" i="3"/>
  <c r="AJ20" i="3" s="1"/>
  <c r="AK10" i="3"/>
  <c r="AI10" i="3"/>
  <c r="AJ10" i="3" s="1"/>
  <c r="AK58" i="3"/>
  <c r="AI58" i="3"/>
  <c r="AJ58" i="3" s="1"/>
  <c r="AK36" i="3"/>
  <c r="AI36" i="3"/>
  <c r="AJ36" i="3" s="1"/>
  <c r="AK37" i="3"/>
  <c r="AI37" i="3"/>
  <c r="AJ37" i="3" s="1"/>
  <c r="AL57" i="3"/>
  <c r="AN57" i="3" s="1"/>
  <c r="AQ13" i="3"/>
  <c r="AQ59" i="3"/>
  <c r="AQ87" i="3"/>
  <c r="AQ47" i="3"/>
  <c r="AQ63" i="3"/>
  <c r="AQ61" i="3"/>
  <c r="AQ5" i="3"/>
  <c r="AQ52" i="3"/>
  <c r="AQ9" i="3"/>
  <c r="AQ28" i="3"/>
  <c r="AQ20" i="3"/>
  <c r="AQ33" i="3"/>
  <c r="AQ27" i="3"/>
  <c r="AQ55" i="3"/>
  <c r="AQ45" i="3"/>
  <c r="AQ16" i="3"/>
  <c r="AQ49" i="3"/>
  <c r="AQ51" i="3"/>
  <c r="AQ58" i="3"/>
  <c r="AQ34" i="3"/>
  <c r="AQ21" i="3"/>
  <c r="AQ8" i="3"/>
  <c r="AQ53" i="3"/>
  <c r="AQ50" i="3"/>
  <c r="AQ11" i="3"/>
  <c r="AQ10" i="3"/>
  <c r="AQ24" i="3"/>
  <c r="AQ60" i="3"/>
  <c r="AQ18" i="3"/>
  <c r="AQ54" i="3"/>
  <c r="AQ32" i="3"/>
  <c r="AD83" i="3"/>
  <c r="AQ36" i="3"/>
  <c r="AE83" i="3"/>
  <c r="AQ44" i="3"/>
  <c r="AQ62" i="3"/>
  <c r="AQ38" i="3"/>
  <c r="AQ31" i="3"/>
  <c r="AQ43" i="3"/>
  <c r="AQ37" i="3"/>
  <c r="AQ40" i="3"/>
  <c r="AQ41" i="3"/>
  <c r="AQ46" i="3"/>
  <c r="AQ19" i="3"/>
  <c r="AQ64" i="3"/>
  <c r="AQ4" i="3"/>
  <c r="AQ14" i="3"/>
  <c r="AQ30" i="3"/>
  <c r="AQ56" i="3"/>
  <c r="AQ23" i="3"/>
  <c r="AQ42" i="3"/>
  <c r="AQ3" i="3"/>
  <c r="AK3" i="3"/>
  <c r="AI3" i="3"/>
  <c r="AJ3" i="3" s="1"/>
  <c r="AL50" i="3" l="1"/>
  <c r="AN50" i="3" s="1"/>
  <c r="AL32" i="3"/>
  <c r="AN32" i="3" s="1"/>
  <c r="AL16" i="3"/>
  <c r="AN16" i="3" s="1"/>
  <c r="AL54" i="3"/>
  <c r="AN54" i="3" s="1"/>
  <c r="AL61" i="3"/>
  <c r="AN61" i="3" s="1"/>
  <c r="AL64" i="3"/>
  <c r="AN64" i="3" s="1"/>
  <c r="AL9" i="3"/>
  <c r="AN9" i="3" s="1"/>
  <c r="AL59" i="3"/>
  <c r="AN59" i="3" s="1"/>
  <c r="AL4" i="3"/>
  <c r="AN4" i="3" s="1"/>
  <c r="AL55" i="3"/>
  <c r="AN55" i="3" s="1"/>
  <c r="AL37" i="3"/>
  <c r="AN37" i="3" s="1"/>
  <c r="AL56" i="3"/>
  <c r="AN56" i="3" s="1"/>
  <c r="AL36" i="3"/>
  <c r="AN36" i="3" s="1"/>
  <c r="AL52" i="3"/>
  <c r="AN52" i="3" s="1"/>
  <c r="AL11" i="3"/>
  <c r="AN11" i="3" s="1"/>
  <c r="AL53" i="3"/>
  <c r="AN53" i="3" s="1"/>
  <c r="AL33" i="3"/>
  <c r="AN33" i="3" s="1"/>
  <c r="AL24" i="3"/>
  <c r="AN24" i="3" s="1"/>
  <c r="AL28" i="3"/>
  <c r="AN28" i="3" s="1"/>
  <c r="AL40" i="3"/>
  <c r="AN40" i="3" s="1"/>
  <c r="AL44" i="3"/>
  <c r="AN44" i="3" s="1"/>
  <c r="AL38" i="3"/>
  <c r="AN38" i="3" s="1"/>
  <c r="AL47" i="3"/>
  <c r="AN47" i="3" s="1"/>
  <c r="AL45" i="3"/>
  <c r="AN45" i="3" s="1"/>
  <c r="AL42" i="3"/>
  <c r="AN42" i="3" s="1"/>
  <c r="AL14" i="3"/>
  <c r="AN14" i="3" s="1"/>
  <c r="AL58" i="3"/>
  <c r="AN58" i="3" s="1"/>
  <c r="AL20" i="3"/>
  <c r="AN20" i="3" s="1"/>
  <c r="AL5" i="3"/>
  <c r="AN5" i="3" s="1"/>
  <c r="AL43" i="3"/>
  <c r="AN43" i="3" s="1"/>
  <c r="AL51" i="3"/>
  <c r="AN51" i="3" s="1"/>
  <c r="AL31" i="3"/>
  <c r="AN31" i="3" s="1"/>
  <c r="AL63" i="3"/>
  <c r="AN63" i="3" s="1"/>
  <c r="AL87" i="3"/>
  <c r="AN87" i="3" s="1"/>
  <c r="AL8" i="3"/>
  <c r="AN8" i="3" s="1"/>
  <c r="AL27" i="3"/>
  <c r="AN27" i="3" s="1"/>
  <c r="AL18" i="3"/>
  <c r="AN18" i="3" s="1"/>
  <c r="AL21" i="3"/>
  <c r="AN21" i="3" s="1"/>
  <c r="AL41" i="3"/>
  <c r="AN41" i="3" s="1"/>
  <c r="AL60" i="3"/>
  <c r="AN60" i="3" s="1"/>
  <c r="AL23" i="3"/>
  <c r="AN23" i="3" s="1"/>
  <c r="AL30" i="3"/>
  <c r="AN30" i="3" s="1"/>
  <c r="AL49" i="3"/>
  <c r="AN49" i="3" s="1"/>
  <c r="AL62" i="3"/>
  <c r="AN62" i="3" s="1"/>
  <c r="AL34" i="3"/>
  <c r="AN34" i="3" s="1"/>
  <c r="AL13" i="3"/>
  <c r="AN13" i="3" s="1"/>
  <c r="AJ83" i="3"/>
  <c r="AL10" i="3"/>
  <c r="AN10" i="3" s="1"/>
  <c r="AL46" i="3"/>
  <c r="AN46" i="3" s="1"/>
  <c r="AK83" i="3"/>
  <c r="AQ83" i="3"/>
  <c r="E92" i="3" s="1"/>
  <c r="AL19" i="3"/>
  <c r="AN19" i="3" s="1"/>
  <c r="AL3" i="3"/>
  <c r="AL83" i="3" l="1"/>
  <c r="AN3" i="3"/>
  <c r="AN83" i="3" s="1"/>
  <c r="E91" i="3" l="1"/>
</calcChain>
</file>

<file path=xl/sharedStrings.xml><?xml version="1.0" encoding="utf-8"?>
<sst xmlns="http://schemas.openxmlformats.org/spreadsheetml/2006/main" count="622" uniqueCount="380">
  <si>
    <t>Bonus</t>
  </si>
  <si>
    <t xml:space="preserve">الاجمالى </t>
  </si>
  <si>
    <t>Name</t>
  </si>
  <si>
    <t>Basic</t>
  </si>
  <si>
    <t>Transportation</t>
  </si>
  <si>
    <t>Total Target</t>
  </si>
  <si>
    <t>Daily transfer value</t>
  </si>
  <si>
    <t>Daily wage</t>
  </si>
  <si>
    <t>hourly wage rate</t>
  </si>
  <si>
    <t>Number of hours</t>
  </si>
  <si>
    <t>Overtime</t>
  </si>
  <si>
    <t>Title</t>
  </si>
  <si>
    <t>Advance</t>
  </si>
  <si>
    <t>Absence value</t>
  </si>
  <si>
    <t>Total deducted</t>
  </si>
  <si>
    <t>tax</t>
  </si>
  <si>
    <t>Martyrs</t>
  </si>
  <si>
    <t>Net salary</t>
  </si>
  <si>
    <t>Net</t>
  </si>
  <si>
    <t>Employee Insurance</t>
  </si>
  <si>
    <t>Company Insurance</t>
  </si>
  <si>
    <t>Insurance salary</t>
  </si>
  <si>
    <t>Target value</t>
  </si>
  <si>
    <t>Target rate</t>
  </si>
  <si>
    <t>Absence days</t>
  </si>
  <si>
    <t>Transportation days</t>
  </si>
  <si>
    <t xml:space="preserve"> National ID</t>
  </si>
  <si>
    <t>Stop Salary</t>
  </si>
  <si>
    <t>Gross</t>
  </si>
  <si>
    <t>Penalty Days</t>
  </si>
  <si>
    <t>Penalties value</t>
  </si>
  <si>
    <t>Branch</t>
  </si>
  <si>
    <t>ID</t>
  </si>
  <si>
    <t>Target Days</t>
  </si>
  <si>
    <t>Target wage</t>
  </si>
  <si>
    <t>Transfer Account Number</t>
  </si>
  <si>
    <t>Transfer Account Type</t>
  </si>
  <si>
    <t>Wallet</t>
  </si>
  <si>
    <t>Total Salaries</t>
  </si>
  <si>
    <t>اعفاء شخصى (20000ج سنويا)</t>
  </si>
  <si>
    <t>الوعاء السنوي</t>
  </si>
  <si>
    <t>Annual Balance</t>
  </si>
  <si>
    <t>Basic wage</t>
  </si>
  <si>
    <t>Salary Differences</t>
  </si>
  <si>
    <t>Cost</t>
  </si>
  <si>
    <t>Total Cost</t>
  </si>
  <si>
    <t>Office Helper</t>
  </si>
  <si>
    <t>Dopay</t>
  </si>
  <si>
    <t>Aishaa Ibrahim Mahmoud Mohamed</t>
  </si>
  <si>
    <t>Alaa Mahmoud sayed Ahmed</t>
  </si>
  <si>
    <t>Alaa Mohamed Amin Ahmed Alndaf</t>
  </si>
  <si>
    <t>Amaal Abd El Tawab Zayed</t>
  </si>
  <si>
    <t>Amira Abd El Naser Awad Salman</t>
  </si>
  <si>
    <t>Asmaa Kamal Abdallah Awad</t>
  </si>
  <si>
    <t>Dalia Khaled Abd El Azim Mohamed</t>
  </si>
  <si>
    <t>Doaa Gamal Mohamed Mansour</t>
  </si>
  <si>
    <t>Donia Abd El Gawad Abdallah Abd ElAziz</t>
  </si>
  <si>
    <t>Ebtsam Mohamed Mahmoud Tawfek</t>
  </si>
  <si>
    <t>El Safaa Ahmed Mohamed Abdeen</t>
  </si>
  <si>
    <t>Esraa Hesham shaban Hussien</t>
  </si>
  <si>
    <t>Esraa Magdy Mohamed Gabr</t>
  </si>
  <si>
    <t>Esraa Mohamed gad abass</t>
  </si>
  <si>
    <t>Esraa Mohamed Mahmoud Hussein</t>
  </si>
  <si>
    <t>Esraa Mohamed Ramadan Attia</t>
  </si>
  <si>
    <t>Esraa Sayed Thabet Mohamed</t>
  </si>
  <si>
    <t>Fares Mohamed abd al ghine</t>
  </si>
  <si>
    <t>Hala Atef Khalaf Sadek</t>
  </si>
  <si>
    <t>Hassan Gamal Sayed Hassan</t>
  </si>
  <si>
    <t>Hesham Ibrahim Ail Ibrahim</t>
  </si>
  <si>
    <t>Karen Maher Samoil Wassef</t>
  </si>
  <si>
    <t>Kenzy Amr Mostafa Ahmed</t>
  </si>
  <si>
    <t>Magy Merzik Fawzy Matta</t>
  </si>
  <si>
    <t>Mahmoud Yousry Motwakel Youssef</t>
  </si>
  <si>
    <t>Mai Abd El Kareem Mohamed Mahmoud</t>
  </si>
  <si>
    <t>Mai Ahmed Abo El Magd Mohamed Mohamed</t>
  </si>
  <si>
    <t>Malak Saeed Mohamed Yassen</t>
  </si>
  <si>
    <t>Manal Sayed Gaber Hassan</t>
  </si>
  <si>
    <t>Mariam Gamil Bekheet Botros</t>
  </si>
  <si>
    <t>Marim Abdelkarim Mohamed</t>
  </si>
  <si>
    <t>Marlin Mamdouh Thabet Gad ELSayed</t>
  </si>
  <si>
    <t>Marwa Mohamed Amin Elshayb</t>
  </si>
  <si>
    <t>Mazen Mohamed Safwat Mohamed</t>
  </si>
  <si>
    <t>Menna Allah Ahmed Hanfy</t>
  </si>
  <si>
    <t>Mohamed Abd El Aziz Kalf Allah Mahrous</t>
  </si>
  <si>
    <t>Mohamed ElSayed Fouad Hassan</t>
  </si>
  <si>
    <t>Mohamed Nasser Helmy Zaki</t>
  </si>
  <si>
    <t>Mohamed Saad Saied kamel</t>
  </si>
  <si>
    <t>Mostafa Mohamed Zaki Alhasad</t>
  </si>
  <si>
    <t>Nada Ahmed Abd El Fatah Abdelaziz</t>
  </si>
  <si>
    <t>Nada Essam Hussein Abdallah</t>
  </si>
  <si>
    <t>Nada Mohamed Abd Elhady Ismail</t>
  </si>
  <si>
    <t>Nada Mohi El Deen Kamal El Deen</t>
  </si>
  <si>
    <t>Neven Mohsen Naiem Habil</t>
  </si>
  <si>
    <t>Nourhan Ahmed Abd El Hamid Ahmed</t>
  </si>
  <si>
    <t>Omnia Ahmed Ali Ahmed</t>
  </si>
  <si>
    <t>Omnia Gamal Mohamed Hassan</t>
  </si>
  <si>
    <t>Raghda Hanafy Mahmoud Helal</t>
  </si>
  <si>
    <t>Rahel Botros Adly Benshoy</t>
  </si>
  <si>
    <t>Rahma Mohamed Ali Mahmoud</t>
  </si>
  <si>
    <t>Rania Hussein Abdel-Rizk Mohamed</t>
  </si>
  <si>
    <t>Sabreen Samir Ibrahim nazer</t>
  </si>
  <si>
    <t>Sadya Hassan Mahmoud Zahran</t>
  </si>
  <si>
    <t>Sahar Abd El Monaem Ali Hamed</t>
  </si>
  <si>
    <t>Sahar Ashraf Abd El Hamid Eid</t>
  </si>
  <si>
    <t>Samar Ahmed Hassan Nasr</t>
  </si>
  <si>
    <t>Sara Khaled mohamed Ali</t>
  </si>
  <si>
    <t>Sarah Lotfy Farouk Lotfy</t>
  </si>
  <si>
    <t>Shahd El Sayed Adly El Sayed</t>
  </si>
  <si>
    <t>Shaimaa Adel Ragab Mohamed</t>
  </si>
  <si>
    <t>Shimaa Hanafy Mahmoud Helal</t>
  </si>
  <si>
    <t>Shorouk Ali Abd Elhady Ali</t>
  </si>
  <si>
    <t>Toaa Saleh Fathy Mohamed</t>
  </si>
  <si>
    <t>Yara Ramadan Mohamed Fares</t>
  </si>
  <si>
    <t>Yasmine Ramadan Abbas Ali</t>
  </si>
  <si>
    <t>Youstina Tarek Zaghalol Gerges</t>
  </si>
  <si>
    <t>Zeinab Saber Hanafi El Sayed</t>
  </si>
  <si>
    <t>Sally Michel Saven Nazeer</t>
  </si>
  <si>
    <t>Hadeer Ayman Ali Farag</t>
  </si>
  <si>
    <t>mahmoud abdelnabi mahmoud salama</t>
  </si>
  <si>
    <t>01144787858</t>
  </si>
  <si>
    <t>01285749968</t>
  </si>
  <si>
    <t>01115401087</t>
  </si>
  <si>
    <t>01158720776</t>
  </si>
  <si>
    <t>01121075040</t>
  </si>
  <si>
    <t>01019524825</t>
  </si>
  <si>
    <t>01064951011</t>
  </si>
  <si>
    <t>01500707716</t>
  </si>
  <si>
    <t>01129363953</t>
  </si>
  <si>
    <t>01120864575</t>
  </si>
  <si>
    <t>01154883922</t>
  </si>
  <si>
    <t>01140432399</t>
  </si>
  <si>
    <t>01115938133</t>
  </si>
  <si>
    <t>01026916886</t>
  </si>
  <si>
    <t>01124704588</t>
  </si>
  <si>
    <t>01146129056</t>
  </si>
  <si>
    <t>01033922794</t>
  </si>
  <si>
    <t>01550020298</t>
  </si>
  <si>
    <t>01150337867</t>
  </si>
  <si>
    <t>01553711385</t>
  </si>
  <si>
    <t>01092331648</t>
  </si>
  <si>
    <t>01284056834</t>
  </si>
  <si>
    <t>01065171686</t>
  </si>
  <si>
    <t>01201580324</t>
  </si>
  <si>
    <t>01017492334</t>
  </si>
  <si>
    <t>01114905676</t>
  </si>
  <si>
    <t>01100541193</t>
  </si>
  <si>
    <t>01125391974</t>
  </si>
  <si>
    <t>01032843830</t>
  </si>
  <si>
    <t>01063280576</t>
  </si>
  <si>
    <t>01119041570</t>
  </si>
  <si>
    <t>01091716522</t>
  </si>
  <si>
    <t>01070195439</t>
  </si>
  <si>
    <t>01065374425</t>
  </si>
  <si>
    <t>01114108627</t>
  </si>
  <si>
    <t>01013166420</t>
  </si>
  <si>
    <t>01061398695</t>
  </si>
  <si>
    <t>01030826144</t>
  </si>
  <si>
    <t>01124803435</t>
  </si>
  <si>
    <t>01025606951</t>
  </si>
  <si>
    <t>01142159894</t>
  </si>
  <si>
    <t>01554261842</t>
  </si>
  <si>
    <t>01093547707</t>
  </si>
  <si>
    <t>01149362367</t>
  </si>
  <si>
    <t>01003604744</t>
  </si>
  <si>
    <t>01127270812</t>
  </si>
  <si>
    <t>01275917883</t>
  </si>
  <si>
    <t>01019472827</t>
  </si>
  <si>
    <t>01277218431</t>
  </si>
  <si>
    <t>01150981944</t>
  </si>
  <si>
    <t>01012519238</t>
  </si>
  <si>
    <t>01157676732</t>
  </si>
  <si>
    <t>01206479995</t>
  </si>
  <si>
    <t>01122314374</t>
  </si>
  <si>
    <t>01022387816</t>
  </si>
  <si>
    <t>01123686873</t>
  </si>
  <si>
    <t>01155797260</t>
  </si>
  <si>
    <t>01142797746</t>
  </si>
  <si>
    <t>01021906703</t>
  </si>
  <si>
    <t>01117093129</t>
  </si>
  <si>
    <t>01148662187</t>
  </si>
  <si>
    <t>01000207389</t>
  </si>
  <si>
    <t>01554486511</t>
  </si>
  <si>
    <t>01144799041</t>
  </si>
  <si>
    <t>01024948491</t>
  </si>
  <si>
    <t>01552790003</t>
  </si>
  <si>
    <t>01091485539</t>
  </si>
  <si>
    <t>01275132101</t>
  </si>
  <si>
    <t>01010790858</t>
  </si>
  <si>
    <t>01019645946</t>
  </si>
  <si>
    <t>Operator</t>
  </si>
  <si>
    <t>QNB</t>
  </si>
  <si>
    <t>30504260102845</t>
  </si>
  <si>
    <t>30102060101843</t>
  </si>
  <si>
    <t>29501262102406</t>
  </si>
  <si>
    <t>28211152101241</t>
  </si>
  <si>
    <t>29703032105084</t>
  </si>
  <si>
    <t>30010012112467</t>
  </si>
  <si>
    <t>30003122100689</t>
  </si>
  <si>
    <t>30007140103445</t>
  </si>
  <si>
    <t>29812012109044</t>
  </si>
  <si>
    <t>30307100102407</t>
  </si>
  <si>
    <t>29009292105602</t>
  </si>
  <si>
    <t>29905060101622</t>
  </si>
  <si>
    <t>29801032103547</t>
  </si>
  <si>
    <t>30209302102563</t>
  </si>
  <si>
    <t>29709082103226</t>
  </si>
  <si>
    <t>30110192101667</t>
  </si>
  <si>
    <t>30411210103095</t>
  </si>
  <si>
    <t>29208292100883</t>
  </si>
  <si>
    <t>29807252105727</t>
  </si>
  <si>
    <t>30007022104631</t>
  </si>
  <si>
    <t>30306132100116</t>
  </si>
  <si>
    <t>30405072401667</t>
  </si>
  <si>
    <t>30407022102203</t>
  </si>
  <si>
    <t>29305122100442</t>
  </si>
  <si>
    <t>29605280101891</t>
  </si>
  <si>
    <t>30509270101326</t>
  </si>
  <si>
    <t>29902040102585</t>
  </si>
  <si>
    <t>30508082103269</t>
  </si>
  <si>
    <t>30007130104788</t>
  </si>
  <si>
    <t>28805011901861</t>
  </si>
  <si>
    <t>30309260100705</t>
  </si>
  <si>
    <t>29702012506787</t>
  </si>
  <si>
    <t>30106110105123</t>
  </si>
  <si>
    <t>30005142103652</t>
  </si>
  <si>
    <t>29602152104382</t>
  </si>
  <si>
    <t>30302242103999</t>
  </si>
  <si>
    <t>29309250105096</t>
  </si>
  <si>
    <t>30003052102034</t>
  </si>
  <si>
    <t>30503250103715</t>
  </si>
  <si>
    <t>30312012104916</t>
  </si>
  <si>
    <t>30208012113964</t>
  </si>
  <si>
    <t>29511032101481</t>
  </si>
  <si>
    <t>29909092401747</t>
  </si>
  <si>
    <t>30208252104601</t>
  </si>
  <si>
    <t>30107032100825</t>
  </si>
  <si>
    <t>30307032100204</t>
  </si>
  <si>
    <t>30501010128602</t>
  </si>
  <si>
    <t>29907042103068</t>
  </si>
  <si>
    <t>30001122402666</t>
  </si>
  <si>
    <t>29911152103303</t>
  </si>
  <si>
    <t>30001130102507</t>
  </si>
  <si>
    <t>30012152103762</t>
  </si>
  <si>
    <t>30107152501963</t>
  </si>
  <si>
    <t>27912102103841</t>
  </si>
  <si>
    <t>29901152103707</t>
  </si>
  <si>
    <t>30506012112586</t>
  </si>
  <si>
    <t>28604160102061</t>
  </si>
  <si>
    <t>29906022102786</t>
  </si>
  <si>
    <t>30108272101906</t>
  </si>
  <si>
    <t>30503152102263</t>
  </si>
  <si>
    <t>30003211705365</t>
  </si>
  <si>
    <t>30206272100782</t>
  </si>
  <si>
    <t>29111142102566</t>
  </si>
  <si>
    <t>30306172103487</t>
  </si>
  <si>
    <t>28704290103081</t>
  </si>
  <si>
    <t>28107242101124</t>
  </si>
  <si>
    <t>30211152102068</t>
  </si>
  <si>
    <t>30203042100687</t>
  </si>
  <si>
    <t>29809152800625</t>
  </si>
  <si>
    <t>30403212106064</t>
  </si>
  <si>
    <t>30401232100035</t>
  </si>
  <si>
    <t>30606212101516</t>
  </si>
  <si>
    <t>30103040103323</t>
  </si>
  <si>
    <t>SFQ-001</t>
  </si>
  <si>
    <t>SFQ-002</t>
  </si>
  <si>
    <t>SFQ-003</t>
  </si>
  <si>
    <t>SFQ-004</t>
  </si>
  <si>
    <t>SFQ-005</t>
  </si>
  <si>
    <t>SFQ-006</t>
  </si>
  <si>
    <t>SFQ-007</t>
  </si>
  <si>
    <t>SFQ-008</t>
  </si>
  <si>
    <t>SFQ-009</t>
  </si>
  <si>
    <t>SFQ-010</t>
  </si>
  <si>
    <t>SFQ-011</t>
  </si>
  <si>
    <t>SFQ-012</t>
  </si>
  <si>
    <t>SFQ-013</t>
  </si>
  <si>
    <t>SFQ-014</t>
  </si>
  <si>
    <t>SFQ-015</t>
  </si>
  <si>
    <t>SFQ-016</t>
  </si>
  <si>
    <t>SFQ-017</t>
  </si>
  <si>
    <t>SFQ-018</t>
  </si>
  <si>
    <t>SFQ-019</t>
  </si>
  <si>
    <t>SFQ-020</t>
  </si>
  <si>
    <t>SFQ-021</t>
  </si>
  <si>
    <t>SFQ-022</t>
  </si>
  <si>
    <t>SFQ-023</t>
  </si>
  <si>
    <t>SFQ-024</t>
  </si>
  <si>
    <t>SFQ-025</t>
  </si>
  <si>
    <t>SFQ-026</t>
  </si>
  <si>
    <t>SFQ-027</t>
  </si>
  <si>
    <t>SFQ-028</t>
  </si>
  <si>
    <t>SFQ-029</t>
  </si>
  <si>
    <t>SFQ-030</t>
  </si>
  <si>
    <t>SFQ-031</t>
  </si>
  <si>
    <t>SFQ-032</t>
  </si>
  <si>
    <t>SFQ-033</t>
  </si>
  <si>
    <t>SFQ-034</t>
  </si>
  <si>
    <t>SFQ-035</t>
  </si>
  <si>
    <t>SFQ-036</t>
  </si>
  <si>
    <t>SFQ-037</t>
  </si>
  <si>
    <t>SFQ-038</t>
  </si>
  <si>
    <t>SFQ-039</t>
  </si>
  <si>
    <t>SFQ-040</t>
  </si>
  <si>
    <t>SFQ-041</t>
  </si>
  <si>
    <t>SFQ-042</t>
  </si>
  <si>
    <t>SFQ-043</t>
  </si>
  <si>
    <t>SFQ-044</t>
  </si>
  <si>
    <t>SFQ-045</t>
  </si>
  <si>
    <t>SFQ-046</t>
  </si>
  <si>
    <t>SFQ-047</t>
  </si>
  <si>
    <t>SFQ-048</t>
  </si>
  <si>
    <t>SFQ-049</t>
  </si>
  <si>
    <t>SFQ-050</t>
  </si>
  <si>
    <t>SFQ-051</t>
  </si>
  <si>
    <t>SFQ-052</t>
  </si>
  <si>
    <t>SFQ-053</t>
  </si>
  <si>
    <t>SFQ-054</t>
  </si>
  <si>
    <t>SFQ-055</t>
  </si>
  <si>
    <t>SFQ-056</t>
  </si>
  <si>
    <t>SFQ-057</t>
  </si>
  <si>
    <t>SFQ-058</t>
  </si>
  <si>
    <t>SFQ-059</t>
  </si>
  <si>
    <t>SFQ-060</t>
  </si>
  <si>
    <t>SFQ-061</t>
  </si>
  <si>
    <t>SFQ-062</t>
  </si>
  <si>
    <t>SFQ-063</t>
  </si>
  <si>
    <t>SFQ-064</t>
  </si>
  <si>
    <t>SFQ-065</t>
  </si>
  <si>
    <t>SFQ-066</t>
  </si>
  <si>
    <t>SFQ-067</t>
  </si>
  <si>
    <t>SFQ-068</t>
  </si>
  <si>
    <t>SFQ-069</t>
  </si>
  <si>
    <t>SFQ-070</t>
  </si>
  <si>
    <t>SFQ-071</t>
  </si>
  <si>
    <t>SFQ-072</t>
  </si>
  <si>
    <t>SFQ-073</t>
  </si>
  <si>
    <t>SFQ-074</t>
  </si>
  <si>
    <t>SFQ-075</t>
  </si>
  <si>
    <t>SFQ-076</t>
  </si>
  <si>
    <t>SFQ-077</t>
  </si>
  <si>
    <t>SFQ-078</t>
  </si>
  <si>
    <t>SFQ-079</t>
  </si>
  <si>
    <t>SFQ-080</t>
  </si>
  <si>
    <t>Nada Badr Mohamed Mahmoud</t>
  </si>
  <si>
    <t>Ali Hemeda Ali Hemeda</t>
  </si>
  <si>
    <t>Moataz Galashany Saber Ahmed</t>
  </si>
  <si>
    <t>Dina Sabry Ebid Soos</t>
  </si>
  <si>
    <t>01552675486</t>
  </si>
  <si>
    <t>01129124230</t>
  </si>
  <si>
    <t>01015584555</t>
  </si>
  <si>
    <t>29706132101565</t>
  </si>
  <si>
    <t>30505100103256</t>
  </si>
  <si>
    <t>team leader</t>
  </si>
  <si>
    <t>assist</t>
  </si>
  <si>
    <t>Galeela Sabah Abd El Maged Abd El Fatah</t>
  </si>
  <si>
    <t>ibrahim mahmoud amr ibrahim</t>
  </si>
  <si>
    <t>Mohamed Nabil Hamdy Mohalhel</t>
  </si>
  <si>
    <t>Fady Shokry Zakhary Saeid</t>
  </si>
  <si>
    <t>khaled Mohamed Sayed Esmail</t>
  </si>
  <si>
    <t xml:space="preserve">Mariem Nasef Wardany </t>
  </si>
  <si>
    <t>Abdallah Gad El Rab Ahmed Mohamed</t>
  </si>
  <si>
    <t>01147512226</t>
  </si>
  <si>
    <t>01141062001</t>
  </si>
  <si>
    <t>01115003135</t>
  </si>
  <si>
    <t>01003117013</t>
  </si>
  <si>
    <t>01013471722</t>
  </si>
  <si>
    <t>01012034280</t>
  </si>
  <si>
    <t>Cash</t>
  </si>
  <si>
    <t>01220480285</t>
  </si>
  <si>
    <t>28311142800371</t>
  </si>
  <si>
    <t>SFQ-081</t>
  </si>
  <si>
    <t>SFQ-082</t>
  </si>
  <si>
    <t>`</t>
  </si>
  <si>
    <t>30701012511909</t>
  </si>
  <si>
    <t>27110082601459</t>
  </si>
  <si>
    <t>27603040100596</t>
  </si>
  <si>
    <t>30202122104458</t>
  </si>
  <si>
    <t>30211142100407</t>
  </si>
  <si>
    <t>29602272103878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</si>
</sst>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EGP&quot;* #,##0_);_(&quot;EGP&quot;* \(#,##0\);_(&quot;EGP&quot;* &quot;-&quot;??_);_(@_)"/>
    <numFmt numFmtId="166" formatCode="0.0"/>
    <numFmt numFmtId="167" formatCode="mmmm\ yyyy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>
      <protection locked="0"/>
    </xf>
    <xf numFmtId="0" fontId="18" fillId="0" borderId="0"/>
    <xf numFmtId="0" fontId="14" fillId="0" borderId="0">
      <protection locked="0"/>
    </xf>
    <xf numFmtId="0" fontId="20" fillId="0" borderId="0"/>
    <xf numFmtId="0" fontId="7" fillId="16" borderId="1">
      <alignment horizontal="center" vertical="center"/>
    </xf>
  </cellStyleXfs>
  <cellXfs count="74">
    <xf numFmtId="0" fontId="0" fillId="0" borderId="0" xfId="0"/>
    <xf numFmtId="43" fontId="8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 wrapText="1"/>
    </xf>
    <xf numFmtId="41" fontId="9" fillId="5" borderId="1" xfId="1" applyNumberFormat="1" applyFont="1" applyFill="1" applyBorder="1" applyAlignment="1">
      <alignment horizontal="center" vertical="center"/>
    </xf>
    <xf numFmtId="41" fontId="9" fillId="0" borderId="1" xfId="1" applyNumberFormat="1" applyFont="1" applyBorder="1" applyAlignment="1">
      <alignment horizontal="center" vertical="center"/>
    </xf>
    <xf numFmtId="41" fontId="10" fillId="4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16" fillId="0" borderId="7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6" fontId="9" fillId="5" borderId="1" xfId="1" applyNumberFormat="1" applyFont="1" applyFill="1" applyBorder="1" applyAlignment="1">
      <alignment horizontal="center" vertical="center"/>
    </xf>
    <xf numFmtId="165" fontId="10" fillId="4" borderId="1" xfId="1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0" fontId="10" fillId="4" borderId="1" xfId="1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10" fontId="9" fillId="7" borderId="1" xfId="0" applyNumberFormat="1" applyFont="1" applyFill="1" applyBorder="1" applyAlignment="1">
      <alignment horizontal="center" vertical="center"/>
    </xf>
    <xf numFmtId="10" fontId="10" fillId="4" borderId="1" xfId="1" applyNumberFormat="1" applyFont="1" applyFill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5" fillId="11" borderId="6" xfId="5" applyFont="1" applyFill="1" applyBorder="1" applyAlignment="1">
      <alignment horizontal="center"/>
      <protection locked="0"/>
    </xf>
    <xf numFmtId="49" fontId="15" fillId="12" borderId="6" xfId="5" applyNumberFormat="1" applyFont="1" applyFill="1" applyBorder="1" applyAlignment="1">
      <alignment horizontal="center" vertical="center"/>
      <protection locked="0"/>
    </xf>
    <xf numFmtId="49" fontId="15" fillId="12" borderId="6" xfId="5" applyNumberFormat="1" applyFont="1" applyFill="1" applyBorder="1" applyAlignment="1">
      <alignment horizontal="center"/>
      <protection locked="0"/>
    </xf>
    <xf numFmtId="0" fontId="15" fillId="12" borderId="6" xfId="5" applyFont="1" applyFill="1" applyBorder="1" applyAlignment="1">
      <alignment horizontal="center"/>
      <protection locked="0"/>
    </xf>
    <xf numFmtId="49" fontId="15" fillId="15" borderId="6" xfId="5" applyNumberFormat="1" applyFont="1" applyFill="1" applyBorder="1" applyAlignment="1">
      <alignment horizontal="center" vertical="center"/>
      <protection locked="0"/>
    </xf>
    <xf numFmtId="0" fontId="15" fillId="12" borderId="6" xfId="5" applyFont="1" applyFill="1" applyBorder="1" applyAlignment="1">
      <alignment horizontal="left" vertical="center"/>
      <protection locked="0"/>
    </xf>
    <xf numFmtId="0" fontId="15" fillId="11" borderId="6" xfId="5" applyFont="1" applyFill="1" applyBorder="1" applyAlignment="1">
      <alignment horizontal="left" vertical="center"/>
      <protection locked="0"/>
    </xf>
    <xf numFmtId="0" fontId="15" fillId="11" borderId="1" xfId="5" applyFont="1" applyFill="1" applyBorder="1" applyAlignment="1">
      <alignment horizontal="left" vertical="center"/>
      <protection locked="0"/>
    </xf>
    <xf numFmtId="0" fontId="19" fillId="0" borderId="1" xfId="6" applyFont="1" applyBorder="1" applyAlignment="1" applyProtection="1">
      <alignment horizontal="center" vertical="center"/>
      <protection locked="0"/>
    </xf>
    <xf numFmtId="0" fontId="21" fillId="0" borderId="6" xfId="6" applyFont="1" applyBorder="1" applyAlignment="1" applyProtection="1">
      <alignment horizontal="center" vertical="center"/>
      <protection locked="0"/>
    </xf>
    <xf numFmtId="10" fontId="9" fillId="9" borderId="1" xfId="2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16" borderId="1" xfId="7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167" fontId="11" fillId="8" borderId="5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5" fillId="4" borderId="6" xfId="5" applyFont="1" applyFill="1" applyBorder="1" applyAlignment="1">
      <alignment horizontal="center"/>
      <protection locked="0"/>
    </xf>
  </cellXfs>
  <cellStyles count="8">
    <cellStyle name="Comma" xfId="1" builtinId="3"/>
    <cellStyle name="Normal" xfId="0" builtinId="0"/>
    <cellStyle name="Normal 2" xfId="3"/>
    <cellStyle name="Normal 2 2" xfId="5"/>
    <cellStyle name="Normal 3" xfId="6"/>
    <cellStyle name="Normal 5" xfId="4"/>
    <cellStyle name="Percent" xfId="2" builtinId="5"/>
    <cellStyle name="Style 1" xfId="7"/>
  </cellStyles>
  <dxfs count="4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CDC"/>
      <color rgb="FF93CEFF"/>
      <color rgb="FFFEDC65"/>
      <color rgb="FFFEDB66"/>
      <color rgb="FFFEDA66"/>
      <color rgb="FFEAC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3"/>
  <sheetViews>
    <sheetView tabSelected="1" zoomScale="55" zoomScaleNormal="55" workbookViewId="0">
      <selection activeCell="F76" sqref="F76"/>
    </sheetView>
  </sheetViews>
  <sheetFormatPr defaultColWidth="9.26953125" defaultRowHeight="15.5" x14ac:dyDescent="0.35"/>
  <cols>
    <col min="1" max="1" width="17.90625" style="2" bestFit="1" customWidth="1"/>
    <col min="2" max="2" width="14.26953125" style="2" bestFit="1" customWidth="1"/>
    <col min="3" max="3" width="37.26953125" style="20" bestFit="1" customWidth="1"/>
    <col min="4" max="4" width="34.26953125" style="20" bestFit="1" customWidth="1"/>
    <col min="5" max="5" width="45.08984375" style="26" bestFit="1" customWidth="1"/>
    <col min="6" max="6" width="22.6328125" style="2" bestFit="1" customWidth="1"/>
    <col min="7" max="7" width="16.6328125" style="2" bestFit="1" customWidth="1"/>
    <col min="8" max="8" width="16.08984375" style="2" bestFit="1" customWidth="1"/>
    <col min="9" max="9" width="22.6328125" style="2" bestFit="1" customWidth="1"/>
    <col min="10" max="10" width="29.36328125" style="2" bestFit="1" customWidth="1"/>
    <col min="11" max="11" width="21.36328125" style="44" bestFit="1" customWidth="1"/>
    <col min="12" max="12" width="23" style="2" bestFit="1" customWidth="1"/>
    <col min="13" max="13" width="29.90625" style="2" bestFit="1" customWidth="1"/>
    <col min="14" max="14" width="31" style="2" bestFit="1" customWidth="1"/>
    <col min="15" max="15" width="25.36328125" style="2" bestFit="1" customWidth="1"/>
    <col min="16" max="16" width="22.08984375" bestFit="1" customWidth="1"/>
    <col min="17" max="17" width="23" style="2" bestFit="1" customWidth="1"/>
    <col min="18" max="18" width="21.26953125" style="2" bestFit="1" customWidth="1"/>
    <col min="19" max="20" width="27.26953125" style="2" bestFit="1" customWidth="1"/>
    <col min="21" max="21" width="19.36328125" style="2" bestFit="1" customWidth="1"/>
    <col min="22" max="22" width="17" style="2" bestFit="1" customWidth="1"/>
    <col min="23" max="23" width="16.26953125" style="2" bestFit="1" customWidth="1"/>
    <col min="24" max="24" width="25.26953125" style="2" bestFit="1" customWidth="1"/>
    <col min="25" max="25" width="25.90625" style="2" bestFit="1" customWidth="1"/>
    <col min="26" max="26" width="23.90625" style="2" bestFit="1" customWidth="1"/>
    <col min="27" max="27" width="26.08984375" style="2" bestFit="1" customWidth="1"/>
    <col min="28" max="28" width="22.6328125" style="2" bestFit="1" customWidth="1"/>
    <col min="29" max="29" width="23" style="2" bestFit="1" customWidth="1"/>
    <col min="30" max="30" width="26.08984375" style="2" bestFit="1" customWidth="1"/>
    <col min="31" max="31" width="13.90625" style="2" bestFit="1" customWidth="1"/>
    <col min="32" max="32" width="27.26953125" style="2" bestFit="1" customWidth="1"/>
    <col min="33" max="33" width="31.36328125" style="2" bestFit="1" customWidth="1"/>
    <col min="34" max="34" width="45" style="2" bestFit="1" customWidth="1"/>
    <col min="35" max="35" width="30.08984375" style="2" bestFit="1" customWidth="1"/>
    <col min="36" max="36" width="13.36328125" style="2" bestFit="1" customWidth="1"/>
    <col min="37" max="37" width="17.7265625" style="2" bestFit="1" customWidth="1"/>
    <col min="38" max="38" width="20.26953125" style="2" bestFit="1" customWidth="1"/>
    <col min="39" max="39" width="19.7265625" style="2" bestFit="1" customWidth="1"/>
    <col min="40" max="40" width="16.90625" style="2" bestFit="1" customWidth="1"/>
    <col min="41" max="41" width="31.26953125" style="2" bestFit="1" customWidth="1"/>
    <col min="42" max="42" width="27" style="2" bestFit="1" customWidth="1"/>
    <col min="43" max="43" width="15.81640625" bestFit="1" customWidth="1"/>
    <col min="44" max="16384" width="9.26953125" style="2"/>
  </cols>
  <sheetData>
    <row r="1" spans="1:43" ht="26" x14ac:dyDescent="0.35">
      <c r="A1" s="70">
        <v>45931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</row>
    <row r="2" spans="1:43" x14ac:dyDescent="0.35">
      <c r="A2" s="18" t="s">
        <v>31</v>
      </c>
      <c r="B2" s="18" t="s">
        <v>32</v>
      </c>
      <c r="C2" s="22" t="s">
        <v>35</v>
      </c>
      <c r="D2" s="22" t="s">
        <v>36</v>
      </c>
      <c r="E2" s="16" t="s">
        <v>2</v>
      </c>
      <c r="F2" s="14" t="s">
        <v>26</v>
      </c>
      <c r="G2" s="6" t="s">
        <v>11</v>
      </c>
      <c r="H2" s="7" t="s">
        <v>3</v>
      </c>
      <c r="I2" s="36" t="s">
        <v>5</v>
      </c>
      <c r="J2" s="36" t="s">
        <v>43</v>
      </c>
      <c r="K2" s="42" t="s">
        <v>23</v>
      </c>
      <c r="L2" s="8" t="s">
        <v>22</v>
      </c>
      <c r="M2" s="5" t="s">
        <v>6</v>
      </c>
      <c r="N2" s="5" t="s">
        <v>25</v>
      </c>
      <c r="O2" s="8" t="s">
        <v>4</v>
      </c>
      <c r="P2" s="36" t="s">
        <v>42</v>
      </c>
      <c r="Q2" s="19" t="s">
        <v>34</v>
      </c>
      <c r="R2" s="6" t="s">
        <v>7</v>
      </c>
      <c r="S2" s="5" t="s">
        <v>8</v>
      </c>
      <c r="T2" s="5" t="s">
        <v>9</v>
      </c>
      <c r="U2" s="7" t="s">
        <v>10</v>
      </c>
      <c r="V2" s="7" t="s">
        <v>0</v>
      </c>
      <c r="W2" s="39" t="s">
        <v>28</v>
      </c>
      <c r="X2" s="38" t="s">
        <v>24</v>
      </c>
      <c r="Y2" s="17" t="s">
        <v>13</v>
      </c>
      <c r="Z2" s="16" t="s">
        <v>29</v>
      </c>
      <c r="AA2" s="17" t="s">
        <v>30</v>
      </c>
      <c r="AB2" s="18" t="s">
        <v>33</v>
      </c>
      <c r="AC2" s="40" t="s">
        <v>22</v>
      </c>
      <c r="AD2" s="40" t="s">
        <v>14</v>
      </c>
      <c r="AE2" s="8" t="s">
        <v>18</v>
      </c>
      <c r="AF2" s="8" t="s">
        <v>21</v>
      </c>
      <c r="AG2" s="8" t="s">
        <v>19</v>
      </c>
      <c r="AH2" s="29" t="s">
        <v>39</v>
      </c>
      <c r="AI2" s="29" t="s">
        <v>40</v>
      </c>
      <c r="AJ2" s="8" t="s">
        <v>15</v>
      </c>
      <c r="AK2" s="8" t="s">
        <v>16</v>
      </c>
      <c r="AL2" s="8" t="s">
        <v>17</v>
      </c>
      <c r="AM2" s="7" t="s">
        <v>12</v>
      </c>
      <c r="AN2" s="7" t="s">
        <v>18</v>
      </c>
      <c r="AO2" s="5" t="s">
        <v>20</v>
      </c>
      <c r="AP2" s="33" t="s">
        <v>41</v>
      </c>
      <c r="AQ2" s="47" t="s">
        <v>44</v>
      </c>
    </row>
    <row r="3" spans="1:43" x14ac:dyDescent="0.35">
      <c r="A3" s="37" t="s">
        <v>190</v>
      </c>
      <c r="B3" s="37" t="s">
        <v>264</v>
      </c>
      <c r="C3" s="50" t="s">
        <v>119</v>
      </c>
      <c r="D3" s="54" t="s">
        <v>47</v>
      </c>
      <c r="E3" s="55" t="s">
        <v>48</v>
      </c>
      <c r="F3" s="63" t="s">
        <v>191</v>
      </c>
      <c r="G3" s="58" t="s">
        <v>189</v>
      </c>
      <c r="H3" s="59">
        <v>4000</v>
      </c>
      <c r="I3" s="59">
        <v>3000</v>
      </c>
      <c r="J3" s="24"/>
      <c r="K3" s="60">
        <v>0.61</v>
      </c>
      <c r="L3" s="9">
        <f t="shared" ref="L3:L28" si="0">+I3*K3</f>
        <v>1830</v>
      </c>
      <c r="M3" s="9">
        <v>0</v>
      </c>
      <c r="N3" s="9">
        <f t="shared" ref="N3" si="1">30-X3</f>
        <v>30</v>
      </c>
      <c r="O3" s="9">
        <f t="shared" ref="O3" si="2">M3*N3</f>
        <v>0</v>
      </c>
      <c r="P3" s="10">
        <f t="shared" ref="P3" si="3">H3/30</f>
        <v>133.33333333333334</v>
      </c>
      <c r="Q3" s="10">
        <f t="shared" ref="Q3" si="4">L3/30</f>
        <v>61</v>
      </c>
      <c r="R3" s="10">
        <f>Q3+P3</f>
        <v>194.33333333333334</v>
      </c>
      <c r="S3" s="10">
        <f t="shared" ref="S3" si="5">+P3/8</f>
        <v>16.666666666666668</v>
      </c>
      <c r="T3" s="9">
        <v>16</v>
      </c>
      <c r="U3" s="9">
        <f t="shared" ref="U3:U58" si="6">+S3*T3</f>
        <v>266.66666666666669</v>
      </c>
      <c r="V3" s="9">
        <v>0</v>
      </c>
      <c r="W3" s="15">
        <f t="shared" ref="W3:W58" si="7">H3+L3+O3+U3+V3+J3</f>
        <v>6096.666666666667</v>
      </c>
      <c r="X3" s="23">
        <v>0</v>
      </c>
      <c r="Y3" s="23">
        <f t="shared" ref="Y3:Y58" si="8">R3*X3</f>
        <v>0</v>
      </c>
      <c r="Z3" s="31">
        <v>0</v>
      </c>
      <c r="AA3" s="23">
        <f t="shared" ref="AA3:AA58" si="9">P3*Z3</f>
        <v>0</v>
      </c>
      <c r="AB3" s="23">
        <v>0</v>
      </c>
      <c r="AC3" s="23">
        <f t="shared" ref="AC3:AC28" si="10">Q3*AB3</f>
        <v>0</v>
      </c>
      <c r="AD3" s="11">
        <f t="shared" ref="AD3:AD58" si="11">Y3+AA3+AC3</f>
        <v>0</v>
      </c>
      <c r="AE3" s="4">
        <f t="shared" ref="AE3:AE58" si="12">W3-AD3</f>
        <v>6096.666666666667</v>
      </c>
      <c r="AF3" s="3">
        <f t="shared" ref="AF3:AF69" si="13">7000/1.3</f>
        <v>5384.6153846153848</v>
      </c>
      <c r="AG3" s="3">
        <f t="shared" ref="AG3" si="14">+AF3*0.11</f>
        <v>592.30769230769238</v>
      </c>
      <c r="AH3" s="1">
        <v>1666.6666666666667</v>
      </c>
      <c r="AI3" s="1">
        <f t="shared" ref="AI3" si="15">(AE3-AG3-AH3)*12</f>
        <v>46052.307692307688</v>
      </c>
      <c r="AJ3" s="1">
        <f t="shared" ref="AJ3" si="16">IF(AND(AI3&gt;40000,AI3&lt;=55000),(AI3-40000)*10%,
IF(AND(AI3&gt;55000,AI3&lt;=70000),(AI3-55000)*15%+15000*10%,
IF(AND(AI3&gt;70000,AI3&lt;=200000),(AI3-70000)*20%+15000*10%+15000*15%,
IF(AND(AI3&gt;200000,AI3&lt;=400000),(AI3-200000)*22.5%+15000*10%+15000*15%+130000*20%,
IF(AND(AI3&gt;400000,AI3&lt;=600000),(AI3-400000)*25%+15000*10%+15000*15%+130000*20%+200000*22.5%,
IF(AND(AI3&gt;600000,AI3&lt;=700000),(AI3-400000)*25%+55000*10%+15000*15%+130000*20%+200000*22.5%,
IF(AND(AI3&gt;700000,AI3&lt;=800000),(AI3-400000)*25%+70000*15%+130000*20%+200000*22.5%,
IF(AND(AI3&gt;800000,AI3&lt;=900000),(AI3-400000)*25%+200000*20%+200000*22.5%,
IF(AND(AI3&gt;900000,AI3&lt;=1200000),(AI3-400000)*25%+400000*22.5%,
IF(AI3&gt;1200000,(AI3-1200000)*27.5%+1200000*25%))))))))))/12</f>
        <v>50.435897435897402</v>
      </c>
      <c r="AK3" s="3">
        <f t="shared" ref="AK3" si="17">+AE3*0.0005</f>
        <v>3.0483333333333333</v>
      </c>
      <c r="AL3" s="4">
        <f t="shared" ref="AL3:AL58" si="18">+AE3-AG3-AJ3-AK3</f>
        <v>5450.874743589744</v>
      </c>
      <c r="AM3" s="3">
        <v>0</v>
      </c>
      <c r="AN3" s="4">
        <f t="shared" ref="AN3:AN58" si="19">+AL3-AM3</f>
        <v>5450.874743589744</v>
      </c>
      <c r="AO3" s="1">
        <f t="shared" ref="AO3:AO59" si="20">+AF3*0.1875</f>
        <v>1009.6153846153846</v>
      </c>
      <c r="AP3" s="34">
        <v>14</v>
      </c>
      <c r="AQ3" s="46">
        <f>AE3+AO3</f>
        <v>7106.2820512820517</v>
      </c>
    </row>
    <row r="4" spans="1:43" x14ac:dyDescent="0.35">
      <c r="A4" s="37" t="s">
        <v>190</v>
      </c>
      <c r="B4" s="37" t="s">
        <v>265</v>
      </c>
      <c r="C4" s="50" t="s">
        <v>120</v>
      </c>
      <c r="D4" s="54" t="s">
        <v>47</v>
      </c>
      <c r="E4" s="55" t="s">
        <v>49</v>
      </c>
      <c r="F4" s="63" t="s">
        <v>192</v>
      </c>
      <c r="G4" s="58" t="s">
        <v>353</v>
      </c>
      <c r="H4" s="59">
        <v>4600</v>
      </c>
      <c r="I4" s="59">
        <v>3000</v>
      </c>
      <c r="J4" s="24"/>
      <c r="K4" s="60">
        <v>0.61</v>
      </c>
      <c r="L4" s="9">
        <f t="shared" si="0"/>
        <v>1830</v>
      </c>
      <c r="M4" s="9">
        <v>0</v>
      </c>
      <c r="N4" s="9">
        <f t="shared" ref="N4:N58" si="21">30-X4</f>
        <v>30</v>
      </c>
      <c r="O4" s="9">
        <f t="shared" ref="O4:O58" si="22">M4*N4</f>
        <v>0</v>
      </c>
      <c r="P4" s="10">
        <f t="shared" ref="P4:P58" si="23">H4/30</f>
        <v>153.33333333333334</v>
      </c>
      <c r="Q4" s="10">
        <f t="shared" ref="Q4:Q58" si="24">L4/30</f>
        <v>61</v>
      </c>
      <c r="R4" s="10">
        <f t="shared" ref="R4:R63" si="25">Q4+P4</f>
        <v>214.33333333333334</v>
      </c>
      <c r="S4" s="10">
        <f t="shared" ref="S4:S58" si="26">+P4/8</f>
        <v>19.166666666666668</v>
      </c>
      <c r="T4" s="9">
        <v>16</v>
      </c>
      <c r="U4" s="9">
        <f t="shared" si="6"/>
        <v>306.66666666666669</v>
      </c>
      <c r="V4" s="9">
        <v>0</v>
      </c>
      <c r="W4" s="15">
        <f t="shared" si="7"/>
        <v>6736.666666666667</v>
      </c>
      <c r="X4" s="23">
        <v>0</v>
      </c>
      <c r="Y4" s="23">
        <f t="shared" si="8"/>
        <v>0</v>
      </c>
      <c r="Z4" s="31">
        <v>0</v>
      </c>
      <c r="AA4" s="23">
        <f t="shared" si="9"/>
        <v>0</v>
      </c>
      <c r="AB4" s="23">
        <v>0</v>
      </c>
      <c r="AC4" s="23">
        <f t="shared" si="10"/>
        <v>0</v>
      </c>
      <c r="AD4" s="11">
        <f t="shared" si="11"/>
        <v>0</v>
      </c>
      <c r="AE4" s="4">
        <f t="shared" si="12"/>
        <v>6736.666666666667</v>
      </c>
      <c r="AF4" s="3">
        <f t="shared" si="13"/>
        <v>5384.6153846153848</v>
      </c>
      <c r="AG4" s="3">
        <f t="shared" ref="AG4:AG66" si="27">+AF4*0.11</f>
        <v>592.30769230769238</v>
      </c>
      <c r="AH4" s="1">
        <v>1666.6666666666667</v>
      </c>
      <c r="AI4" s="1">
        <f t="shared" ref="AI4:AI66" si="28">(AE4-AG4-AH4)*12</f>
        <v>53732.307692307688</v>
      </c>
      <c r="AJ4" s="1">
        <f t="shared" ref="AJ4:AJ66" si="29">IF(AND(AI4&gt;40000,AI4&lt;=55000),(AI4-40000)*10%,
IF(AND(AI4&gt;55000,AI4&lt;=70000),(AI4-55000)*15%+15000*10%,
IF(AND(AI4&gt;70000,AI4&lt;=200000),(AI4-70000)*20%+15000*10%+15000*15%,
IF(AND(AI4&gt;200000,AI4&lt;=400000),(AI4-200000)*22.5%+15000*10%+15000*15%+130000*20%,
IF(AND(AI4&gt;400000,AI4&lt;=600000),(AI4-400000)*25%+15000*10%+15000*15%+130000*20%+200000*22.5%,
IF(AND(AI4&gt;600000,AI4&lt;=700000),(AI4-400000)*25%+55000*10%+15000*15%+130000*20%+200000*22.5%,
IF(AND(AI4&gt;700000,AI4&lt;=800000),(AI4-400000)*25%+70000*15%+130000*20%+200000*22.5%,
IF(AND(AI4&gt;800000,AI4&lt;=900000),(AI4-400000)*25%+200000*20%+200000*22.5%,
IF(AND(AI4&gt;900000,AI4&lt;=1200000),(AI4-400000)*25%+400000*22.5%,
IF(AI4&gt;1200000,(AI4-1200000)*27.5%+1200000*25%))))))))))/12</f>
        <v>114.4358974358974</v>
      </c>
      <c r="AK4" s="3">
        <f t="shared" ref="AK4:AK66" si="30">+AE4*0.0005</f>
        <v>3.3683333333333336</v>
      </c>
      <c r="AL4" s="4">
        <f t="shared" si="18"/>
        <v>6026.5547435897442</v>
      </c>
      <c r="AM4" s="3">
        <v>0</v>
      </c>
      <c r="AN4" s="4">
        <f t="shared" si="19"/>
        <v>6026.5547435897442</v>
      </c>
      <c r="AO4" s="1">
        <f t="shared" si="20"/>
        <v>1009.6153846153846</v>
      </c>
      <c r="AP4" s="34">
        <v>19</v>
      </c>
      <c r="AQ4" s="46">
        <f t="shared" ref="AQ4:AQ54" si="31">AE4+AO4</f>
        <v>7746.2820512820517</v>
      </c>
    </row>
    <row r="5" spans="1:43" x14ac:dyDescent="0.35">
      <c r="A5" s="37" t="s">
        <v>190</v>
      </c>
      <c r="B5" s="37" t="s">
        <v>266</v>
      </c>
      <c r="C5" s="50" t="s">
        <v>121</v>
      </c>
      <c r="D5" s="54" t="s">
        <v>47</v>
      </c>
      <c r="E5" s="55" t="s">
        <v>50</v>
      </c>
      <c r="F5" s="63" t="s">
        <v>193</v>
      </c>
      <c r="G5" s="58" t="s">
        <v>189</v>
      </c>
      <c r="H5" s="59">
        <v>4000</v>
      </c>
      <c r="I5" s="59">
        <v>3000</v>
      </c>
      <c r="J5" s="24"/>
      <c r="K5" s="60">
        <v>0.61</v>
      </c>
      <c r="L5" s="9">
        <f t="shared" si="0"/>
        <v>1830</v>
      </c>
      <c r="M5" s="9">
        <v>0</v>
      </c>
      <c r="N5" s="9">
        <f t="shared" si="21"/>
        <v>30</v>
      </c>
      <c r="O5" s="9">
        <f t="shared" si="22"/>
        <v>0</v>
      </c>
      <c r="P5" s="10">
        <f t="shared" si="23"/>
        <v>133.33333333333334</v>
      </c>
      <c r="Q5" s="10">
        <f t="shared" si="24"/>
        <v>61</v>
      </c>
      <c r="R5" s="10">
        <f t="shared" si="25"/>
        <v>194.33333333333334</v>
      </c>
      <c r="S5" s="10">
        <f t="shared" si="26"/>
        <v>16.666666666666668</v>
      </c>
      <c r="T5" s="9">
        <v>16</v>
      </c>
      <c r="U5" s="9">
        <f t="shared" si="6"/>
        <v>266.66666666666669</v>
      </c>
      <c r="V5" s="9">
        <v>0</v>
      </c>
      <c r="W5" s="15">
        <f t="shared" si="7"/>
        <v>6096.666666666667</v>
      </c>
      <c r="X5" s="23">
        <v>0</v>
      </c>
      <c r="Y5" s="23">
        <f t="shared" si="8"/>
        <v>0</v>
      </c>
      <c r="Z5" s="31">
        <v>0</v>
      </c>
      <c r="AA5" s="23">
        <f t="shared" si="9"/>
        <v>0</v>
      </c>
      <c r="AB5" s="23">
        <v>0</v>
      </c>
      <c r="AC5" s="23">
        <f t="shared" si="10"/>
        <v>0</v>
      </c>
      <c r="AD5" s="11">
        <f t="shared" si="11"/>
        <v>0</v>
      </c>
      <c r="AE5" s="4">
        <f t="shared" si="12"/>
        <v>6096.666666666667</v>
      </c>
      <c r="AF5" s="3">
        <f t="shared" si="13"/>
        <v>5384.6153846153848</v>
      </c>
      <c r="AG5" s="3">
        <f t="shared" si="27"/>
        <v>592.30769230769238</v>
      </c>
      <c r="AH5" s="1">
        <v>1666.6666666666667</v>
      </c>
      <c r="AI5" s="1">
        <f t="shared" si="28"/>
        <v>46052.307692307688</v>
      </c>
      <c r="AJ5" s="1">
        <f t="shared" si="29"/>
        <v>50.435897435897402</v>
      </c>
      <c r="AK5" s="3">
        <f t="shared" si="30"/>
        <v>3.0483333333333333</v>
      </c>
      <c r="AL5" s="4">
        <f t="shared" si="18"/>
        <v>5450.874743589744</v>
      </c>
      <c r="AM5" s="3">
        <v>0</v>
      </c>
      <c r="AN5" s="4">
        <f t="shared" si="19"/>
        <v>5450.874743589744</v>
      </c>
      <c r="AO5" s="1">
        <f t="shared" si="20"/>
        <v>1009.6153846153846</v>
      </c>
      <c r="AP5" s="34">
        <v>20</v>
      </c>
      <c r="AQ5" s="46">
        <f t="shared" si="31"/>
        <v>7106.2820512820517</v>
      </c>
    </row>
    <row r="6" spans="1:43" x14ac:dyDescent="0.35">
      <c r="A6" s="37" t="s">
        <v>190</v>
      </c>
      <c r="B6" s="37" t="s">
        <v>267</v>
      </c>
      <c r="C6" s="50" t="s">
        <v>122</v>
      </c>
      <c r="D6" s="54" t="s">
        <v>47</v>
      </c>
      <c r="E6" s="56" t="s">
        <v>51</v>
      </c>
      <c r="F6" s="63" t="s">
        <v>194</v>
      </c>
      <c r="G6" s="58" t="s">
        <v>189</v>
      </c>
      <c r="H6" s="59">
        <v>4000</v>
      </c>
      <c r="I6" s="59">
        <v>3000</v>
      </c>
      <c r="J6" s="24"/>
      <c r="K6" s="60">
        <v>0.61</v>
      </c>
      <c r="L6" s="9">
        <f t="shared" si="0"/>
        <v>1830</v>
      </c>
      <c r="M6" s="9">
        <v>0</v>
      </c>
      <c r="N6" s="9">
        <f t="shared" si="21"/>
        <v>30</v>
      </c>
      <c r="O6" s="9">
        <f t="shared" si="22"/>
        <v>0</v>
      </c>
      <c r="P6" s="10">
        <f t="shared" si="23"/>
        <v>133.33333333333334</v>
      </c>
      <c r="Q6" s="10">
        <f t="shared" si="24"/>
        <v>61</v>
      </c>
      <c r="R6" s="10">
        <f t="shared" si="25"/>
        <v>194.33333333333334</v>
      </c>
      <c r="S6" s="10">
        <f t="shared" si="26"/>
        <v>16.666666666666668</v>
      </c>
      <c r="T6" s="9">
        <v>16</v>
      </c>
      <c r="U6" s="9">
        <f t="shared" si="6"/>
        <v>266.66666666666669</v>
      </c>
      <c r="V6" s="9">
        <v>0</v>
      </c>
      <c r="W6" s="15">
        <f t="shared" si="7"/>
        <v>6096.666666666667</v>
      </c>
      <c r="X6" s="23">
        <v>0</v>
      </c>
      <c r="Y6" s="23">
        <f t="shared" si="8"/>
        <v>0</v>
      </c>
      <c r="Z6" s="31">
        <v>0</v>
      </c>
      <c r="AA6" s="23">
        <f t="shared" si="9"/>
        <v>0</v>
      </c>
      <c r="AB6" s="23">
        <v>0</v>
      </c>
      <c r="AC6" s="23">
        <f t="shared" si="10"/>
        <v>0</v>
      </c>
      <c r="AD6" s="11">
        <f t="shared" si="11"/>
        <v>0</v>
      </c>
      <c r="AE6" s="4">
        <f t="shared" si="12"/>
        <v>6096.666666666667</v>
      </c>
      <c r="AF6" s="3">
        <f t="shared" si="13"/>
        <v>5384.6153846153848</v>
      </c>
      <c r="AG6" s="3">
        <f t="shared" si="27"/>
        <v>592.30769230769238</v>
      </c>
      <c r="AH6" s="1">
        <v>1666.6666666666667</v>
      </c>
      <c r="AI6" s="1">
        <f t="shared" si="28"/>
        <v>46052.307692307688</v>
      </c>
      <c r="AJ6" s="1">
        <f t="shared" si="29"/>
        <v>50.435897435897402</v>
      </c>
      <c r="AK6" s="3">
        <f t="shared" si="30"/>
        <v>3.0483333333333333</v>
      </c>
      <c r="AL6" s="4">
        <f t="shared" si="18"/>
        <v>5450.874743589744</v>
      </c>
      <c r="AM6" s="3">
        <v>0</v>
      </c>
      <c r="AN6" s="4">
        <f t="shared" si="19"/>
        <v>5450.874743589744</v>
      </c>
      <c r="AO6" s="1">
        <f t="shared" si="20"/>
        <v>1009.6153846153846</v>
      </c>
      <c r="AP6" s="34">
        <v>19</v>
      </c>
      <c r="AQ6" s="46">
        <f t="shared" si="31"/>
        <v>7106.2820512820517</v>
      </c>
    </row>
    <row r="7" spans="1:43" x14ac:dyDescent="0.35">
      <c r="A7" s="37" t="s">
        <v>190</v>
      </c>
      <c r="B7" s="37" t="s">
        <v>268</v>
      </c>
      <c r="C7" s="50" t="s">
        <v>123</v>
      </c>
      <c r="D7" s="54" t="s">
        <v>47</v>
      </c>
      <c r="E7" s="56" t="s">
        <v>52</v>
      </c>
      <c r="F7" s="63" t="s">
        <v>195</v>
      </c>
      <c r="G7" s="58" t="s">
        <v>189</v>
      </c>
      <c r="H7" s="59">
        <v>4000</v>
      </c>
      <c r="I7" s="59">
        <v>3000</v>
      </c>
      <c r="J7" s="24"/>
      <c r="K7" s="60">
        <v>0.61</v>
      </c>
      <c r="L7" s="9">
        <f t="shared" si="0"/>
        <v>1830</v>
      </c>
      <c r="M7" s="9">
        <v>0</v>
      </c>
      <c r="N7" s="9">
        <f t="shared" si="21"/>
        <v>30</v>
      </c>
      <c r="O7" s="9">
        <f t="shared" si="22"/>
        <v>0</v>
      </c>
      <c r="P7" s="10">
        <f t="shared" si="23"/>
        <v>133.33333333333334</v>
      </c>
      <c r="Q7" s="10">
        <f t="shared" si="24"/>
        <v>61</v>
      </c>
      <c r="R7" s="10">
        <f t="shared" si="25"/>
        <v>194.33333333333334</v>
      </c>
      <c r="S7" s="10">
        <f t="shared" si="26"/>
        <v>16.666666666666668</v>
      </c>
      <c r="T7" s="9">
        <v>16</v>
      </c>
      <c r="U7" s="9">
        <f t="shared" si="6"/>
        <v>266.66666666666669</v>
      </c>
      <c r="V7" s="9">
        <v>0</v>
      </c>
      <c r="W7" s="15">
        <f t="shared" si="7"/>
        <v>6096.666666666667</v>
      </c>
      <c r="X7" s="23">
        <v>0</v>
      </c>
      <c r="Y7" s="23">
        <f t="shared" si="8"/>
        <v>0</v>
      </c>
      <c r="Z7" s="31">
        <v>0</v>
      </c>
      <c r="AA7" s="23">
        <f t="shared" si="9"/>
        <v>0</v>
      </c>
      <c r="AB7" s="23">
        <v>0</v>
      </c>
      <c r="AC7" s="23">
        <f t="shared" si="10"/>
        <v>0</v>
      </c>
      <c r="AD7" s="11">
        <f t="shared" si="11"/>
        <v>0</v>
      </c>
      <c r="AE7" s="4">
        <f t="shared" si="12"/>
        <v>6096.666666666667</v>
      </c>
      <c r="AF7" s="3">
        <f t="shared" si="13"/>
        <v>5384.6153846153848</v>
      </c>
      <c r="AG7" s="3">
        <f t="shared" si="27"/>
        <v>592.30769230769238</v>
      </c>
      <c r="AH7" s="1">
        <v>1666.6666666666667</v>
      </c>
      <c r="AI7" s="1">
        <f t="shared" si="28"/>
        <v>46052.307692307688</v>
      </c>
      <c r="AJ7" s="1">
        <f t="shared" si="29"/>
        <v>50.435897435897402</v>
      </c>
      <c r="AK7" s="3">
        <f t="shared" si="30"/>
        <v>3.0483333333333333</v>
      </c>
      <c r="AL7" s="4">
        <f t="shared" si="18"/>
        <v>5450.874743589744</v>
      </c>
      <c r="AM7" s="3">
        <v>0</v>
      </c>
      <c r="AN7" s="4">
        <f t="shared" si="19"/>
        <v>5450.874743589744</v>
      </c>
      <c r="AO7" s="1">
        <f t="shared" si="20"/>
        <v>1009.6153846153846</v>
      </c>
      <c r="AP7" s="34">
        <v>20</v>
      </c>
      <c r="AQ7" s="46">
        <f t="shared" si="31"/>
        <v>7106.2820512820517</v>
      </c>
    </row>
    <row r="8" spans="1:43" x14ac:dyDescent="0.35">
      <c r="A8" s="37" t="s">
        <v>190</v>
      </c>
      <c r="B8" s="37" t="s">
        <v>269</v>
      </c>
      <c r="C8" s="50" t="s">
        <v>124</v>
      </c>
      <c r="D8" s="54" t="s">
        <v>47</v>
      </c>
      <c r="E8" s="56" t="s">
        <v>53</v>
      </c>
      <c r="F8" s="63" t="s">
        <v>196</v>
      </c>
      <c r="G8" s="58" t="s">
        <v>189</v>
      </c>
      <c r="H8" s="59">
        <v>4000</v>
      </c>
      <c r="I8" s="59">
        <v>3000</v>
      </c>
      <c r="J8" s="24"/>
      <c r="K8" s="60">
        <v>0.61</v>
      </c>
      <c r="L8" s="9">
        <f t="shared" si="0"/>
        <v>1830</v>
      </c>
      <c r="M8" s="9">
        <v>0</v>
      </c>
      <c r="N8" s="9">
        <f t="shared" si="21"/>
        <v>30</v>
      </c>
      <c r="O8" s="9">
        <f t="shared" si="22"/>
        <v>0</v>
      </c>
      <c r="P8" s="10">
        <f t="shared" si="23"/>
        <v>133.33333333333334</v>
      </c>
      <c r="Q8" s="10">
        <f t="shared" si="24"/>
        <v>61</v>
      </c>
      <c r="R8" s="10">
        <f t="shared" si="25"/>
        <v>194.33333333333334</v>
      </c>
      <c r="S8" s="10">
        <f t="shared" si="26"/>
        <v>16.666666666666668</v>
      </c>
      <c r="T8" s="9">
        <v>16</v>
      </c>
      <c r="U8" s="9">
        <f t="shared" si="6"/>
        <v>266.66666666666669</v>
      </c>
      <c r="V8" s="9">
        <v>0</v>
      </c>
      <c r="W8" s="15">
        <f t="shared" si="7"/>
        <v>6096.666666666667</v>
      </c>
      <c r="X8" s="23">
        <v>0</v>
      </c>
      <c r="Y8" s="23">
        <f t="shared" si="8"/>
        <v>0</v>
      </c>
      <c r="Z8" s="31">
        <v>0</v>
      </c>
      <c r="AA8" s="23">
        <f t="shared" si="9"/>
        <v>0</v>
      </c>
      <c r="AB8" s="23">
        <v>0</v>
      </c>
      <c r="AC8" s="23">
        <f t="shared" si="10"/>
        <v>0</v>
      </c>
      <c r="AD8" s="11">
        <f t="shared" si="11"/>
        <v>0</v>
      </c>
      <c r="AE8" s="4">
        <f t="shared" si="12"/>
        <v>6096.666666666667</v>
      </c>
      <c r="AF8" s="3">
        <f t="shared" si="13"/>
        <v>5384.6153846153848</v>
      </c>
      <c r="AG8" s="3">
        <f t="shared" si="27"/>
        <v>592.30769230769238</v>
      </c>
      <c r="AH8" s="1">
        <v>1666.6666666666667</v>
      </c>
      <c r="AI8" s="1">
        <f t="shared" si="28"/>
        <v>46052.307692307688</v>
      </c>
      <c r="AJ8" s="1">
        <f t="shared" si="29"/>
        <v>50.435897435897402</v>
      </c>
      <c r="AK8" s="3">
        <f t="shared" si="30"/>
        <v>3.0483333333333333</v>
      </c>
      <c r="AL8" s="4">
        <f t="shared" si="18"/>
        <v>5450.874743589744</v>
      </c>
      <c r="AM8" s="3">
        <v>0</v>
      </c>
      <c r="AN8" s="4">
        <f t="shared" si="19"/>
        <v>5450.874743589744</v>
      </c>
      <c r="AO8" s="1">
        <f t="shared" si="20"/>
        <v>1009.6153846153846</v>
      </c>
      <c r="AP8" s="34">
        <v>20</v>
      </c>
      <c r="AQ8" s="46">
        <f t="shared" si="31"/>
        <v>7106.2820512820517</v>
      </c>
    </row>
    <row r="9" spans="1:43" x14ac:dyDescent="0.35">
      <c r="A9" s="37" t="s">
        <v>190</v>
      </c>
      <c r="B9" s="37" t="s">
        <v>270</v>
      </c>
      <c r="C9" s="50" t="s">
        <v>125</v>
      </c>
      <c r="D9" s="54" t="s">
        <v>47</v>
      </c>
      <c r="E9" s="56" t="s">
        <v>54</v>
      </c>
      <c r="F9" s="63" t="s">
        <v>197</v>
      </c>
      <c r="G9" s="58" t="s">
        <v>189</v>
      </c>
      <c r="H9" s="59">
        <v>4000</v>
      </c>
      <c r="I9" s="59">
        <v>3000</v>
      </c>
      <c r="J9" s="24"/>
      <c r="K9" s="60">
        <v>0.61</v>
      </c>
      <c r="L9" s="9">
        <f t="shared" si="0"/>
        <v>1830</v>
      </c>
      <c r="M9" s="9">
        <v>0</v>
      </c>
      <c r="N9" s="9">
        <f t="shared" si="21"/>
        <v>30</v>
      </c>
      <c r="O9" s="9">
        <f t="shared" si="22"/>
        <v>0</v>
      </c>
      <c r="P9" s="10">
        <f t="shared" si="23"/>
        <v>133.33333333333334</v>
      </c>
      <c r="Q9" s="10">
        <f t="shared" si="24"/>
        <v>61</v>
      </c>
      <c r="R9" s="10">
        <f t="shared" si="25"/>
        <v>194.33333333333334</v>
      </c>
      <c r="S9" s="10">
        <f t="shared" si="26"/>
        <v>16.666666666666668</v>
      </c>
      <c r="T9" s="9">
        <v>0</v>
      </c>
      <c r="U9" s="9">
        <f t="shared" si="6"/>
        <v>0</v>
      </c>
      <c r="V9" s="9">
        <v>0</v>
      </c>
      <c r="W9" s="15">
        <f t="shared" si="7"/>
        <v>5830</v>
      </c>
      <c r="X9" s="23">
        <v>0</v>
      </c>
      <c r="Y9" s="23">
        <f t="shared" si="8"/>
        <v>0</v>
      </c>
      <c r="Z9" s="31">
        <v>0</v>
      </c>
      <c r="AA9" s="23">
        <f t="shared" si="9"/>
        <v>0</v>
      </c>
      <c r="AB9" s="23">
        <v>0</v>
      </c>
      <c r="AC9" s="23">
        <f t="shared" si="10"/>
        <v>0</v>
      </c>
      <c r="AD9" s="11">
        <f t="shared" si="11"/>
        <v>0</v>
      </c>
      <c r="AE9" s="4">
        <f t="shared" si="12"/>
        <v>5830</v>
      </c>
      <c r="AF9" s="3">
        <f t="shared" si="13"/>
        <v>5384.6153846153848</v>
      </c>
      <c r="AG9" s="3">
        <f t="shared" si="27"/>
        <v>592.30769230769238</v>
      </c>
      <c r="AH9" s="1">
        <v>1666.6666666666667</v>
      </c>
      <c r="AI9" s="1">
        <f t="shared" si="28"/>
        <v>42852.307692307688</v>
      </c>
      <c r="AJ9" s="1">
        <f t="shared" si="29"/>
        <v>23.769230769230731</v>
      </c>
      <c r="AK9" s="3">
        <f t="shared" si="30"/>
        <v>2.915</v>
      </c>
      <c r="AL9" s="4">
        <f t="shared" si="18"/>
        <v>5211.0080769230772</v>
      </c>
      <c r="AM9" s="3">
        <v>0</v>
      </c>
      <c r="AN9" s="4">
        <f t="shared" si="19"/>
        <v>5211.0080769230772</v>
      </c>
      <c r="AO9" s="1">
        <f t="shared" si="20"/>
        <v>1009.6153846153846</v>
      </c>
      <c r="AP9" s="34">
        <v>19</v>
      </c>
      <c r="AQ9" s="46">
        <f t="shared" si="31"/>
        <v>6839.6153846153848</v>
      </c>
    </row>
    <row r="10" spans="1:43" x14ac:dyDescent="0.35">
      <c r="A10" s="37" t="s">
        <v>190</v>
      </c>
      <c r="B10" s="37" t="s">
        <v>271</v>
      </c>
      <c r="C10" s="50" t="s">
        <v>126</v>
      </c>
      <c r="D10" s="54" t="s">
        <v>47</v>
      </c>
      <c r="E10" s="56" t="s">
        <v>55</v>
      </c>
      <c r="F10" s="63" t="s">
        <v>198</v>
      </c>
      <c r="G10" s="58" t="s">
        <v>189</v>
      </c>
      <c r="H10" s="59">
        <v>4000</v>
      </c>
      <c r="I10" s="59">
        <v>3000</v>
      </c>
      <c r="J10" s="24"/>
      <c r="K10" s="60">
        <v>0.61</v>
      </c>
      <c r="L10" s="9">
        <f t="shared" si="0"/>
        <v>1830</v>
      </c>
      <c r="M10" s="9">
        <v>0</v>
      </c>
      <c r="N10" s="9">
        <f t="shared" si="21"/>
        <v>30</v>
      </c>
      <c r="O10" s="9">
        <f t="shared" si="22"/>
        <v>0</v>
      </c>
      <c r="P10" s="10">
        <f t="shared" si="23"/>
        <v>133.33333333333334</v>
      </c>
      <c r="Q10" s="10">
        <f t="shared" si="24"/>
        <v>61</v>
      </c>
      <c r="R10" s="10">
        <f t="shared" si="25"/>
        <v>194.33333333333334</v>
      </c>
      <c r="S10" s="10">
        <f t="shared" si="26"/>
        <v>16.666666666666668</v>
      </c>
      <c r="T10" s="9">
        <v>16</v>
      </c>
      <c r="U10" s="9">
        <f t="shared" si="6"/>
        <v>266.66666666666669</v>
      </c>
      <c r="V10" s="9">
        <v>0</v>
      </c>
      <c r="W10" s="15">
        <f t="shared" si="7"/>
        <v>6096.666666666667</v>
      </c>
      <c r="X10" s="23">
        <v>0</v>
      </c>
      <c r="Y10" s="23">
        <f t="shared" si="8"/>
        <v>0</v>
      </c>
      <c r="Z10" s="31">
        <v>0</v>
      </c>
      <c r="AA10" s="23">
        <f t="shared" si="9"/>
        <v>0</v>
      </c>
      <c r="AB10" s="23">
        <v>0</v>
      </c>
      <c r="AC10" s="23">
        <f t="shared" si="10"/>
        <v>0</v>
      </c>
      <c r="AD10" s="11">
        <f t="shared" si="11"/>
        <v>0</v>
      </c>
      <c r="AE10" s="4">
        <f t="shared" si="12"/>
        <v>6096.666666666667</v>
      </c>
      <c r="AF10" s="3">
        <f t="shared" si="13"/>
        <v>5384.6153846153848</v>
      </c>
      <c r="AG10" s="3">
        <f t="shared" si="27"/>
        <v>592.30769230769238</v>
      </c>
      <c r="AH10" s="1">
        <v>1666.6666666666667</v>
      </c>
      <c r="AI10" s="1">
        <f t="shared" si="28"/>
        <v>46052.307692307688</v>
      </c>
      <c r="AJ10" s="1">
        <f t="shared" si="29"/>
        <v>50.435897435897402</v>
      </c>
      <c r="AK10" s="3">
        <f t="shared" si="30"/>
        <v>3.0483333333333333</v>
      </c>
      <c r="AL10" s="4">
        <f t="shared" si="18"/>
        <v>5450.874743589744</v>
      </c>
      <c r="AM10" s="3">
        <v>0</v>
      </c>
      <c r="AN10" s="4">
        <f t="shared" si="19"/>
        <v>5450.874743589744</v>
      </c>
      <c r="AO10" s="1">
        <f t="shared" si="20"/>
        <v>1009.6153846153846</v>
      </c>
      <c r="AP10" s="34">
        <v>20</v>
      </c>
      <c r="AQ10" s="46">
        <f t="shared" si="31"/>
        <v>7106.2820512820517</v>
      </c>
    </row>
    <row r="11" spans="1:43" x14ac:dyDescent="0.35">
      <c r="A11" s="37" t="s">
        <v>190</v>
      </c>
      <c r="B11" s="37" t="s">
        <v>272</v>
      </c>
      <c r="C11" s="50" t="s">
        <v>127</v>
      </c>
      <c r="D11" s="54" t="s">
        <v>47</v>
      </c>
      <c r="E11" s="55" t="s">
        <v>56</v>
      </c>
      <c r="F11" s="63" t="s">
        <v>199</v>
      </c>
      <c r="G11" s="58" t="s">
        <v>189</v>
      </c>
      <c r="H11" s="59">
        <v>4000</v>
      </c>
      <c r="I11" s="59">
        <v>3000</v>
      </c>
      <c r="J11" s="24"/>
      <c r="K11" s="60">
        <v>0.61</v>
      </c>
      <c r="L11" s="9">
        <f t="shared" si="0"/>
        <v>1830</v>
      </c>
      <c r="M11" s="9">
        <v>0</v>
      </c>
      <c r="N11" s="9">
        <f t="shared" si="21"/>
        <v>30</v>
      </c>
      <c r="O11" s="9">
        <f t="shared" si="22"/>
        <v>0</v>
      </c>
      <c r="P11" s="10">
        <f t="shared" si="23"/>
        <v>133.33333333333334</v>
      </c>
      <c r="Q11" s="10">
        <f t="shared" si="24"/>
        <v>61</v>
      </c>
      <c r="R11" s="10">
        <f t="shared" si="25"/>
        <v>194.33333333333334</v>
      </c>
      <c r="S11" s="10">
        <f t="shared" si="26"/>
        <v>16.666666666666668</v>
      </c>
      <c r="T11" s="9">
        <v>16</v>
      </c>
      <c r="U11" s="9">
        <f t="shared" si="6"/>
        <v>266.66666666666669</v>
      </c>
      <c r="V11" s="9">
        <v>0</v>
      </c>
      <c r="W11" s="15">
        <f t="shared" si="7"/>
        <v>6096.666666666667</v>
      </c>
      <c r="X11" s="23">
        <v>0</v>
      </c>
      <c r="Y11" s="23">
        <f t="shared" si="8"/>
        <v>0</v>
      </c>
      <c r="Z11" s="31">
        <v>0</v>
      </c>
      <c r="AA11" s="23">
        <f t="shared" si="9"/>
        <v>0</v>
      </c>
      <c r="AB11" s="23">
        <v>0</v>
      </c>
      <c r="AC11" s="23">
        <f t="shared" si="10"/>
        <v>0</v>
      </c>
      <c r="AD11" s="11">
        <f t="shared" si="11"/>
        <v>0</v>
      </c>
      <c r="AE11" s="4">
        <f t="shared" si="12"/>
        <v>6096.666666666667</v>
      </c>
      <c r="AF11" s="3">
        <f t="shared" si="13"/>
        <v>5384.6153846153848</v>
      </c>
      <c r="AG11" s="3">
        <f t="shared" si="27"/>
        <v>592.30769230769238</v>
      </c>
      <c r="AH11" s="1">
        <v>1666.6666666666667</v>
      </c>
      <c r="AI11" s="1">
        <f t="shared" si="28"/>
        <v>46052.307692307688</v>
      </c>
      <c r="AJ11" s="1">
        <f t="shared" si="29"/>
        <v>50.435897435897402</v>
      </c>
      <c r="AK11" s="3">
        <f t="shared" si="30"/>
        <v>3.0483333333333333</v>
      </c>
      <c r="AL11" s="4">
        <f t="shared" si="18"/>
        <v>5450.874743589744</v>
      </c>
      <c r="AM11" s="3">
        <v>0</v>
      </c>
      <c r="AN11" s="4">
        <f t="shared" si="19"/>
        <v>5450.874743589744</v>
      </c>
      <c r="AO11" s="1">
        <f t="shared" si="20"/>
        <v>1009.6153846153846</v>
      </c>
      <c r="AP11" s="34">
        <v>20</v>
      </c>
      <c r="AQ11" s="46">
        <f t="shared" si="31"/>
        <v>7106.2820512820517</v>
      </c>
    </row>
    <row r="12" spans="1:43" x14ac:dyDescent="0.35">
      <c r="A12" s="37" t="s">
        <v>190</v>
      </c>
      <c r="B12" s="37" t="s">
        <v>273</v>
      </c>
      <c r="C12" s="50" t="s">
        <v>128</v>
      </c>
      <c r="D12" s="54" t="s">
        <v>47</v>
      </c>
      <c r="E12" s="56" t="s">
        <v>57</v>
      </c>
      <c r="F12" s="63" t="s">
        <v>200</v>
      </c>
      <c r="G12" s="58" t="s">
        <v>353</v>
      </c>
      <c r="H12" s="59">
        <v>4600</v>
      </c>
      <c r="I12" s="59">
        <v>3000</v>
      </c>
      <c r="J12" s="24"/>
      <c r="K12" s="60">
        <v>0.61</v>
      </c>
      <c r="L12" s="9">
        <f t="shared" si="0"/>
        <v>1830</v>
      </c>
      <c r="M12" s="9">
        <v>0</v>
      </c>
      <c r="N12" s="9">
        <f t="shared" si="21"/>
        <v>30</v>
      </c>
      <c r="O12" s="9">
        <f t="shared" si="22"/>
        <v>0</v>
      </c>
      <c r="P12" s="10">
        <f t="shared" si="23"/>
        <v>153.33333333333334</v>
      </c>
      <c r="Q12" s="10">
        <f t="shared" si="24"/>
        <v>61</v>
      </c>
      <c r="R12" s="10">
        <f t="shared" si="25"/>
        <v>214.33333333333334</v>
      </c>
      <c r="S12" s="10">
        <f t="shared" si="26"/>
        <v>19.166666666666668</v>
      </c>
      <c r="T12" s="9">
        <v>16</v>
      </c>
      <c r="U12" s="9">
        <f t="shared" si="6"/>
        <v>306.66666666666669</v>
      </c>
      <c r="V12" s="9">
        <v>0</v>
      </c>
      <c r="W12" s="15">
        <f t="shared" si="7"/>
        <v>6736.666666666667</v>
      </c>
      <c r="X12" s="23">
        <v>0</v>
      </c>
      <c r="Y12" s="23">
        <f t="shared" si="8"/>
        <v>0</v>
      </c>
      <c r="Z12" s="31">
        <v>0</v>
      </c>
      <c r="AA12" s="23">
        <f t="shared" si="9"/>
        <v>0</v>
      </c>
      <c r="AB12" s="23">
        <v>0</v>
      </c>
      <c r="AC12" s="23">
        <f t="shared" si="10"/>
        <v>0</v>
      </c>
      <c r="AD12" s="11">
        <f t="shared" si="11"/>
        <v>0</v>
      </c>
      <c r="AE12" s="4">
        <f t="shared" si="12"/>
        <v>6736.666666666667</v>
      </c>
      <c r="AF12" s="3">
        <f t="shared" si="13"/>
        <v>5384.6153846153848</v>
      </c>
      <c r="AG12" s="3">
        <f t="shared" si="27"/>
        <v>592.30769230769238</v>
      </c>
      <c r="AH12" s="1">
        <v>1666.6666666666667</v>
      </c>
      <c r="AI12" s="1">
        <f t="shared" si="28"/>
        <v>53732.307692307688</v>
      </c>
      <c r="AJ12" s="1">
        <f t="shared" si="29"/>
        <v>114.4358974358974</v>
      </c>
      <c r="AK12" s="3">
        <f t="shared" si="30"/>
        <v>3.3683333333333336</v>
      </c>
      <c r="AL12" s="4">
        <f t="shared" si="18"/>
        <v>6026.5547435897442</v>
      </c>
      <c r="AM12" s="3">
        <v>0</v>
      </c>
      <c r="AN12" s="4">
        <f t="shared" si="19"/>
        <v>6026.5547435897442</v>
      </c>
      <c r="AO12" s="1">
        <f t="shared" si="20"/>
        <v>1009.6153846153846</v>
      </c>
      <c r="AP12" s="34">
        <v>20</v>
      </c>
      <c r="AQ12" s="46">
        <f t="shared" si="31"/>
        <v>7746.2820512820517</v>
      </c>
    </row>
    <row r="13" spans="1:43" x14ac:dyDescent="0.35">
      <c r="A13" s="37" t="s">
        <v>190</v>
      </c>
      <c r="B13" s="37" t="s">
        <v>274</v>
      </c>
      <c r="C13" s="50" t="s">
        <v>129</v>
      </c>
      <c r="D13" s="54" t="s">
        <v>47</v>
      </c>
      <c r="E13" s="56" t="s">
        <v>58</v>
      </c>
      <c r="F13" s="63" t="s">
        <v>201</v>
      </c>
      <c r="G13" s="58" t="s">
        <v>189</v>
      </c>
      <c r="H13" s="59">
        <v>4000</v>
      </c>
      <c r="I13" s="59">
        <v>3000</v>
      </c>
      <c r="J13" s="24"/>
      <c r="K13" s="60">
        <v>0.61</v>
      </c>
      <c r="L13" s="9">
        <f t="shared" si="0"/>
        <v>1830</v>
      </c>
      <c r="M13" s="9">
        <v>0</v>
      </c>
      <c r="N13" s="9">
        <f t="shared" si="21"/>
        <v>30</v>
      </c>
      <c r="O13" s="9">
        <f t="shared" si="22"/>
        <v>0</v>
      </c>
      <c r="P13" s="10">
        <f t="shared" si="23"/>
        <v>133.33333333333334</v>
      </c>
      <c r="Q13" s="10">
        <f t="shared" si="24"/>
        <v>61</v>
      </c>
      <c r="R13" s="10">
        <f t="shared" si="25"/>
        <v>194.33333333333334</v>
      </c>
      <c r="S13" s="10">
        <f t="shared" si="26"/>
        <v>16.666666666666668</v>
      </c>
      <c r="T13" s="9">
        <v>16</v>
      </c>
      <c r="U13" s="9">
        <f t="shared" si="6"/>
        <v>266.66666666666669</v>
      </c>
      <c r="V13" s="9">
        <v>0</v>
      </c>
      <c r="W13" s="15">
        <f t="shared" si="7"/>
        <v>6096.666666666667</v>
      </c>
      <c r="X13" s="23">
        <v>0</v>
      </c>
      <c r="Y13" s="23">
        <f t="shared" si="8"/>
        <v>0</v>
      </c>
      <c r="Z13" s="31">
        <v>0</v>
      </c>
      <c r="AA13" s="23">
        <f t="shared" si="9"/>
        <v>0</v>
      </c>
      <c r="AB13" s="23">
        <v>0</v>
      </c>
      <c r="AC13" s="23">
        <f t="shared" si="10"/>
        <v>0</v>
      </c>
      <c r="AD13" s="11">
        <f t="shared" si="11"/>
        <v>0</v>
      </c>
      <c r="AE13" s="4">
        <f t="shared" si="12"/>
        <v>6096.666666666667</v>
      </c>
      <c r="AF13" s="3">
        <f t="shared" si="13"/>
        <v>5384.6153846153848</v>
      </c>
      <c r="AG13" s="3">
        <f t="shared" si="27"/>
        <v>592.30769230769238</v>
      </c>
      <c r="AH13" s="1">
        <v>1666.6666666666667</v>
      </c>
      <c r="AI13" s="1">
        <f t="shared" si="28"/>
        <v>46052.307692307688</v>
      </c>
      <c r="AJ13" s="1">
        <f t="shared" si="29"/>
        <v>50.435897435897402</v>
      </c>
      <c r="AK13" s="3">
        <f t="shared" si="30"/>
        <v>3.0483333333333333</v>
      </c>
      <c r="AL13" s="4">
        <f t="shared" si="18"/>
        <v>5450.874743589744</v>
      </c>
      <c r="AM13" s="3">
        <v>0</v>
      </c>
      <c r="AN13" s="4">
        <f t="shared" si="19"/>
        <v>5450.874743589744</v>
      </c>
      <c r="AO13" s="1">
        <f t="shared" si="20"/>
        <v>1009.6153846153846</v>
      </c>
      <c r="AP13" s="34">
        <v>18</v>
      </c>
      <c r="AQ13" s="46">
        <f t="shared" si="31"/>
        <v>7106.2820512820517</v>
      </c>
    </row>
    <row r="14" spans="1:43" x14ac:dyDescent="0.35">
      <c r="A14" s="37" t="s">
        <v>190</v>
      </c>
      <c r="B14" s="37" t="s">
        <v>275</v>
      </c>
      <c r="C14" s="50" t="s">
        <v>130</v>
      </c>
      <c r="D14" s="54" t="s">
        <v>47</v>
      </c>
      <c r="E14" s="55" t="s">
        <v>60</v>
      </c>
      <c r="F14" s="63" t="s">
        <v>202</v>
      </c>
      <c r="G14" s="58" t="s">
        <v>189</v>
      </c>
      <c r="H14" s="59">
        <v>4000</v>
      </c>
      <c r="I14" s="59">
        <v>3000</v>
      </c>
      <c r="J14" s="24"/>
      <c r="K14" s="60">
        <v>0.61</v>
      </c>
      <c r="L14" s="9">
        <f t="shared" si="0"/>
        <v>1830</v>
      </c>
      <c r="M14" s="9">
        <v>0</v>
      </c>
      <c r="N14" s="9">
        <f t="shared" si="21"/>
        <v>30</v>
      </c>
      <c r="O14" s="9">
        <f t="shared" si="22"/>
        <v>0</v>
      </c>
      <c r="P14" s="10">
        <f t="shared" si="23"/>
        <v>133.33333333333334</v>
      </c>
      <c r="Q14" s="10">
        <f t="shared" si="24"/>
        <v>61</v>
      </c>
      <c r="R14" s="10">
        <f t="shared" si="25"/>
        <v>194.33333333333334</v>
      </c>
      <c r="S14" s="10">
        <f t="shared" si="26"/>
        <v>16.666666666666668</v>
      </c>
      <c r="T14" s="9">
        <v>16</v>
      </c>
      <c r="U14" s="9">
        <f t="shared" si="6"/>
        <v>266.66666666666669</v>
      </c>
      <c r="V14" s="9">
        <v>0</v>
      </c>
      <c r="W14" s="15">
        <f t="shared" si="7"/>
        <v>6096.666666666667</v>
      </c>
      <c r="X14" s="23">
        <v>0</v>
      </c>
      <c r="Y14" s="23">
        <f t="shared" si="8"/>
        <v>0</v>
      </c>
      <c r="Z14" s="31">
        <v>0</v>
      </c>
      <c r="AA14" s="23">
        <f t="shared" si="9"/>
        <v>0</v>
      </c>
      <c r="AB14" s="23">
        <v>0</v>
      </c>
      <c r="AC14" s="23">
        <f t="shared" si="10"/>
        <v>0</v>
      </c>
      <c r="AD14" s="11">
        <f t="shared" si="11"/>
        <v>0</v>
      </c>
      <c r="AE14" s="4">
        <f t="shared" si="12"/>
        <v>6096.666666666667</v>
      </c>
      <c r="AF14" s="3">
        <f t="shared" si="13"/>
        <v>5384.6153846153848</v>
      </c>
      <c r="AG14" s="3">
        <f t="shared" si="27"/>
        <v>592.30769230769238</v>
      </c>
      <c r="AH14" s="1">
        <v>1666.6666666666667</v>
      </c>
      <c r="AI14" s="1">
        <f t="shared" si="28"/>
        <v>46052.307692307688</v>
      </c>
      <c r="AJ14" s="1">
        <f t="shared" si="29"/>
        <v>50.435897435897402</v>
      </c>
      <c r="AK14" s="3">
        <f t="shared" si="30"/>
        <v>3.0483333333333333</v>
      </c>
      <c r="AL14" s="4">
        <f t="shared" si="18"/>
        <v>5450.874743589744</v>
      </c>
      <c r="AM14" s="3">
        <v>0</v>
      </c>
      <c r="AN14" s="4">
        <f t="shared" si="19"/>
        <v>5450.874743589744</v>
      </c>
      <c r="AO14" s="1">
        <f t="shared" si="20"/>
        <v>1009.6153846153846</v>
      </c>
      <c r="AP14" s="34">
        <v>20</v>
      </c>
      <c r="AQ14" s="46">
        <f t="shared" si="31"/>
        <v>7106.2820512820517</v>
      </c>
    </row>
    <row r="15" spans="1:43" x14ac:dyDescent="0.35">
      <c r="A15" s="37" t="s">
        <v>190</v>
      </c>
      <c r="B15" s="37" t="s">
        <v>276</v>
      </c>
      <c r="C15" s="50" t="s">
        <v>131</v>
      </c>
      <c r="D15" s="54" t="s">
        <v>47</v>
      </c>
      <c r="E15" s="56" t="s">
        <v>61</v>
      </c>
      <c r="F15" s="63" t="s">
        <v>203</v>
      </c>
      <c r="G15" s="58" t="s">
        <v>189</v>
      </c>
      <c r="H15" s="59">
        <v>4000</v>
      </c>
      <c r="I15" s="59">
        <v>3000</v>
      </c>
      <c r="J15" s="24"/>
      <c r="K15" s="60">
        <v>0.61</v>
      </c>
      <c r="L15" s="9">
        <f t="shared" si="0"/>
        <v>1830</v>
      </c>
      <c r="M15" s="9">
        <v>0</v>
      </c>
      <c r="N15" s="9">
        <f t="shared" si="21"/>
        <v>30</v>
      </c>
      <c r="O15" s="9">
        <f t="shared" si="22"/>
        <v>0</v>
      </c>
      <c r="P15" s="10">
        <f t="shared" si="23"/>
        <v>133.33333333333334</v>
      </c>
      <c r="Q15" s="10">
        <f t="shared" si="24"/>
        <v>61</v>
      </c>
      <c r="R15" s="10">
        <f t="shared" si="25"/>
        <v>194.33333333333334</v>
      </c>
      <c r="S15" s="10">
        <f t="shared" si="26"/>
        <v>16.666666666666668</v>
      </c>
      <c r="T15" s="9">
        <v>16</v>
      </c>
      <c r="U15" s="9">
        <f t="shared" si="6"/>
        <v>266.66666666666669</v>
      </c>
      <c r="V15" s="9">
        <v>0</v>
      </c>
      <c r="W15" s="15">
        <f t="shared" si="7"/>
        <v>6096.666666666667</v>
      </c>
      <c r="X15" s="23">
        <v>0</v>
      </c>
      <c r="Y15" s="23">
        <f t="shared" si="8"/>
        <v>0</v>
      </c>
      <c r="Z15" s="31">
        <v>0</v>
      </c>
      <c r="AA15" s="23">
        <f t="shared" si="9"/>
        <v>0</v>
      </c>
      <c r="AB15" s="23">
        <v>0</v>
      </c>
      <c r="AC15" s="23">
        <f t="shared" si="10"/>
        <v>0</v>
      </c>
      <c r="AD15" s="11">
        <f t="shared" si="11"/>
        <v>0</v>
      </c>
      <c r="AE15" s="4">
        <f t="shared" si="12"/>
        <v>6096.666666666667</v>
      </c>
      <c r="AF15" s="3">
        <f t="shared" si="13"/>
        <v>5384.6153846153848</v>
      </c>
      <c r="AG15" s="3">
        <f t="shared" si="27"/>
        <v>592.30769230769238</v>
      </c>
      <c r="AH15" s="1">
        <v>1666.6666666666667</v>
      </c>
      <c r="AI15" s="1">
        <f t="shared" si="28"/>
        <v>46052.307692307688</v>
      </c>
      <c r="AJ15" s="1">
        <f t="shared" si="29"/>
        <v>50.435897435897402</v>
      </c>
      <c r="AK15" s="3">
        <f t="shared" si="30"/>
        <v>3.0483333333333333</v>
      </c>
      <c r="AL15" s="4">
        <f t="shared" si="18"/>
        <v>5450.874743589744</v>
      </c>
      <c r="AM15" s="3">
        <v>0</v>
      </c>
      <c r="AN15" s="4">
        <f t="shared" si="19"/>
        <v>5450.874743589744</v>
      </c>
      <c r="AO15" s="1">
        <f t="shared" si="20"/>
        <v>1009.6153846153846</v>
      </c>
      <c r="AP15" s="34">
        <v>20</v>
      </c>
      <c r="AQ15" s="46">
        <f t="shared" si="31"/>
        <v>7106.2820512820517</v>
      </c>
    </row>
    <row r="16" spans="1:43" x14ac:dyDescent="0.35">
      <c r="A16" s="37" t="s">
        <v>190</v>
      </c>
      <c r="B16" s="37" t="s">
        <v>277</v>
      </c>
      <c r="C16" s="50" t="s">
        <v>132</v>
      </c>
      <c r="D16" s="54" t="s">
        <v>47</v>
      </c>
      <c r="E16" s="55" t="s">
        <v>62</v>
      </c>
      <c r="F16" s="63" t="s">
        <v>204</v>
      </c>
      <c r="G16" s="58" t="s">
        <v>189</v>
      </c>
      <c r="H16" s="59">
        <v>4000</v>
      </c>
      <c r="I16" s="59">
        <v>3000</v>
      </c>
      <c r="J16" s="24"/>
      <c r="K16" s="60">
        <v>0.61</v>
      </c>
      <c r="L16" s="9">
        <f t="shared" si="0"/>
        <v>1830</v>
      </c>
      <c r="M16" s="9">
        <v>0</v>
      </c>
      <c r="N16" s="9">
        <f t="shared" si="21"/>
        <v>30</v>
      </c>
      <c r="O16" s="9">
        <f t="shared" si="22"/>
        <v>0</v>
      </c>
      <c r="P16" s="10">
        <f t="shared" si="23"/>
        <v>133.33333333333334</v>
      </c>
      <c r="Q16" s="10">
        <f t="shared" si="24"/>
        <v>61</v>
      </c>
      <c r="R16" s="10">
        <f t="shared" si="25"/>
        <v>194.33333333333334</v>
      </c>
      <c r="S16" s="10">
        <f t="shared" si="26"/>
        <v>16.666666666666668</v>
      </c>
      <c r="T16" s="9">
        <v>16</v>
      </c>
      <c r="U16" s="9">
        <f t="shared" si="6"/>
        <v>266.66666666666669</v>
      </c>
      <c r="V16" s="9">
        <v>0</v>
      </c>
      <c r="W16" s="15">
        <f t="shared" si="7"/>
        <v>6096.666666666667</v>
      </c>
      <c r="X16" s="23">
        <v>0</v>
      </c>
      <c r="Y16" s="23">
        <f t="shared" si="8"/>
        <v>0</v>
      </c>
      <c r="Z16" s="31">
        <v>0</v>
      </c>
      <c r="AA16" s="23">
        <f t="shared" si="9"/>
        <v>0</v>
      </c>
      <c r="AB16" s="23">
        <v>0</v>
      </c>
      <c r="AC16" s="23">
        <f t="shared" si="10"/>
        <v>0</v>
      </c>
      <c r="AD16" s="11">
        <f t="shared" si="11"/>
        <v>0</v>
      </c>
      <c r="AE16" s="4">
        <f t="shared" si="12"/>
        <v>6096.666666666667</v>
      </c>
      <c r="AF16" s="3">
        <f t="shared" si="13"/>
        <v>5384.6153846153848</v>
      </c>
      <c r="AG16" s="3">
        <f t="shared" si="27"/>
        <v>592.30769230769238</v>
      </c>
      <c r="AH16" s="1">
        <v>1666.6666666666667</v>
      </c>
      <c r="AI16" s="1">
        <f t="shared" si="28"/>
        <v>46052.307692307688</v>
      </c>
      <c r="AJ16" s="1">
        <f t="shared" si="29"/>
        <v>50.435897435897402</v>
      </c>
      <c r="AK16" s="3">
        <f t="shared" si="30"/>
        <v>3.0483333333333333</v>
      </c>
      <c r="AL16" s="4">
        <f t="shared" si="18"/>
        <v>5450.874743589744</v>
      </c>
      <c r="AM16" s="3">
        <v>0</v>
      </c>
      <c r="AN16" s="4">
        <f t="shared" si="19"/>
        <v>5450.874743589744</v>
      </c>
      <c r="AO16" s="1">
        <f t="shared" si="20"/>
        <v>1009.6153846153846</v>
      </c>
      <c r="AP16" s="34">
        <v>20</v>
      </c>
      <c r="AQ16" s="46">
        <f t="shared" si="31"/>
        <v>7106.2820512820517</v>
      </c>
    </row>
    <row r="17" spans="1:43" x14ac:dyDescent="0.35">
      <c r="A17" s="37" t="s">
        <v>190</v>
      </c>
      <c r="B17" s="37" t="s">
        <v>278</v>
      </c>
      <c r="C17" s="50" t="s">
        <v>133</v>
      </c>
      <c r="D17" s="54" t="s">
        <v>47</v>
      </c>
      <c r="E17" s="56" t="s">
        <v>63</v>
      </c>
      <c r="F17" s="63" t="s">
        <v>205</v>
      </c>
      <c r="G17" s="58" t="s">
        <v>353</v>
      </c>
      <c r="H17" s="59">
        <v>4600</v>
      </c>
      <c r="I17" s="59">
        <v>3000</v>
      </c>
      <c r="J17" s="24"/>
      <c r="K17" s="60">
        <v>0.61</v>
      </c>
      <c r="L17" s="9">
        <f t="shared" si="0"/>
        <v>1830</v>
      </c>
      <c r="M17" s="9">
        <v>0</v>
      </c>
      <c r="N17" s="9">
        <f t="shared" si="21"/>
        <v>30</v>
      </c>
      <c r="O17" s="9">
        <f t="shared" si="22"/>
        <v>0</v>
      </c>
      <c r="P17" s="10">
        <f t="shared" si="23"/>
        <v>153.33333333333334</v>
      </c>
      <c r="Q17" s="10">
        <f t="shared" si="24"/>
        <v>61</v>
      </c>
      <c r="R17" s="10">
        <f t="shared" si="25"/>
        <v>214.33333333333334</v>
      </c>
      <c r="S17" s="10">
        <f t="shared" si="26"/>
        <v>19.166666666666668</v>
      </c>
      <c r="T17" s="41">
        <v>16</v>
      </c>
      <c r="U17" s="9">
        <f t="shared" si="6"/>
        <v>306.66666666666669</v>
      </c>
      <c r="V17" s="9">
        <v>0</v>
      </c>
      <c r="W17" s="15">
        <f t="shared" si="7"/>
        <v>6736.666666666667</v>
      </c>
      <c r="X17" s="23">
        <v>0</v>
      </c>
      <c r="Y17" s="23">
        <f t="shared" si="8"/>
        <v>0</v>
      </c>
      <c r="Z17" s="31">
        <v>0</v>
      </c>
      <c r="AA17" s="23">
        <f t="shared" si="9"/>
        <v>0</v>
      </c>
      <c r="AB17" s="23">
        <v>0</v>
      </c>
      <c r="AC17" s="23">
        <f t="shared" si="10"/>
        <v>0</v>
      </c>
      <c r="AD17" s="11">
        <f t="shared" si="11"/>
        <v>0</v>
      </c>
      <c r="AE17" s="4">
        <f t="shared" si="12"/>
        <v>6736.666666666667</v>
      </c>
      <c r="AF17" s="3">
        <f t="shared" si="13"/>
        <v>5384.6153846153848</v>
      </c>
      <c r="AG17" s="3">
        <f t="shared" si="27"/>
        <v>592.30769230769238</v>
      </c>
      <c r="AH17" s="1">
        <v>1666.6666666666667</v>
      </c>
      <c r="AI17" s="1">
        <f t="shared" si="28"/>
        <v>53732.307692307688</v>
      </c>
      <c r="AJ17" s="1">
        <f t="shared" si="29"/>
        <v>114.4358974358974</v>
      </c>
      <c r="AK17" s="3">
        <f t="shared" si="30"/>
        <v>3.3683333333333336</v>
      </c>
      <c r="AL17" s="4">
        <f t="shared" si="18"/>
        <v>6026.5547435897442</v>
      </c>
      <c r="AM17" s="3">
        <v>0</v>
      </c>
      <c r="AN17" s="4">
        <f t="shared" si="19"/>
        <v>6026.5547435897442</v>
      </c>
      <c r="AO17" s="1">
        <f t="shared" si="20"/>
        <v>1009.6153846153846</v>
      </c>
      <c r="AP17" s="34">
        <v>19</v>
      </c>
      <c r="AQ17" s="46">
        <f t="shared" si="31"/>
        <v>7746.2820512820517</v>
      </c>
    </row>
    <row r="18" spans="1:43" x14ac:dyDescent="0.35">
      <c r="A18" s="37" t="s">
        <v>190</v>
      </c>
      <c r="B18" s="37" t="s">
        <v>279</v>
      </c>
      <c r="C18" s="50" t="s">
        <v>134</v>
      </c>
      <c r="D18" s="54" t="s">
        <v>47</v>
      </c>
      <c r="E18" s="56" t="s">
        <v>64</v>
      </c>
      <c r="F18" s="63" t="s">
        <v>206</v>
      </c>
      <c r="G18" s="58" t="s">
        <v>189</v>
      </c>
      <c r="H18" s="59">
        <v>4000</v>
      </c>
      <c r="I18" s="59">
        <v>3000</v>
      </c>
      <c r="J18" s="24"/>
      <c r="K18" s="60">
        <v>0.61</v>
      </c>
      <c r="L18" s="9">
        <f t="shared" si="0"/>
        <v>1830</v>
      </c>
      <c r="M18" s="9">
        <v>0</v>
      </c>
      <c r="N18" s="9">
        <f t="shared" si="21"/>
        <v>30</v>
      </c>
      <c r="O18" s="9">
        <f t="shared" si="22"/>
        <v>0</v>
      </c>
      <c r="P18" s="10">
        <f t="shared" si="23"/>
        <v>133.33333333333334</v>
      </c>
      <c r="Q18" s="10">
        <f t="shared" si="24"/>
        <v>61</v>
      </c>
      <c r="R18" s="10">
        <f t="shared" si="25"/>
        <v>194.33333333333334</v>
      </c>
      <c r="S18" s="10">
        <f t="shared" si="26"/>
        <v>16.666666666666668</v>
      </c>
      <c r="T18" s="9">
        <v>16</v>
      </c>
      <c r="U18" s="9">
        <f t="shared" si="6"/>
        <v>266.66666666666669</v>
      </c>
      <c r="V18" s="9">
        <v>0</v>
      </c>
      <c r="W18" s="15">
        <f t="shared" si="7"/>
        <v>6096.666666666667</v>
      </c>
      <c r="X18" s="23">
        <v>0</v>
      </c>
      <c r="Y18" s="23">
        <f t="shared" si="8"/>
        <v>0</v>
      </c>
      <c r="Z18" s="31">
        <v>0</v>
      </c>
      <c r="AA18" s="23">
        <f t="shared" si="9"/>
        <v>0</v>
      </c>
      <c r="AB18" s="23">
        <v>0</v>
      </c>
      <c r="AC18" s="23">
        <f t="shared" si="10"/>
        <v>0</v>
      </c>
      <c r="AD18" s="11">
        <f t="shared" si="11"/>
        <v>0</v>
      </c>
      <c r="AE18" s="4">
        <f t="shared" si="12"/>
        <v>6096.666666666667</v>
      </c>
      <c r="AF18" s="3">
        <f t="shared" si="13"/>
        <v>5384.6153846153848</v>
      </c>
      <c r="AG18" s="3">
        <f t="shared" si="27"/>
        <v>592.30769230769238</v>
      </c>
      <c r="AH18" s="1">
        <v>1666.6666666666667</v>
      </c>
      <c r="AI18" s="1">
        <f t="shared" si="28"/>
        <v>46052.307692307688</v>
      </c>
      <c r="AJ18" s="1">
        <f t="shared" si="29"/>
        <v>50.435897435897402</v>
      </c>
      <c r="AK18" s="3">
        <f t="shared" si="30"/>
        <v>3.0483333333333333</v>
      </c>
      <c r="AL18" s="4">
        <f t="shared" si="18"/>
        <v>5450.874743589744</v>
      </c>
      <c r="AM18" s="3">
        <v>0</v>
      </c>
      <c r="AN18" s="4">
        <f t="shared" si="19"/>
        <v>5450.874743589744</v>
      </c>
      <c r="AO18" s="1">
        <f t="shared" si="20"/>
        <v>1009.6153846153846</v>
      </c>
      <c r="AP18" s="34">
        <v>20</v>
      </c>
      <c r="AQ18" s="46">
        <f t="shared" si="31"/>
        <v>7106.2820512820517</v>
      </c>
    </row>
    <row r="19" spans="1:43" x14ac:dyDescent="0.35">
      <c r="A19" s="37" t="s">
        <v>190</v>
      </c>
      <c r="B19" s="37" t="s">
        <v>280</v>
      </c>
      <c r="C19" s="50" t="s">
        <v>135</v>
      </c>
      <c r="D19" s="54" t="s">
        <v>47</v>
      </c>
      <c r="E19" s="56" t="s">
        <v>65</v>
      </c>
      <c r="F19" s="63" t="s">
        <v>207</v>
      </c>
      <c r="G19" s="58" t="s">
        <v>189</v>
      </c>
      <c r="H19" s="59">
        <v>4000</v>
      </c>
      <c r="I19" s="59">
        <v>3000</v>
      </c>
      <c r="J19" s="24"/>
      <c r="K19" s="60">
        <v>0.61</v>
      </c>
      <c r="L19" s="9">
        <f t="shared" si="0"/>
        <v>1830</v>
      </c>
      <c r="M19" s="9">
        <v>0</v>
      </c>
      <c r="N19" s="9">
        <f t="shared" si="21"/>
        <v>30</v>
      </c>
      <c r="O19" s="9">
        <f t="shared" si="22"/>
        <v>0</v>
      </c>
      <c r="P19" s="10">
        <f t="shared" si="23"/>
        <v>133.33333333333334</v>
      </c>
      <c r="Q19" s="10">
        <f t="shared" si="24"/>
        <v>61</v>
      </c>
      <c r="R19" s="10">
        <f t="shared" si="25"/>
        <v>194.33333333333334</v>
      </c>
      <c r="S19" s="10">
        <f t="shared" si="26"/>
        <v>16.666666666666668</v>
      </c>
      <c r="T19" s="9">
        <v>16</v>
      </c>
      <c r="U19" s="9">
        <f t="shared" si="6"/>
        <v>266.66666666666669</v>
      </c>
      <c r="V19" s="9">
        <v>0</v>
      </c>
      <c r="W19" s="15">
        <f t="shared" si="7"/>
        <v>6096.666666666667</v>
      </c>
      <c r="X19" s="23">
        <v>0</v>
      </c>
      <c r="Y19" s="23">
        <f t="shared" si="8"/>
        <v>0</v>
      </c>
      <c r="Z19" s="31">
        <v>0</v>
      </c>
      <c r="AA19" s="23">
        <f t="shared" si="9"/>
        <v>0</v>
      </c>
      <c r="AB19" s="23">
        <v>0</v>
      </c>
      <c r="AC19" s="23">
        <f t="shared" si="10"/>
        <v>0</v>
      </c>
      <c r="AD19" s="11">
        <f t="shared" si="11"/>
        <v>0</v>
      </c>
      <c r="AE19" s="4">
        <f t="shared" si="12"/>
        <v>6096.666666666667</v>
      </c>
      <c r="AF19" s="3">
        <f t="shared" si="13"/>
        <v>5384.6153846153848</v>
      </c>
      <c r="AG19" s="3">
        <f t="shared" si="27"/>
        <v>592.30769230769238</v>
      </c>
      <c r="AH19" s="1">
        <v>1666.6666666666667</v>
      </c>
      <c r="AI19" s="1">
        <f t="shared" si="28"/>
        <v>46052.307692307688</v>
      </c>
      <c r="AJ19" s="1">
        <f t="shared" si="29"/>
        <v>50.435897435897402</v>
      </c>
      <c r="AK19" s="3">
        <f t="shared" si="30"/>
        <v>3.0483333333333333</v>
      </c>
      <c r="AL19" s="4">
        <f t="shared" si="18"/>
        <v>5450.874743589744</v>
      </c>
      <c r="AM19" s="3">
        <v>0</v>
      </c>
      <c r="AN19" s="4">
        <f t="shared" si="19"/>
        <v>5450.874743589744</v>
      </c>
      <c r="AO19" s="1">
        <f t="shared" si="20"/>
        <v>1009.6153846153846</v>
      </c>
      <c r="AP19" s="34">
        <v>16</v>
      </c>
      <c r="AQ19" s="46">
        <f t="shared" si="31"/>
        <v>7106.2820512820517</v>
      </c>
    </row>
    <row r="20" spans="1:43" x14ac:dyDescent="0.35">
      <c r="A20" s="37" t="s">
        <v>190</v>
      </c>
      <c r="B20" s="37" t="s">
        <v>281</v>
      </c>
      <c r="C20" s="50" t="s">
        <v>136</v>
      </c>
      <c r="D20" s="54" t="s">
        <v>47</v>
      </c>
      <c r="E20" s="56" t="s">
        <v>355</v>
      </c>
      <c r="F20" s="63" t="s">
        <v>208</v>
      </c>
      <c r="G20" s="58" t="s">
        <v>189</v>
      </c>
      <c r="H20" s="59">
        <v>4000</v>
      </c>
      <c r="I20" s="59">
        <v>3000</v>
      </c>
      <c r="J20" s="24"/>
      <c r="K20" s="60">
        <v>0.61</v>
      </c>
      <c r="L20" s="9">
        <f t="shared" si="0"/>
        <v>1830</v>
      </c>
      <c r="M20" s="9">
        <v>0</v>
      </c>
      <c r="N20" s="9">
        <f t="shared" si="21"/>
        <v>30</v>
      </c>
      <c r="O20" s="9">
        <f t="shared" si="22"/>
        <v>0</v>
      </c>
      <c r="P20" s="10">
        <f t="shared" si="23"/>
        <v>133.33333333333334</v>
      </c>
      <c r="Q20" s="10">
        <f t="shared" si="24"/>
        <v>61</v>
      </c>
      <c r="R20" s="10">
        <f t="shared" si="25"/>
        <v>194.33333333333334</v>
      </c>
      <c r="S20" s="10">
        <f t="shared" si="26"/>
        <v>16.666666666666668</v>
      </c>
      <c r="T20" s="9">
        <v>16</v>
      </c>
      <c r="U20" s="9">
        <f t="shared" si="6"/>
        <v>266.66666666666669</v>
      </c>
      <c r="V20" s="9">
        <v>0</v>
      </c>
      <c r="W20" s="15">
        <f t="shared" si="7"/>
        <v>6096.666666666667</v>
      </c>
      <c r="X20" s="23">
        <v>0</v>
      </c>
      <c r="Y20" s="23">
        <f t="shared" si="8"/>
        <v>0</v>
      </c>
      <c r="Z20" s="31">
        <v>0</v>
      </c>
      <c r="AA20" s="23">
        <f t="shared" si="9"/>
        <v>0</v>
      </c>
      <c r="AB20" s="23">
        <v>0</v>
      </c>
      <c r="AC20" s="23">
        <f t="shared" si="10"/>
        <v>0</v>
      </c>
      <c r="AD20" s="11">
        <f t="shared" si="11"/>
        <v>0</v>
      </c>
      <c r="AE20" s="4">
        <f t="shared" si="12"/>
        <v>6096.666666666667</v>
      </c>
      <c r="AF20" s="3">
        <f t="shared" si="13"/>
        <v>5384.6153846153848</v>
      </c>
      <c r="AG20" s="3">
        <f t="shared" si="27"/>
        <v>592.30769230769238</v>
      </c>
      <c r="AH20" s="1">
        <v>1666.6666666666667</v>
      </c>
      <c r="AI20" s="1">
        <f t="shared" si="28"/>
        <v>46052.307692307688</v>
      </c>
      <c r="AJ20" s="1">
        <f t="shared" si="29"/>
        <v>50.435897435897402</v>
      </c>
      <c r="AK20" s="3">
        <f t="shared" si="30"/>
        <v>3.0483333333333333</v>
      </c>
      <c r="AL20" s="4">
        <f t="shared" si="18"/>
        <v>5450.874743589744</v>
      </c>
      <c r="AM20" s="3">
        <v>0</v>
      </c>
      <c r="AN20" s="4">
        <f t="shared" si="19"/>
        <v>5450.874743589744</v>
      </c>
      <c r="AO20" s="1">
        <f t="shared" si="20"/>
        <v>1009.6153846153846</v>
      </c>
      <c r="AP20" s="34">
        <v>19</v>
      </c>
      <c r="AQ20" s="46">
        <f t="shared" si="31"/>
        <v>7106.2820512820517</v>
      </c>
    </row>
    <row r="21" spans="1:43" x14ac:dyDescent="0.35">
      <c r="A21" s="37" t="s">
        <v>190</v>
      </c>
      <c r="B21" s="37" t="s">
        <v>282</v>
      </c>
      <c r="C21" s="50" t="s">
        <v>137</v>
      </c>
      <c r="D21" s="54" t="s">
        <v>47</v>
      </c>
      <c r="E21" s="56" t="s">
        <v>66</v>
      </c>
      <c r="F21" s="63" t="s">
        <v>209</v>
      </c>
      <c r="G21" s="58" t="s">
        <v>189</v>
      </c>
      <c r="H21" s="59">
        <v>4000</v>
      </c>
      <c r="I21" s="59">
        <v>3000</v>
      </c>
      <c r="J21" s="24"/>
      <c r="K21" s="60">
        <v>0.61</v>
      </c>
      <c r="L21" s="9">
        <f t="shared" si="0"/>
        <v>1830</v>
      </c>
      <c r="M21" s="9">
        <v>0</v>
      </c>
      <c r="N21" s="9">
        <f t="shared" si="21"/>
        <v>30</v>
      </c>
      <c r="O21" s="9">
        <f t="shared" si="22"/>
        <v>0</v>
      </c>
      <c r="P21" s="10">
        <f t="shared" si="23"/>
        <v>133.33333333333334</v>
      </c>
      <c r="Q21" s="10">
        <f t="shared" si="24"/>
        <v>61</v>
      </c>
      <c r="R21" s="10">
        <f t="shared" si="25"/>
        <v>194.33333333333334</v>
      </c>
      <c r="S21" s="10">
        <f t="shared" si="26"/>
        <v>16.666666666666668</v>
      </c>
      <c r="T21" s="9">
        <v>16</v>
      </c>
      <c r="U21" s="9">
        <f t="shared" si="6"/>
        <v>266.66666666666669</v>
      </c>
      <c r="V21" s="9">
        <v>0</v>
      </c>
      <c r="W21" s="15">
        <f t="shared" si="7"/>
        <v>6096.666666666667</v>
      </c>
      <c r="X21" s="23">
        <v>0</v>
      </c>
      <c r="Y21" s="23">
        <f t="shared" si="8"/>
        <v>0</v>
      </c>
      <c r="Z21" s="31">
        <v>0</v>
      </c>
      <c r="AA21" s="23">
        <f t="shared" si="9"/>
        <v>0</v>
      </c>
      <c r="AB21" s="23">
        <v>0</v>
      </c>
      <c r="AC21" s="23">
        <f t="shared" si="10"/>
        <v>0</v>
      </c>
      <c r="AD21" s="11">
        <f t="shared" si="11"/>
        <v>0</v>
      </c>
      <c r="AE21" s="4">
        <f t="shared" si="12"/>
        <v>6096.666666666667</v>
      </c>
      <c r="AF21" s="3">
        <f t="shared" si="13"/>
        <v>5384.6153846153848</v>
      </c>
      <c r="AG21" s="3">
        <f t="shared" si="27"/>
        <v>592.30769230769238</v>
      </c>
      <c r="AH21" s="1">
        <v>1666.6666666666667</v>
      </c>
      <c r="AI21" s="1">
        <f t="shared" si="28"/>
        <v>46052.307692307688</v>
      </c>
      <c r="AJ21" s="1">
        <f t="shared" si="29"/>
        <v>50.435897435897402</v>
      </c>
      <c r="AK21" s="3">
        <f t="shared" si="30"/>
        <v>3.0483333333333333</v>
      </c>
      <c r="AL21" s="4">
        <f t="shared" si="18"/>
        <v>5450.874743589744</v>
      </c>
      <c r="AM21" s="3">
        <v>0</v>
      </c>
      <c r="AN21" s="4">
        <f t="shared" si="19"/>
        <v>5450.874743589744</v>
      </c>
      <c r="AO21" s="1">
        <f t="shared" si="20"/>
        <v>1009.6153846153846</v>
      </c>
      <c r="AP21" s="34">
        <v>21</v>
      </c>
      <c r="AQ21" s="46">
        <f t="shared" si="31"/>
        <v>7106.2820512820517</v>
      </c>
    </row>
    <row r="22" spans="1:43" x14ac:dyDescent="0.35">
      <c r="A22" s="37" t="s">
        <v>190</v>
      </c>
      <c r="B22" s="37" t="s">
        <v>283</v>
      </c>
      <c r="C22" s="50" t="s">
        <v>138</v>
      </c>
      <c r="D22" s="54" t="s">
        <v>47</v>
      </c>
      <c r="E22" s="56" t="s">
        <v>67</v>
      </c>
      <c r="F22" s="63" t="s">
        <v>210</v>
      </c>
      <c r="G22" s="58" t="s">
        <v>354</v>
      </c>
      <c r="H22" s="59">
        <v>4500</v>
      </c>
      <c r="I22" s="59">
        <v>3000</v>
      </c>
      <c r="J22" s="24"/>
      <c r="K22" s="60">
        <v>0.61</v>
      </c>
      <c r="L22" s="9">
        <f t="shared" si="0"/>
        <v>1830</v>
      </c>
      <c r="M22" s="9">
        <v>0</v>
      </c>
      <c r="N22" s="9">
        <f t="shared" si="21"/>
        <v>30</v>
      </c>
      <c r="O22" s="9">
        <f t="shared" si="22"/>
        <v>0</v>
      </c>
      <c r="P22" s="10">
        <f t="shared" si="23"/>
        <v>150</v>
      </c>
      <c r="Q22" s="10">
        <f t="shared" si="24"/>
        <v>61</v>
      </c>
      <c r="R22" s="10">
        <f t="shared" si="25"/>
        <v>211</v>
      </c>
      <c r="S22" s="10">
        <f t="shared" si="26"/>
        <v>18.75</v>
      </c>
      <c r="T22" s="9">
        <v>16</v>
      </c>
      <c r="U22" s="9">
        <f t="shared" si="6"/>
        <v>300</v>
      </c>
      <c r="V22" s="9">
        <v>0</v>
      </c>
      <c r="W22" s="15">
        <f t="shared" si="7"/>
        <v>6630</v>
      </c>
      <c r="X22" s="23">
        <v>0</v>
      </c>
      <c r="Y22" s="23">
        <f t="shared" si="8"/>
        <v>0</v>
      </c>
      <c r="Z22" s="31">
        <v>0</v>
      </c>
      <c r="AA22" s="23">
        <f t="shared" si="9"/>
        <v>0</v>
      </c>
      <c r="AB22" s="23">
        <v>0</v>
      </c>
      <c r="AC22" s="23">
        <f t="shared" si="10"/>
        <v>0</v>
      </c>
      <c r="AD22" s="11">
        <f t="shared" si="11"/>
        <v>0</v>
      </c>
      <c r="AE22" s="4">
        <f t="shared" si="12"/>
        <v>6630</v>
      </c>
      <c r="AF22" s="3">
        <f t="shared" si="13"/>
        <v>5384.6153846153848</v>
      </c>
      <c r="AG22" s="3">
        <f t="shared" si="27"/>
        <v>592.30769230769238</v>
      </c>
      <c r="AH22" s="1">
        <v>1666.6666666666667</v>
      </c>
      <c r="AI22" s="1">
        <f t="shared" si="28"/>
        <v>52452.307692307688</v>
      </c>
      <c r="AJ22" s="1">
        <f t="shared" si="29"/>
        <v>103.76923076923073</v>
      </c>
      <c r="AK22" s="3">
        <f t="shared" si="30"/>
        <v>3.3149999999999999</v>
      </c>
      <c r="AL22" s="4">
        <f t="shared" si="18"/>
        <v>5930.6080769230775</v>
      </c>
      <c r="AM22" s="3">
        <v>0</v>
      </c>
      <c r="AN22" s="4">
        <f t="shared" si="19"/>
        <v>5930.6080769230775</v>
      </c>
      <c r="AO22" s="1">
        <f t="shared" si="20"/>
        <v>1009.6153846153846</v>
      </c>
      <c r="AP22" s="34">
        <v>18</v>
      </c>
      <c r="AQ22" s="46">
        <f t="shared" si="31"/>
        <v>7639.6153846153848</v>
      </c>
    </row>
    <row r="23" spans="1:43" x14ac:dyDescent="0.35">
      <c r="A23" s="37" t="s">
        <v>190</v>
      </c>
      <c r="B23" s="37" t="s">
        <v>284</v>
      </c>
      <c r="C23" s="50" t="s">
        <v>139</v>
      </c>
      <c r="D23" s="54" t="s">
        <v>47</v>
      </c>
      <c r="E23" s="56" t="s">
        <v>68</v>
      </c>
      <c r="F23" s="63" t="s">
        <v>211</v>
      </c>
      <c r="G23" s="58" t="s">
        <v>189</v>
      </c>
      <c r="H23" s="59">
        <v>4000</v>
      </c>
      <c r="I23" s="59">
        <v>3000</v>
      </c>
      <c r="J23" s="24"/>
      <c r="K23" s="60">
        <v>0.61</v>
      </c>
      <c r="L23" s="9">
        <f t="shared" si="0"/>
        <v>1830</v>
      </c>
      <c r="M23" s="9">
        <v>0</v>
      </c>
      <c r="N23" s="9">
        <f t="shared" si="21"/>
        <v>30</v>
      </c>
      <c r="O23" s="9">
        <f t="shared" si="22"/>
        <v>0</v>
      </c>
      <c r="P23" s="10">
        <f t="shared" si="23"/>
        <v>133.33333333333334</v>
      </c>
      <c r="Q23" s="10">
        <f t="shared" si="24"/>
        <v>61</v>
      </c>
      <c r="R23" s="10">
        <f t="shared" si="25"/>
        <v>194.33333333333334</v>
      </c>
      <c r="S23" s="10">
        <f t="shared" si="26"/>
        <v>16.666666666666668</v>
      </c>
      <c r="T23" s="9">
        <v>16</v>
      </c>
      <c r="U23" s="9">
        <f t="shared" si="6"/>
        <v>266.66666666666669</v>
      </c>
      <c r="V23" s="9">
        <v>0</v>
      </c>
      <c r="W23" s="15">
        <f t="shared" si="7"/>
        <v>6096.666666666667</v>
      </c>
      <c r="X23" s="23">
        <v>0</v>
      </c>
      <c r="Y23" s="23">
        <f t="shared" si="8"/>
        <v>0</v>
      </c>
      <c r="Z23" s="31">
        <v>0</v>
      </c>
      <c r="AA23" s="23">
        <f t="shared" si="9"/>
        <v>0</v>
      </c>
      <c r="AB23" s="23">
        <v>0</v>
      </c>
      <c r="AC23" s="23">
        <f t="shared" si="10"/>
        <v>0</v>
      </c>
      <c r="AD23" s="11">
        <f t="shared" si="11"/>
        <v>0</v>
      </c>
      <c r="AE23" s="4">
        <f t="shared" si="12"/>
        <v>6096.666666666667</v>
      </c>
      <c r="AF23" s="3">
        <f t="shared" si="13"/>
        <v>5384.6153846153848</v>
      </c>
      <c r="AG23" s="3">
        <f t="shared" si="27"/>
        <v>592.30769230769238</v>
      </c>
      <c r="AH23" s="1">
        <v>1666.6666666666667</v>
      </c>
      <c r="AI23" s="1">
        <f t="shared" si="28"/>
        <v>46052.307692307688</v>
      </c>
      <c r="AJ23" s="1">
        <f t="shared" si="29"/>
        <v>50.435897435897402</v>
      </c>
      <c r="AK23" s="3">
        <f t="shared" si="30"/>
        <v>3.0483333333333333</v>
      </c>
      <c r="AL23" s="4">
        <f t="shared" si="18"/>
        <v>5450.874743589744</v>
      </c>
      <c r="AM23" s="3">
        <v>0</v>
      </c>
      <c r="AN23" s="4">
        <f t="shared" si="19"/>
        <v>5450.874743589744</v>
      </c>
      <c r="AO23" s="1">
        <f t="shared" si="20"/>
        <v>1009.6153846153846</v>
      </c>
      <c r="AP23" s="34">
        <v>21</v>
      </c>
      <c r="AQ23" s="46">
        <f t="shared" si="31"/>
        <v>7106.2820512820517</v>
      </c>
    </row>
    <row r="24" spans="1:43" x14ac:dyDescent="0.35">
      <c r="A24" s="37" t="s">
        <v>190</v>
      </c>
      <c r="B24" s="37" t="s">
        <v>285</v>
      </c>
      <c r="C24" s="50" t="s">
        <v>140</v>
      </c>
      <c r="D24" s="54" t="s">
        <v>47</v>
      </c>
      <c r="E24" s="56" t="s">
        <v>69</v>
      </c>
      <c r="F24" s="63" t="s">
        <v>212</v>
      </c>
      <c r="G24" s="58" t="s">
        <v>189</v>
      </c>
      <c r="H24" s="59">
        <v>4000</v>
      </c>
      <c r="I24" s="59">
        <v>3000</v>
      </c>
      <c r="J24" s="24"/>
      <c r="K24" s="60">
        <v>0.61</v>
      </c>
      <c r="L24" s="9">
        <f t="shared" si="0"/>
        <v>1830</v>
      </c>
      <c r="M24" s="9">
        <v>0</v>
      </c>
      <c r="N24" s="9">
        <f t="shared" si="21"/>
        <v>30</v>
      </c>
      <c r="O24" s="9">
        <f t="shared" si="22"/>
        <v>0</v>
      </c>
      <c r="P24" s="10">
        <f t="shared" si="23"/>
        <v>133.33333333333334</v>
      </c>
      <c r="Q24" s="10">
        <f t="shared" si="24"/>
        <v>61</v>
      </c>
      <c r="R24" s="10">
        <f t="shared" si="25"/>
        <v>194.33333333333334</v>
      </c>
      <c r="S24" s="10">
        <f t="shared" si="26"/>
        <v>16.666666666666668</v>
      </c>
      <c r="T24" s="9">
        <v>16</v>
      </c>
      <c r="U24" s="9">
        <f t="shared" si="6"/>
        <v>266.66666666666669</v>
      </c>
      <c r="V24" s="9">
        <v>0</v>
      </c>
      <c r="W24" s="15">
        <f t="shared" si="7"/>
        <v>6096.666666666667</v>
      </c>
      <c r="X24" s="23">
        <v>0</v>
      </c>
      <c r="Y24" s="23">
        <f t="shared" si="8"/>
        <v>0</v>
      </c>
      <c r="Z24" s="31">
        <v>0</v>
      </c>
      <c r="AA24" s="23">
        <f t="shared" si="9"/>
        <v>0</v>
      </c>
      <c r="AB24" s="23">
        <v>0</v>
      </c>
      <c r="AC24" s="23">
        <f t="shared" si="10"/>
        <v>0</v>
      </c>
      <c r="AD24" s="11">
        <f t="shared" si="11"/>
        <v>0</v>
      </c>
      <c r="AE24" s="4">
        <f t="shared" si="12"/>
        <v>6096.666666666667</v>
      </c>
      <c r="AF24" s="3">
        <f t="shared" si="13"/>
        <v>5384.6153846153848</v>
      </c>
      <c r="AG24" s="3">
        <f t="shared" si="27"/>
        <v>592.30769230769238</v>
      </c>
      <c r="AH24" s="1">
        <v>1666.6666666666667</v>
      </c>
      <c r="AI24" s="1">
        <f t="shared" si="28"/>
        <v>46052.307692307688</v>
      </c>
      <c r="AJ24" s="1">
        <f t="shared" si="29"/>
        <v>50.435897435897402</v>
      </c>
      <c r="AK24" s="3">
        <f t="shared" si="30"/>
        <v>3.0483333333333333</v>
      </c>
      <c r="AL24" s="4">
        <f t="shared" si="18"/>
        <v>5450.874743589744</v>
      </c>
      <c r="AM24" s="3">
        <v>0</v>
      </c>
      <c r="AN24" s="4">
        <f t="shared" si="19"/>
        <v>5450.874743589744</v>
      </c>
      <c r="AO24" s="1">
        <f t="shared" si="20"/>
        <v>1009.6153846153846</v>
      </c>
      <c r="AP24" s="34">
        <v>17</v>
      </c>
      <c r="AQ24" s="46">
        <f t="shared" si="31"/>
        <v>7106.2820512820517</v>
      </c>
    </row>
    <row r="25" spans="1:43" x14ac:dyDescent="0.35">
      <c r="A25" s="37" t="s">
        <v>190</v>
      </c>
      <c r="B25" s="37" t="s">
        <v>286</v>
      </c>
      <c r="C25" s="50" t="s">
        <v>141</v>
      </c>
      <c r="D25" s="54" t="s">
        <v>47</v>
      </c>
      <c r="E25" s="56" t="s">
        <v>70</v>
      </c>
      <c r="F25" s="63" t="s">
        <v>213</v>
      </c>
      <c r="G25" s="58" t="s">
        <v>189</v>
      </c>
      <c r="H25" s="59">
        <v>4000</v>
      </c>
      <c r="I25" s="59">
        <v>3000</v>
      </c>
      <c r="J25" s="24"/>
      <c r="K25" s="60">
        <v>0.61</v>
      </c>
      <c r="L25" s="9">
        <f t="shared" si="0"/>
        <v>1830</v>
      </c>
      <c r="M25" s="9">
        <v>0</v>
      </c>
      <c r="N25" s="9">
        <f t="shared" si="21"/>
        <v>30</v>
      </c>
      <c r="O25" s="9">
        <f t="shared" si="22"/>
        <v>0</v>
      </c>
      <c r="P25" s="10">
        <f t="shared" si="23"/>
        <v>133.33333333333334</v>
      </c>
      <c r="Q25" s="10">
        <f t="shared" si="24"/>
        <v>61</v>
      </c>
      <c r="R25" s="10">
        <f t="shared" si="25"/>
        <v>194.33333333333334</v>
      </c>
      <c r="S25" s="10">
        <f t="shared" si="26"/>
        <v>16.666666666666668</v>
      </c>
      <c r="T25" s="9">
        <v>16</v>
      </c>
      <c r="U25" s="9">
        <f t="shared" si="6"/>
        <v>266.66666666666669</v>
      </c>
      <c r="V25" s="9">
        <v>0</v>
      </c>
      <c r="W25" s="15">
        <f t="shared" si="7"/>
        <v>6096.666666666667</v>
      </c>
      <c r="X25" s="23">
        <v>0</v>
      </c>
      <c r="Y25" s="23">
        <f t="shared" si="8"/>
        <v>0</v>
      </c>
      <c r="Z25" s="31">
        <v>0</v>
      </c>
      <c r="AA25" s="23">
        <f t="shared" si="9"/>
        <v>0</v>
      </c>
      <c r="AB25" s="23">
        <v>0</v>
      </c>
      <c r="AC25" s="23">
        <f t="shared" si="10"/>
        <v>0</v>
      </c>
      <c r="AD25" s="11">
        <f t="shared" si="11"/>
        <v>0</v>
      </c>
      <c r="AE25" s="4">
        <f t="shared" si="12"/>
        <v>6096.666666666667</v>
      </c>
      <c r="AF25" s="3">
        <f t="shared" si="13"/>
        <v>5384.6153846153848</v>
      </c>
      <c r="AG25" s="3">
        <f t="shared" si="27"/>
        <v>592.30769230769238</v>
      </c>
      <c r="AH25" s="1">
        <v>1666.6666666666667</v>
      </c>
      <c r="AI25" s="1">
        <f t="shared" si="28"/>
        <v>46052.307692307688</v>
      </c>
      <c r="AJ25" s="1">
        <f t="shared" si="29"/>
        <v>50.435897435897402</v>
      </c>
      <c r="AK25" s="3">
        <f t="shared" si="30"/>
        <v>3.0483333333333333</v>
      </c>
      <c r="AL25" s="4">
        <f t="shared" si="18"/>
        <v>5450.874743589744</v>
      </c>
      <c r="AM25" s="3">
        <v>0</v>
      </c>
      <c r="AN25" s="4">
        <f t="shared" si="19"/>
        <v>5450.874743589744</v>
      </c>
      <c r="AO25" s="1">
        <f t="shared" si="20"/>
        <v>1009.6153846153846</v>
      </c>
      <c r="AP25" s="34">
        <v>19</v>
      </c>
      <c r="AQ25" s="46">
        <f t="shared" si="31"/>
        <v>7106.2820512820517</v>
      </c>
    </row>
    <row r="26" spans="1:43" x14ac:dyDescent="0.35">
      <c r="A26" s="37" t="s">
        <v>190</v>
      </c>
      <c r="B26" s="37" t="s">
        <v>287</v>
      </c>
      <c r="C26" s="50" t="s">
        <v>142</v>
      </c>
      <c r="D26" s="54" t="s">
        <v>47</v>
      </c>
      <c r="E26" s="56" t="s">
        <v>71</v>
      </c>
      <c r="F26" s="63" t="s">
        <v>214</v>
      </c>
      <c r="G26" s="58" t="s">
        <v>189</v>
      </c>
      <c r="H26" s="59">
        <v>4000</v>
      </c>
      <c r="I26" s="59">
        <v>3000</v>
      </c>
      <c r="J26" s="24"/>
      <c r="K26" s="60">
        <v>0.61</v>
      </c>
      <c r="L26" s="9">
        <f t="shared" si="0"/>
        <v>1830</v>
      </c>
      <c r="M26" s="9">
        <v>0</v>
      </c>
      <c r="N26" s="9">
        <f t="shared" si="21"/>
        <v>30</v>
      </c>
      <c r="O26" s="9">
        <f t="shared" si="22"/>
        <v>0</v>
      </c>
      <c r="P26" s="10">
        <f t="shared" si="23"/>
        <v>133.33333333333334</v>
      </c>
      <c r="Q26" s="10">
        <f t="shared" si="24"/>
        <v>61</v>
      </c>
      <c r="R26" s="10">
        <f t="shared" si="25"/>
        <v>194.33333333333334</v>
      </c>
      <c r="S26" s="10">
        <f t="shared" si="26"/>
        <v>16.666666666666668</v>
      </c>
      <c r="T26" s="9">
        <v>16</v>
      </c>
      <c r="U26" s="9">
        <f t="shared" si="6"/>
        <v>266.66666666666669</v>
      </c>
      <c r="V26" s="9">
        <v>0</v>
      </c>
      <c r="W26" s="15">
        <f t="shared" si="7"/>
        <v>6096.666666666667</v>
      </c>
      <c r="X26" s="23">
        <v>0</v>
      </c>
      <c r="Y26" s="23">
        <f t="shared" si="8"/>
        <v>0</v>
      </c>
      <c r="Z26" s="31">
        <v>0</v>
      </c>
      <c r="AA26" s="23">
        <f t="shared" si="9"/>
        <v>0</v>
      </c>
      <c r="AB26" s="23">
        <v>0</v>
      </c>
      <c r="AC26" s="23">
        <f t="shared" si="10"/>
        <v>0</v>
      </c>
      <c r="AD26" s="11">
        <f t="shared" si="11"/>
        <v>0</v>
      </c>
      <c r="AE26" s="4">
        <f t="shared" si="12"/>
        <v>6096.666666666667</v>
      </c>
      <c r="AF26" s="3">
        <f t="shared" si="13"/>
        <v>5384.6153846153848</v>
      </c>
      <c r="AG26" s="3">
        <f t="shared" si="27"/>
        <v>592.30769230769238</v>
      </c>
      <c r="AH26" s="1">
        <v>1666.6666666666667</v>
      </c>
      <c r="AI26" s="1">
        <f t="shared" si="28"/>
        <v>46052.307692307688</v>
      </c>
      <c r="AJ26" s="1">
        <f t="shared" si="29"/>
        <v>50.435897435897402</v>
      </c>
      <c r="AK26" s="3">
        <f t="shared" si="30"/>
        <v>3.0483333333333333</v>
      </c>
      <c r="AL26" s="4">
        <f t="shared" si="18"/>
        <v>5450.874743589744</v>
      </c>
      <c r="AM26" s="3">
        <v>0</v>
      </c>
      <c r="AN26" s="4">
        <f t="shared" si="19"/>
        <v>5450.874743589744</v>
      </c>
      <c r="AO26" s="1">
        <f t="shared" si="20"/>
        <v>1009.6153846153846</v>
      </c>
      <c r="AP26" s="34">
        <v>20</v>
      </c>
      <c r="AQ26" s="46">
        <f t="shared" si="31"/>
        <v>7106.2820512820517</v>
      </c>
    </row>
    <row r="27" spans="1:43" x14ac:dyDescent="0.35">
      <c r="A27" s="37" t="s">
        <v>190</v>
      </c>
      <c r="B27" s="37" t="s">
        <v>288</v>
      </c>
      <c r="C27" s="50" t="s">
        <v>143</v>
      </c>
      <c r="D27" s="54" t="s">
        <v>47</v>
      </c>
      <c r="E27" s="56" t="s">
        <v>72</v>
      </c>
      <c r="F27" s="63" t="s">
        <v>215</v>
      </c>
      <c r="G27" s="58" t="s">
        <v>354</v>
      </c>
      <c r="H27" s="59">
        <v>4500</v>
      </c>
      <c r="I27" s="59">
        <v>3000</v>
      </c>
      <c r="J27" s="24"/>
      <c r="K27" s="60">
        <v>0.61</v>
      </c>
      <c r="L27" s="9">
        <f t="shared" si="0"/>
        <v>1830</v>
      </c>
      <c r="M27" s="9">
        <v>0</v>
      </c>
      <c r="N27" s="9">
        <f t="shared" si="21"/>
        <v>30</v>
      </c>
      <c r="O27" s="9">
        <f t="shared" si="22"/>
        <v>0</v>
      </c>
      <c r="P27" s="10">
        <f t="shared" si="23"/>
        <v>150</v>
      </c>
      <c r="Q27" s="10">
        <f t="shared" si="24"/>
        <v>61</v>
      </c>
      <c r="R27" s="10">
        <f t="shared" si="25"/>
        <v>211</v>
      </c>
      <c r="S27" s="10">
        <f t="shared" si="26"/>
        <v>18.75</v>
      </c>
      <c r="T27" s="9">
        <v>16</v>
      </c>
      <c r="U27" s="9">
        <f t="shared" si="6"/>
        <v>300</v>
      </c>
      <c r="V27" s="9">
        <v>0</v>
      </c>
      <c r="W27" s="15">
        <f t="shared" si="7"/>
        <v>6630</v>
      </c>
      <c r="X27" s="23">
        <v>0</v>
      </c>
      <c r="Y27" s="23">
        <f t="shared" si="8"/>
        <v>0</v>
      </c>
      <c r="Z27" s="31">
        <v>0</v>
      </c>
      <c r="AA27" s="23">
        <f t="shared" si="9"/>
        <v>0</v>
      </c>
      <c r="AB27" s="23">
        <v>0</v>
      </c>
      <c r="AC27" s="23">
        <f t="shared" si="10"/>
        <v>0</v>
      </c>
      <c r="AD27" s="11">
        <f t="shared" si="11"/>
        <v>0</v>
      </c>
      <c r="AE27" s="4">
        <f t="shared" si="12"/>
        <v>6630</v>
      </c>
      <c r="AF27" s="3">
        <f t="shared" si="13"/>
        <v>5384.6153846153848</v>
      </c>
      <c r="AG27" s="3">
        <f t="shared" si="27"/>
        <v>592.30769230769238</v>
      </c>
      <c r="AH27" s="1">
        <v>1666.6666666666667</v>
      </c>
      <c r="AI27" s="1">
        <f t="shared" si="28"/>
        <v>52452.307692307688</v>
      </c>
      <c r="AJ27" s="1">
        <f t="shared" si="29"/>
        <v>103.76923076923073</v>
      </c>
      <c r="AK27" s="3">
        <f t="shared" si="30"/>
        <v>3.3149999999999999</v>
      </c>
      <c r="AL27" s="4">
        <f t="shared" si="18"/>
        <v>5930.6080769230775</v>
      </c>
      <c r="AM27" s="3">
        <v>0</v>
      </c>
      <c r="AN27" s="4">
        <f t="shared" si="19"/>
        <v>5930.6080769230775</v>
      </c>
      <c r="AO27" s="1">
        <f t="shared" si="20"/>
        <v>1009.6153846153846</v>
      </c>
      <c r="AP27" s="34">
        <v>21</v>
      </c>
      <c r="AQ27" s="46">
        <f t="shared" si="31"/>
        <v>7639.6153846153848</v>
      </c>
    </row>
    <row r="28" spans="1:43" x14ac:dyDescent="0.35">
      <c r="A28" s="37" t="s">
        <v>190</v>
      </c>
      <c r="B28" s="37" t="s">
        <v>289</v>
      </c>
      <c r="C28" s="50" t="s">
        <v>145</v>
      </c>
      <c r="D28" s="54" t="s">
        <v>47</v>
      </c>
      <c r="E28" s="55" t="s">
        <v>74</v>
      </c>
      <c r="F28" s="63" t="s">
        <v>217</v>
      </c>
      <c r="G28" s="58" t="s">
        <v>189</v>
      </c>
      <c r="H28" s="59">
        <v>4000</v>
      </c>
      <c r="I28" s="59">
        <v>3000</v>
      </c>
      <c r="J28" s="24"/>
      <c r="K28" s="60">
        <v>0.61</v>
      </c>
      <c r="L28" s="9">
        <f t="shared" si="0"/>
        <v>1830</v>
      </c>
      <c r="M28" s="9">
        <v>0</v>
      </c>
      <c r="N28" s="9">
        <f t="shared" si="21"/>
        <v>30</v>
      </c>
      <c r="O28" s="9">
        <f t="shared" si="22"/>
        <v>0</v>
      </c>
      <c r="P28" s="10">
        <f t="shared" si="23"/>
        <v>133.33333333333334</v>
      </c>
      <c r="Q28" s="10">
        <f t="shared" si="24"/>
        <v>61</v>
      </c>
      <c r="R28" s="10">
        <f t="shared" si="25"/>
        <v>194.33333333333334</v>
      </c>
      <c r="S28" s="10">
        <f t="shared" si="26"/>
        <v>16.666666666666668</v>
      </c>
      <c r="T28" s="9">
        <v>16</v>
      </c>
      <c r="U28" s="9">
        <f t="shared" si="6"/>
        <v>266.66666666666669</v>
      </c>
      <c r="V28" s="9">
        <v>0</v>
      </c>
      <c r="W28" s="15">
        <f t="shared" si="7"/>
        <v>6096.666666666667</v>
      </c>
      <c r="X28" s="23">
        <v>0</v>
      </c>
      <c r="Y28" s="23">
        <f t="shared" si="8"/>
        <v>0</v>
      </c>
      <c r="Z28" s="31">
        <v>0</v>
      </c>
      <c r="AA28" s="23">
        <f t="shared" si="9"/>
        <v>0</v>
      </c>
      <c r="AB28" s="23">
        <v>0</v>
      </c>
      <c r="AC28" s="23">
        <f t="shared" si="10"/>
        <v>0</v>
      </c>
      <c r="AD28" s="11">
        <f t="shared" si="11"/>
        <v>0</v>
      </c>
      <c r="AE28" s="4">
        <f t="shared" si="12"/>
        <v>6096.666666666667</v>
      </c>
      <c r="AF28" s="3">
        <f t="shared" si="13"/>
        <v>5384.6153846153848</v>
      </c>
      <c r="AG28" s="3">
        <f t="shared" si="27"/>
        <v>592.30769230769238</v>
      </c>
      <c r="AH28" s="1">
        <v>1666.6666666666667</v>
      </c>
      <c r="AI28" s="1">
        <f t="shared" si="28"/>
        <v>46052.307692307688</v>
      </c>
      <c r="AJ28" s="1">
        <f t="shared" si="29"/>
        <v>50.435897435897402</v>
      </c>
      <c r="AK28" s="3">
        <f t="shared" si="30"/>
        <v>3.0483333333333333</v>
      </c>
      <c r="AL28" s="4">
        <f t="shared" si="18"/>
        <v>5450.874743589744</v>
      </c>
      <c r="AM28" s="3">
        <v>0</v>
      </c>
      <c r="AN28" s="4">
        <f t="shared" si="19"/>
        <v>5450.874743589744</v>
      </c>
      <c r="AO28" s="1">
        <f t="shared" si="20"/>
        <v>1009.6153846153846</v>
      </c>
      <c r="AP28" s="34">
        <v>20</v>
      </c>
      <c r="AQ28" s="46">
        <f t="shared" si="31"/>
        <v>7106.2820512820517</v>
      </c>
    </row>
    <row r="29" spans="1:43" x14ac:dyDescent="0.35">
      <c r="A29" s="37" t="s">
        <v>190</v>
      </c>
      <c r="B29" s="37" t="s">
        <v>290</v>
      </c>
      <c r="C29" s="50" t="s">
        <v>146</v>
      </c>
      <c r="D29" s="54" t="s">
        <v>47</v>
      </c>
      <c r="E29" s="55" t="s">
        <v>75</v>
      </c>
      <c r="F29" s="63" t="s">
        <v>218</v>
      </c>
      <c r="G29" s="58" t="s">
        <v>189</v>
      </c>
      <c r="H29" s="59">
        <v>4000</v>
      </c>
      <c r="I29" s="59">
        <v>3000</v>
      </c>
      <c r="J29" s="24"/>
      <c r="K29" s="60">
        <v>0.61</v>
      </c>
      <c r="L29" s="30">
        <f t="shared" ref="L29:L58" si="32">+I29*K29</f>
        <v>1830</v>
      </c>
      <c r="M29" s="9">
        <v>0</v>
      </c>
      <c r="N29" s="9">
        <f t="shared" si="21"/>
        <v>30</v>
      </c>
      <c r="O29" s="9">
        <f t="shared" si="22"/>
        <v>0</v>
      </c>
      <c r="P29" s="10">
        <f t="shared" si="23"/>
        <v>133.33333333333334</v>
      </c>
      <c r="Q29" s="10">
        <f t="shared" si="24"/>
        <v>61</v>
      </c>
      <c r="R29" s="10">
        <f t="shared" si="25"/>
        <v>194.33333333333334</v>
      </c>
      <c r="S29" s="10">
        <f t="shared" si="26"/>
        <v>16.666666666666668</v>
      </c>
      <c r="T29" s="9">
        <v>16</v>
      </c>
      <c r="U29" s="9">
        <f t="shared" si="6"/>
        <v>266.66666666666669</v>
      </c>
      <c r="V29" s="9">
        <v>0</v>
      </c>
      <c r="W29" s="15">
        <f t="shared" si="7"/>
        <v>6096.666666666667</v>
      </c>
      <c r="X29" s="23">
        <v>0</v>
      </c>
      <c r="Y29" s="23">
        <f t="shared" si="8"/>
        <v>0</v>
      </c>
      <c r="Z29" s="31">
        <v>0</v>
      </c>
      <c r="AA29" s="23">
        <f t="shared" si="9"/>
        <v>0</v>
      </c>
      <c r="AB29" s="23">
        <v>0</v>
      </c>
      <c r="AC29" s="23">
        <f t="shared" ref="AC29:AC58" si="33">Q29*AB29</f>
        <v>0</v>
      </c>
      <c r="AD29" s="11">
        <f t="shared" si="11"/>
        <v>0</v>
      </c>
      <c r="AE29" s="4">
        <f t="shared" si="12"/>
        <v>6096.666666666667</v>
      </c>
      <c r="AF29" s="3">
        <f t="shared" si="13"/>
        <v>5384.6153846153848</v>
      </c>
      <c r="AG29" s="3">
        <f t="shared" si="27"/>
        <v>592.30769230769238</v>
      </c>
      <c r="AH29" s="1">
        <v>1666.6666666666667</v>
      </c>
      <c r="AI29" s="1">
        <f t="shared" si="28"/>
        <v>46052.307692307688</v>
      </c>
      <c r="AJ29" s="1">
        <f t="shared" si="29"/>
        <v>50.435897435897402</v>
      </c>
      <c r="AK29" s="3">
        <f t="shared" si="30"/>
        <v>3.0483333333333333</v>
      </c>
      <c r="AL29" s="4">
        <f t="shared" si="18"/>
        <v>5450.874743589744</v>
      </c>
      <c r="AM29" s="3">
        <v>0</v>
      </c>
      <c r="AN29" s="4">
        <f t="shared" si="19"/>
        <v>5450.874743589744</v>
      </c>
      <c r="AO29" s="1">
        <f t="shared" si="20"/>
        <v>1009.6153846153846</v>
      </c>
      <c r="AP29" s="34">
        <v>15</v>
      </c>
      <c r="AQ29" s="46">
        <f t="shared" si="31"/>
        <v>7106.2820512820517</v>
      </c>
    </row>
    <row r="30" spans="1:43" x14ac:dyDescent="0.35">
      <c r="A30" s="37" t="s">
        <v>190</v>
      </c>
      <c r="B30" s="37" t="s">
        <v>291</v>
      </c>
      <c r="C30" s="50" t="s">
        <v>147</v>
      </c>
      <c r="D30" s="54" t="s">
        <v>47</v>
      </c>
      <c r="E30" s="55" t="s">
        <v>76</v>
      </c>
      <c r="F30" s="63" t="s">
        <v>219</v>
      </c>
      <c r="G30" s="58" t="s">
        <v>189</v>
      </c>
      <c r="H30" s="59">
        <v>4000</v>
      </c>
      <c r="I30" s="59">
        <v>3000</v>
      </c>
      <c r="J30" s="24"/>
      <c r="K30" s="60">
        <v>0.61</v>
      </c>
      <c r="L30" s="9">
        <f t="shared" si="32"/>
        <v>1830</v>
      </c>
      <c r="M30" s="9">
        <v>0</v>
      </c>
      <c r="N30" s="9">
        <f t="shared" si="21"/>
        <v>30</v>
      </c>
      <c r="O30" s="9">
        <f t="shared" si="22"/>
        <v>0</v>
      </c>
      <c r="P30" s="10">
        <f t="shared" si="23"/>
        <v>133.33333333333334</v>
      </c>
      <c r="Q30" s="10">
        <f t="shared" si="24"/>
        <v>61</v>
      </c>
      <c r="R30" s="10">
        <f t="shared" si="25"/>
        <v>194.33333333333334</v>
      </c>
      <c r="S30" s="10">
        <f t="shared" si="26"/>
        <v>16.666666666666668</v>
      </c>
      <c r="T30" s="9">
        <v>16</v>
      </c>
      <c r="U30" s="9">
        <f t="shared" si="6"/>
        <v>266.66666666666669</v>
      </c>
      <c r="V30" s="9">
        <v>0</v>
      </c>
      <c r="W30" s="15">
        <f t="shared" si="7"/>
        <v>6096.666666666667</v>
      </c>
      <c r="X30" s="23">
        <v>0</v>
      </c>
      <c r="Y30" s="23">
        <f t="shared" si="8"/>
        <v>0</v>
      </c>
      <c r="Z30" s="31">
        <v>0</v>
      </c>
      <c r="AA30" s="23">
        <f t="shared" si="9"/>
        <v>0</v>
      </c>
      <c r="AB30" s="23">
        <v>0</v>
      </c>
      <c r="AC30" s="23">
        <f t="shared" si="33"/>
        <v>0</v>
      </c>
      <c r="AD30" s="11">
        <f t="shared" si="11"/>
        <v>0</v>
      </c>
      <c r="AE30" s="4">
        <f t="shared" si="12"/>
        <v>6096.666666666667</v>
      </c>
      <c r="AF30" s="3">
        <f t="shared" si="13"/>
        <v>5384.6153846153848</v>
      </c>
      <c r="AG30" s="3">
        <f t="shared" si="27"/>
        <v>592.30769230769238</v>
      </c>
      <c r="AH30" s="1">
        <v>1666.6666666666667</v>
      </c>
      <c r="AI30" s="1">
        <f t="shared" si="28"/>
        <v>46052.307692307688</v>
      </c>
      <c r="AJ30" s="1">
        <f t="shared" si="29"/>
        <v>50.435897435897402</v>
      </c>
      <c r="AK30" s="3">
        <f t="shared" si="30"/>
        <v>3.0483333333333333</v>
      </c>
      <c r="AL30" s="4">
        <f t="shared" si="18"/>
        <v>5450.874743589744</v>
      </c>
      <c r="AM30" s="3">
        <v>0</v>
      </c>
      <c r="AN30" s="4">
        <f t="shared" si="19"/>
        <v>5450.874743589744</v>
      </c>
      <c r="AO30" s="1">
        <f t="shared" si="20"/>
        <v>1009.6153846153846</v>
      </c>
      <c r="AP30" s="34">
        <v>20</v>
      </c>
      <c r="AQ30" s="46">
        <f t="shared" si="31"/>
        <v>7106.2820512820517</v>
      </c>
    </row>
    <row r="31" spans="1:43" x14ac:dyDescent="0.35">
      <c r="A31" s="37" t="s">
        <v>190</v>
      </c>
      <c r="B31" s="37" t="s">
        <v>292</v>
      </c>
      <c r="C31" s="51" t="s">
        <v>148</v>
      </c>
      <c r="D31" s="54" t="s">
        <v>47</v>
      </c>
      <c r="E31" s="55" t="s">
        <v>77</v>
      </c>
      <c r="F31" s="63" t="s">
        <v>220</v>
      </c>
      <c r="G31" s="58" t="s">
        <v>189</v>
      </c>
      <c r="H31" s="59">
        <v>4000</v>
      </c>
      <c r="I31" s="59">
        <v>3000</v>
      </c>
      <c r="J31" s="24"/>
      <c r="K31" s="60">
        <v>0.61</v>
      </c>
      <c r="L31" s="9">
        <f t="shared" si="32"/>
        <v>1830</v>
      </c>
      <c r="M31" s="9">
        <v>0</v>
      </c>
      <c r="N31" s="9">
        <f t="shared" si="21"/>
        <v>30</v>
      </c>
      <c r="O31" s="9">
        <f t="shared" si="22"/>
        <v>0</v>
      </c>
      <c r="P31" s="10">
        <f t="shared" si="23"/>
        <v>133.33333333333334</v>
      </c>
      <c r="Q31" s="10">
        <f t="shared" si="24"/>
        <v>61</v>
      </c>
      <c r="R31" s="10">
        <f t="shared" si="25"/>
        <v>194.33333333333334</v>
      </c>
      <c r="S31" s="10">
        <f t="shared" si="26"/>
        <v>16.666666666666668</v>
      </c>
      <c r="T31" s="9">
        <v>16</v>
      </c>
      <c r="U31" s="9">
        <f t="shared" si="6"/>
        <v>266.66666666666669</v>
      </c>
      <c r="V31" s="9">
        <v>0</v>
      </c>
      <c r="W31" s="15">
        <f t="shared" si="7"/>
        <v>6096.666666666667</v>
      </c>
      <c r="X31" s="23">
        <v>0</v>
      </c>
      <c r="Y31" s="23">
        <f t="shared" si="8"/>
        <v>0</v>
      </c>
      <c r="Z31" s="31">
        <v>0</v>
      </c>
      <c r="AA31" s="23">
        <f t="shared" si="9"/>
        <v>0</v>
      </c>
      <c r="AB31" s="23">
        <v>0</v>
      </c>
      <c r="AC31" s="23">
        <f t="shared" si="33"/>
        <v>0</v>
      </c>
      <c r="AD31" s="11">
        <f t="shared" si="11"/>
        <v>0</v>
      </c>
      <c r="AE31" s="4">
        <f t="shared" si="12"/>
        <v>6096.666666666667</v>
      </c>
      <c r="AF31" s="3">
        <f t="shared" si="13"/>
        <v>5384.6153846153848</v>
      </c>
      <c r="AG31" s="3">
        <f t="shared" si="27"/>
        <v>592.30769230769238</v>
      </c>
      <c r="AH31" s="1">
        <v>1666.6666666666667</v>
      </c>
      <c r="AI31" s="1">
        <f t="shared" si="28"/>
        <v>46052.307692307688</v>
      </c>
      <c r="AJ31" s="1">
        <f t="shared" si="29"/>
        <v>50.435897435897402</v>
      </c>
      <c r="AK31" s="3">
        <f t="shared" si="30"/>
        <v>3.0483333333333333</v>
      </c>
      <c r="AL31" s="4">
        <f t="shared" si="18"/>
        <v>5450.874743589744</v>
      </c>
      <c r="AM31" s="3">
        <v>0</v>
      </c>
      <c r="AN31" s="4">
        <f t="shared" si="19"/>
        <v>5450.874743589744</v>
      </c>
      <c r="AO31" s="1">
        <f t="shared" si="20"/>
        <v>1009.6153846153846</v>
      </c>
      <c r="AP31" s="34">
        <v>20</v>
      </c>
      <c r="AQ31" s="46">
        <f t="shared" si="31"/>
        <v>7106.2820512820517</v>
      </c>
    </row>
    <row r="32" spans="1:43" x14ac:dyDescent="0.35">
      <c r="A32" s="37" t="s">
        <v>190</v>
      </c>
      <c r="B32" s="37" t="s">
        <v>293</v>
      </c>
      <c r="C32" s="50" t="s">
        <v>149</v>
      </c>
      <c r="D32" s="54" t="s">
        <v>47</v>
      </c>
      <c r="E32" s="55" t="s">
        <v>78</v>
      </c>
      <c r="F32" s="63" t="s">
        <v>221</v>
      </c>
      <c r="G32" s="58" t="s">
        <v>189</v>
      </c>
      <c r="H32" s="59">
        <v>4000</v>
      </c>
      <c r="I32" s="59">
        <v>3000</v>
      </c>
      <c r="J32" s="24"/>
      <c r="K32" s="60">
        <v>0.61</v>
      </c>
      <c r="L32" s="9">
        <f t="shared" si="32"/>
        <v>1830</v>
      </c>
      <c r="M32" s="9">
        <v>0</v>
      </c>
      <c r="N32" s="9">
        <f t="shared" si="21"/>
        <v>30</v>
      </c>
      <c r="O32" s="9">
        <f t="shared" si="22"/>
        <v>0</v>
      </c>
      <c r="P32" s="10">
        <f t="shared" si="23"/>
        <v>133.33333333333334</v>
      </c>
      <c r="Q32" s="10">
        <f t="shared" si="24"/>
        <v>61</v>
      </c>
      <c r="R32" s="10">
        <f t="shared" si="25"/>
        <v>194.33333333333334</v>
      </c>
      <c r="S32" s="10">
        <f t="shared" si="26"/>
        <v>16.666666666666668</v>
      </c>
      <c r="T32" s="9">
        <v>16</v>
      </c>
      <c r="U32" s="9">
        <f t="shared" si="6"/>
        <v>266.66666666666669</v>
      </c>
      <c r="V32" s="9">
        <v>0</v>
      </c>
      <c r="W32" s="15">
        <f t="shared" si="7"/>
        <v>6096.666666666667</v>
      </c>
      <c r="X32" s="23">
        <v>0</v>
      </c>
      <c r="Y32" s="23">
        <f t="shared" si="8"/>
        <v>0</v>
      </c>
      <c r="Z32" s="31">
        <v>0</v>
      </c>
      <c r="AA32" s="23">
        <f t="shared" si="9"/>
        <v>0</v>
      </c>
      <c r="AB32" s="23">
        <v>0</v>
      </c>
      <c r="AC32" s="23">
        <f t="shared" si="33"/>
        <v>0</v>
      </c>
      <c r="AD32" s="11">
        <f t="shared" si="11"/>
        <v>0</v>
      </c>
      <c r="AE32" s="4">
        <f t="shared" si="12"/>
        <v>6096.666666666667</v>
      </c>
      <c r="AF32" s="3">
        <f t="shared" si="13"/>
        <v>5384.6153846153848</v>
      </c>
      <c r="AG32" s="3">
        <f t="shared" si="27"/>
        <v>592.30769230769238</v>
      </c>
      <c r="AH32" s="1">
        <v>1666.6666666666667</v>
      </c>
      <c r="AI32" s="1">
        <f t="shared" si="28"/>
        <v>46052.307692307688</v>
      </c>
      <c r="AJ32" s="1">
        <f t="shared" si="29"/>
        <v>50.435897435897402</v>
      </c>
      <c r="AK32" s="3">
        <f t="shared" si="30"/>
        <v>3.0483333333333333</v>
      </c>
      <c r="AL32" s="4">
        <f t="shared" si="18"/>
        <v>5450.874743589744</v>
      </c>
      <c r="AM32" s="3">
        <v>0</v>
      </c>
      <c r="AN32" s="4">
        <f t="shared" si="19"/>
        <v>5450.874743589744</v>
      </c>
      <c r="AO32" s="1">
        <f t="shared" si="20"/>
        <v>1009.6153846153846</v>
      </c>
      <c r="AP32" s="34">
        <v>17</v>
      </c>
      <c r="AQ32" s="46">
        <f t="shared" si="31"/>
        <v>7106.2820512820517</v>
      </c>
    </row>
    <row r="33" spans="1:43" x14ac:dyDescent="0.35">
      <c r="A33" s="37" t="s">
        <v>190</v>
      </c>
      <c r="B33" s="37" t="s">
        <v>294</v>
      </c>
      <c r="C33" s="50" t="s">
        <v>150</v>
      </c>
      <c r="D33" s="54" t="s">
        <v>47</v>
      </c>
      <c r="E33" s="56" t="s">
        <v>79</v>
      </c>
      <c r="F33" s="63" t="s">
        <v>222</v>
      </c>
      <c r="G33" s="58" t="s">
        <v>189</v>
      </c>
      <c r="H33" s="59">
        <v>4000</v>
      </c>
      <c r="I33" s="59">
        <v>3000</v>
      </c>
      <c r="J33" s="24"/>
      <c r="K33" s="60">
        <v>0.61</v>
      </c>
      <c r="L33" s="9">
        <f t="shared" si="32"/>
        <v>1830</v>
      </c>
      <c r="M33" s="9">
        <v>0</v>
      </c>
      <c r="N33" s="9">
        <f t="shared" si="21"/>
        <v>30</v>
      </c>
      <c r="O33" s="9">
        <f t="shared" si="22"/>
        <v>0</v>
      </c>
      <c r="P33" s="10">
        <f t="shared" si="23"/>
        <v>133.33333333333334</v>
      </c>
      <c r="Q33" s="10">
        <f t="shared" si="24"/>
        <v>61</v>
      </c>
      <c r="R33" s="10">
        <f t="shared" si="25"/>
        <v>194.33333333333334</v>
      </c>
      <c r="S33" s="10">
        <f t="shared" si="26"/>
        <v>16.666666666666668</v>
      </c>
      <c r="T33" s="9">
        <v>16</v>
      </c>
      <c r="U33" s="9">
        <f t="shared" si="6"/>
        <v>266.66666666666669</v>
      </c>
      <c r="V33" s="9">
        <v>0</v>
      </c>
      <c r="W33" s="15">
        <f t="shared" si="7"/>
        <v>6096.666666666667</v>
      </c>
      <c r="X33" s="23">
        <v>0</v>
      </c>
      <c r="Y33" s="23">
        <f t="shared" si="8"/>
        <v>0</v>
      </c>
      <c r="Z33" s="31">
        <v>0</v>
      </c>
      <c r="AA33" s="23">
        <f t="shared" si="9"/>
        <v>0</v>
      </c>
      <c r="AB33" s="23">
        <v>0</v>
      </c>
      <c r="AC33" s="23">
        <f t="shared" si="33"/>
        <v>0</v>
      </c>
      <c r="AD33" s="11">
        <f t="shared" si="11"/>
        <v>0</v>
      </c>
      <c r="AE33" s="4">
        <f t="shared" si="12"/>
        <v>6096.666666666667</v>
      </c>
      <c r="AF33" s="3">
        <f t="shared" si="13"/>
        <v>5384.6153846153848</v>
      </c>
      <c r="AG33" s="3">
        <f t="shared" si="27"/>
        <v>592.30769230769238</v>
      </c>
      <c r="AH33" s="1">
        <v>1666.6666666666667</v>
      </c>
      <c r="AI33" s="1">
        <f t="shared" si="28"/>
        <v>46052.307692307688</v>
      </c>
      <c r="AJ33" s="1">
        <f t="shared" si="29"/>
        <v>50.435897435897402</v>
      </c>
      <c r="AK33" s="3">
        <f t="shared" si="30"/>
        <v>3.0483333333333333</v>
      </c>
      <c r="AL33" s="4">
        <f t="shared" si="18"/>
        <v>5450.874743589744</v>
      </c>
      <c r="AM33" s="3">
        <v>0</v>
      </c>
      <c r="AN33" s="4">
        <f t="shared" si="19"/>
        <v>5450.874743589744</v>
      </c>
      <c r="AO33" s="1">
        <f t="shared" si="20"/>
        <v>1009.6153846153846</v>
      </c>
      <c r="AP33" s="34">
        <v>19</v>
      </c>
      <c r="AQ33" s="46">
        <f t="shared" si="31"/>
        <v>7106.2820512820517</v>
      </c>
    </row>
    <row r="34" spans="1:43" x14ac:dyDescent="0.35">
      <c r="A34" s="37" t="s">
        <v>190</v>
      </c>
      <c r="B34" s="37" t="s">
        <v>295</v>
      </c>
      <c r="C34" s="50" t="s">
        <v>151</v>
      </c>
      <c r="D34" s="54" t="s">
        <v>47</v>
      </c>
      <c r="E34" s="56" t="s">
        <v>80</v>
      </c>
      <c r="F34" s="63" t="s">
        <v>223</v>
      </c>
      <c r="G34" s="58" t="s">
        <v>189</v>
      </c>
      <c r="H34" s="59">
        <v>4000</v>
      </c>
      <c r="I34" s="59">
        <v>3000</v>
      </c>
      <c r="J34" s="24"/>
      <c r="K34" s="60">
        <v>0.61</v>
      </c>
      <c r="L34" s="9">
        <f t="shared" si="32"/>
        <v>1830</v>
      </c>
      <c r="M34" s="9">
        <v>0</v>
      </c>
      <c r="N34" s="9">
        <f t="shared" si="21"/>
        <v>30</v>
      </c>
      <c r="O34" s="9">
        <f t="shared" si="22"/>
        <v>0</v>
      </c>
      <c r="P34" s="10">
        <f t="shared" si="23"/>
        <v>133.33333333333334</v>
      </c>
      <c r="Q34" s="10">
        <f t="shared" si="24"/>
        <v>61</v>
      </c>
      <c r="R34" s="10">
        <f t="shared" si="25"/>
        <v>194.33333333333334</v>
      </c>
      <c r="S34" s="10">
        <f t="shared" si="26"/>
        <v>16.666666666666668</v>
      </c>
      <c r="T34" s="9">
        <v>16</v>
      </c>
      <c r="U34" s="9">
        <f t="shared" si="6"/>
        <v>266.66666666666669</v>
      </c>
      <c r="V34" s="9">
        <v>0</v>
      </c>
      <c r="W34" s="15">
        <f t="shared" si="7"/>
        <v>6096.666666666667</v>
      </c>
      <c r="X34" s="23">
        <v>0</v>
      </c>
      <c r="Y34" s="23">
        <f t="shared" si="8"/>
        <v>0</v>
      </c>
      <c r="Z34" s="31">
        <v>0</v>
      </c>
      <c r="AA34" s="23">
        <f t="shared" si="9"/>
        <v>0</v>
      </c>
      <c r="AB34" s="23">
        <v>0</v>
      </c>
      <c r="AC34" s="23">
        <f t="shared" si="33"/>
        <v>0</v>
      </c>
      <c r="AD34" s="11">
        <f t="shared" si="11"/>
        <v>0</v>
      </c>
      <c r="AE34" s="4">
        <f t="shared" si="12"/>
        <v>6096.666666666667</v>
      </c>
      <c r="AF34" s="3">
        <f t="shared" si="13"/>
        <v>5384.6153846153848</v>
      </c>
      <c r="AG34" s="3">
        <f t="shared" si="27"/>
        <v>592.30769230769238</v>
      </c>
      <c r="AH34" s="1">
        <v>1666.6666666666667</v>
      </c>
      <c r="AI34" s="1">
        <f t="shared" si="28"/>
        <v>46052.307692307688</v>
      </c>
      <c r="AJ34" s="1">
        <f t="shared" si="29"/>
        <v>50.435897435897402</v>
      </c>
      <c r="AK34" s="3">
        <f t="shared" si="30"/>
        <v>3.0483333333333333</v>
      </c>
      <c r="AL34" s="4">
        <f t="shared" si="18"/>
        <v>5450.874743589744</v>
      </c>
      <c r="AM34" s="3">
        <v>0</v>
      </c>
      <c r="AN34" s="4">
        <f t="shared" si="19"/>
        <v>5450.874743589744</v>
      </c>
      <c r="AO34" s="1">
        <f t="shared" si="20"/>
        <v>1009.6153846153846</v>
      </c>
      <c r="AP34" s="34">
        <v>21</v>
      </c>
      <c r="AQ34" s="46">
        <f t="shared" si="31"/>
        <v>7106.2820512820517</v>
      </c>
    </row>
    <row r="35" spans="1:43" x14ac:dyDescent="0.35">
      <c r="A35" s="37" t="s">
        <v>190</v>
      </c>
      <c r="B35" s="37" t="s">
        <v>296</v>
      </c>
      <c r="C35" s="50" t="s">
        <v>152</v>
      </c>
      <c r="D35" s="54" t="s">
        <v>47</v>
      </c>
      <c r="E35" s="55" t="s">
        <v>81</v>
      </c>
      <c r="F35" s="63" t="s">
        <v>224</v>
      </c>
      <c r="G35" s="58" t="s">
        <v>354</v>
      </c>
      <c r="H35" s="59">
        <v>4500</v>
      </c>
      <c r="I35" s="59">
        <v>3000</v>
      </c>
      <c r="J35" s="24"/>
      <c r="K35" s="60">
        <v>0.61</v>
      </c>
      <c r="L35" s="9">
        <f t="shared" si="32"/>
        <v>1830</v>
      </c>
      <c r="M35" s="9">
        <v>0</v>
      </c>
      <c r="N35" s="9">
        <f t="shared" si="21"/>
        <v>30</v>
      </c>
      <c r="O35" s="9">
        <f t="shared" si="22"/>
        <v>0</v>
      </c>
      <c r="P35" s="10">
        <f t="shared" si="23"/>
        <v>150</v>
      </c>
      <c r="Q35" s="10">
        <f t="shared" si="24"/>
        <v>61</v>
      </c>
      <c r="R35" s="10">
        <f t="shared" si="25"/>
        <v>211</v>
      </c>
      <c r="S35" s="10">
        <f t="shared" si="26"/>
        <v>18.75</v>
      </c>
      <c r="T35" s="9">
        <v>0</v>
      </c>
      <c r="U35" s="9">
        <f t="shared" si="6"/>
        <v>0</v>
      </c>
      <c r="V35" s="9">
        <v>0</v>
      </c>
      <c r="W35" s="15">
        <f t="shared" si="7"/>
        <v>6330</v>
      </c>
      <c r="X35" s="23">
        <v>0</v>
      </c>
      <c r="Y35" s="23">
        <f t="shared" si="8"/>
        <v>0</v>
      </c>
      <c r="Z35" s="31">
        <v>0</v>
      </c>
      <c r="AA35" s="23">
        <f t="shared" si="9"/>
        <v>0</v>
      </c>
      <c r="AB35" s="23">
        <v>0</v>
      </c>
      <c r="AC35" s="23">
        <f t="shared" si="33"/>
        <v>0</v>
      </c>
      <c r="AD35" s="11">
        <f t="shared" si="11"/>
        <v>0</v>
      </c>
      <c r="AE35" s="4">
        <f t="shared" si="12"/>
        <v>6330</v>
      </c>
      <c r="AF35" s="3">
        <f t="shared" si="13"/>
        <v>5384.6153846153848</v>
      </c>
      <c r="AG35" s="3">
        <f t="shared" si="27"/>
        <v>592.30769230769238</v>
      </c>
      <c r="AH35" s="1">
        <v>1666.6666666666667</v>
      </c>
      <c r="AI35" s="1">
        <f t="shared" si="28"/>
        <v>48852.307692307688</v>
      </c>
      <c r="AJ35" s="1">
        <f t="shared" si="29"/>
        <v>73.769230769230731</v>
      </c>
      <c r="AK35" s="3">
        <f t="shared" si="30"/>
        <v>3.165</v>
      </c>
      <c r="AL35" s="4">
        <f t="shared" si="18"/>
        <v>5660.7580769230772</v>
      </c>
      <c r="AM35" s="3">
        <v>0</v>
      </c>
      <c r="AN35" s="4">
        <f t="shared" si="19"/>
        <v>5660.7580769230772</v>
      </c>
      <c r="AO35" s="1">
        <f t="shared" si="20"/>
        <v>1009.6153846153846</v>
      </c>
      <c r="AP35" s="34">
        <v>21</v>
      </c>
      <c r="AQ35" s="46">
        <f t="shared" si="31"/>
        <v>7339.6153846153848</v>
      </c>
    </row>
    <row r="36" spans="1:43" x14ac:dyDescent="0.35">
      <c r="A36" s="37" t="s">
        <v>190</v>
      </c>
      <c r="B36" s="37" t="s">
        <v>297</v>
      </c>
      <c r="C36" s="50" t="s">
        <v>153</v>
      </c>
      <c r="D36" s="54" t="s">
        <v>47</v>
      </c>
      <c r="E36" s="56" t="s">
        <v>82</v>
      </c>
      <c r="F36" s="63" t="s">
        <v>225</v>
      </c>
      <c r="G36" s="58" t="s">
        <v>189</v>
      </c>
      <c r="H36" s="59">
        <v>4000</v>
      </c>
      <c r="I36" s="59">
        <v>3000</v>
      </c>
      <c r="J36" s="24"/>
      <c r="K36" s="60">
        <v>0.61</v>
      </c>
      <c r="L36" s="9">
        <f t="shared" si="32"/>
        <v>1830</v>
      </c>
      <c r="M36" s="9">
        <v>0</v>
      </c>
      <c r="N36" s="9">
        <f t="shared" si="21"/>
        <v>30</v>
      </c>
      <c r="O36" s="9">
        <f t="shared" si="22"/>
        <v>0</v>
      </c>
      <c r="P36" s="10">
        <f t="shared" si="23"/>
        <v>133.33333333333334</v>
      </c>
      <c r="Q36" s="10">
        <f t="shared" si="24"/>
        <v>61</v>
      </c>
      <c r="R36" s="10">
        <f t="shared" si="25"/>
        <v>194.33333333333334</v>
      </c>
      <c r="S36" s="10">
        <f t="shared" si="26"/>
        <v>16.666666666666668</v>
      </c>
      <c r="T36" s="9">
        <v>16</v>
      </c>
      <c r="U36" s="9">
        <f t="shared" si="6"/>
        <v>266.66666666666669</v>
      </c>
      <c r="V36" s="9">
        <v>0</v>
      </c>
      <c r="W36" s="15">
        <f t="shared" si="7"/>
        <v>6096.666666666667</v>
      </c>
      <c r="X36" s="23">
        <v>0</v>
      </c>
      <c r="Y36" s="23">
        <f t="shared" si="8"/>
        <v>0</v>
      </c>
      <c r="Z36" s="31">
        <v>0</v>
      </c>
      <c r="AA36" s="23">
        <f t="shared" si="9"/>
        <v>0</v>
      </c>
      <c r="AB36" s="23">
        <v>0</v>
      </c>
      <c r="AC36" s="23">
        <f t="shared" si="33"/>
        <v>0</v>
      </c>
      <c r="AD36" s="11">
        <f t="shared" si="11"/>
        <v>0</v>
      </c>
      <c r="AE36" s="4">
        <f t="shared" si="12"/>
        <v>6096.666666666667</v>
      </c>
      <c r="AF36" s="3">
        <f t="shared" si="13"/>
        <v>5384.6153846153848</v>
      </c>
      <c r="AG36" s="3">
        <f t="shared" si="27"/>
        <v>592.30769230769238</v>
      </c>
      <c r="AH36" s="1">
        <v>1666.6666666666667</v>
      </c>
      <c r="AI36" s="1">
        <f t="shared" si="28"/>
        <v>46052.307692307688</v>
      </c>
      <c r="AJ36" s="1">
        <f t="shared" si="29"/>
        <v>50.435897435897402</v>
      </c>
      <c r="AK36" s="3">
        <f t="shared" si="30"/>
        <v>3.0483333333333333</v>
      </c>
      <c r="AL36" s="4">
        <f t="shared" si="18"/>
        <v>5450.874743589744</v>
      </c>
      <c r="AM36" s="3">
        <v>0</v>
      </c>
      <c r="AN36" s="4">
        <f t="shared" si="19"/>
        <v>5450.874743589744</v>
      </c>
      <c r="AO36" s="1">
        <f t="shared" si="20"/>
        <v>1009.6153846153846</v>
      </c>
      <c r="AP36" s="34">
        <v>18</v>
      </c>
      <c r="AQ36" s="46">
        <f t="shared" si="31"/>
        <v>7106.2820512820517</v>
      </c>
    </row>
    <row r="37" spans="1:43" x14ac:dyDescent="0.35">
      <c r="A37" s="37" t="s">
        <v>190</v>
      </c>
      <c r="B37" s="37" t="s">
        <v>298</v>
      </c>
      <c r="C37" s="50" t="s">
        <v>154</v>
      </c>
      <c r="D37" s="54" t="s">
        <v>47</v>
      </c>
      <c r="E37" s="56" t="s">
        <v>83</v>
      </c>
      <c r="F37" s="63" t="s">
        <v>226</v>
      </c>
      <c r="G37" s="58" t="s">
        <v>189</v>
      </c>
      <c r="H37" s="59">
        <v>4000</v>
      </c>
      <c r="I37" s="59">
        <v>3000</v>
      </c>
      <c r="J37" s="24"/>
      <c r="K37" s="60">
        <v>0.61</v>
      </c>
      <c r="L37" s="9">
        <f t="shared" si="32"/>
        <v>1830</v>
      </c>
      <c r="M37" s="9">
        <v>0</v>
      </c>
      <c r="N37" s="9">
        <f t="shared" si="21"/>
        <v>30</v>
      </c>
      <c r="O37" s="9">
        <f t="shared" si="22"/>
        <v>0</v>
      </c>
      <c r="P37" s="10">
        <f t="shared" si="23"/>
        <v>133.33333333333334</v>
      </c>
      <c r="Q37" s="10">
        <f t="shared" si="24"/>
        <v>61</v>
      </c>
      <c r="R37" s="10">
        <f t="shared" si="25"/>
        <v>194.33333333333334</v>
      </c>
      <c r="S37" s="10">
        <f t="shared" si="26"/>
        <v>16.666666666666668</v>
      </c>
      <c r="T37" s="9">
        <v>16</v>
      </c>
      <c r="U37" s="9">
        <f t="shared" si="6"/>
        <v>266.66666666666669</v>
      </c>
      <c r="V37" s="9">
        <v>0</v>
      </c>
      <c r="W37" s="15">
        <f t="shared" si="7"/>
        <v>6096.666666666667</v>
      </c>
      <c r="X37" s="23">
        <v>0</v>
      </c>
      <c r="Y37" s="23">
        <f t="shared" si="8"/>
        <v>0</v>
      </c>
      <c r="Z37" s="31">
        <v>0</v>
      </c>
      <c r="AA37" s="23">
        <f t="shared" si="9"/>
        <v>0</v>
      </c>
      <c r="AB37" s="23">
        <v>0</v>
      </c>
      <c r="AC37" s="23">
        <f t="shared" si="33"/>
        <v>0</v>
      </c>
      <c r="AD37" s="11">
        <f t="shared" si="11"/>
        <v>0</v>
      </c>
      <c r="AE37" s="4">
        <f t="shared" si="12"/>
        <v>6096.666666666667</v>
      </c>
      <c r="AF37" s="3">
        <f t="shared" si="13"/>
        <v>5384.6153846153848</v>
      </c>
      <c r="AG37" s="3">
        <f t="shared" si="27"/>
        <v>592.30769230769238</v>
      </c>
      <c r="AH37" s="1">
        <v>1666.6666666666667</v>
      </c>
      <c r="AI37" s="1">
        <f t="shared" si="28"/>
        <v>46052.307692307688</v>
      </c>
      <c r="AJ37" s="1">
        <f t="shared" si="29"/>
        <v>50.435897435897402</v>
      </c>
      <c r="AK37" s="3">
        <f t="shared" si="30"/>
        <v>3.0483333333333333</v>
      </c>
      <c r="AL37" s="4">
        <f t="shared" si="18"/>
        <v>5450.874743589744</v>
      </c>
      <c r="AM37" s="3">
        <v>0</v>
      </c>
      <c r="AN37" s="4">
        <f t="shared" si="19"/>
        <v>5450.874743589744</v>
      </c>
      <c r="AO37" s="1">
        <f t="shared" si="20"/>
        <v>1009.6153846153846</v>
      </c>
      <c r="AP37" s="34">
        <v>14</v>
      </c>
      <c r="AQ37" s="46">
        <f t="shared" si="31"/>
        <v>7106.2820512820517</v>
      </c>
    </row>
    <row r="38" spans="1:43" x14ac:dyDescent="0.35">
      <c r="A38" s="37" t="s">
        <v>190</v>
      </c>
      <c r="B38" s="37" t="s">
        <v>299</v>
      </c>
      <c r="C38" s="50" t="s">
        <v>155</v>
      </c>
      <c r="D38" s="54" t="s">
        <v>47</v>
      </c>
      <c r="E38" s="56" t="s">
        <v>84</v>
      </c>
      <c r="F38" s="63" t="s">
        <v>227</v>
      </c>
      <c r="G38" s="58" t="s">
        <v>189</v>
      </c>
      <c r="H38" s="59">
        <v>4000</v>
      </c>
      <c r="I38" s="59">
        <v>3000</v>
      </c>
      <c r="J38" s="24"/>
      <c r="K38" s="60">
        <v>0.61</v>
      </c>
      <c r="L38" s="9">
        <f t="shared" si="32"/>
        <v>1830</v>
      </c>
      <c r="M38" s="9">
        <v>0</v>
      </c>
      <c r="N38" s="9">
        <f t="shared" si="21"/>
        <v>30</v>
      </c>
      <c r="O38" s="9">
        <f t="shared" si="22"/>
        <v>0</v>
      </c>
      <c r="P38" s="10">
        <f t="shared" si="23"/>
        <v>133.33333333333334</v>
      </c>
      <c r="Q38" s="10">
        <f t="shared" si="24"/>
        <v>61</v>
      </c>
      <c r="R38" s="10">
        <f t="shared" si="25"/>
        <v>194.33333333333334</v>
      </c>
      <c r="S38" s="10">
        <f t="shared" si="26"/>
        <v>16.666666666666668</v>
      </c>
      <c r="T38" s="9">
        <v>16</v>
      </c>
      <c r="U38" s="9">
        <f t="shared" si="6"/>
        <v>266.66666666666669</v>
      </c>
      <c r="V38" s="9">
        <v>0</v>
      </c>
      <c r="W38" s="15">
        <f t="shared" si="7"/>
        <v>6096.666666666667</v>
      </c>
      <c r="X38" s="23">
        <v>0</v>
      </c>
      <c r="Y38" s="23">
        <f t="shared" si="8"/>
        <v>0</v>
      </c>
      <c r="Z38" s="31">
        <v>0</v>
      </c>
      <c r="AA38" s="23">
        <f t="shared" si="9"/>
        <v>0</v>
      </c>
      <c r="AB38" s="23">
        <v>0</v>
      </c>
      <c r="AC38" s="23">
        <f t="shared" si="33"/>
        <v>0</v>
      </c>
      <c r="AD38" s="11">
        <f t="shared" si="11"/>
        <v>0</v>
      </c>
      <c r="AE38" s="4">
        <f t="shared" si="12"/>
        <v>6096.666666666667</v>
      </c>
      <c r="AF38" s="3">
        <f t="shared" si="13"/>
        <v>5384.6153846153848</v>
      </c>
      <c r="AG38" s="3">
        <f t="shared" si="27"/>
        <v>592.30769230769238</v>
      </c>
      <c r="AH38" s="1">
        <v>1666.6666666666667</v>
      </c>
      <c r="AI38" s="1">
        <f t="shared" si="28"/>
        <v>46052.307692307688</v>
      </c>
      <c r="AJ38" s="1">
        <f t="shared" si="29"/>
        <v>50.435897435897402</v>
      </c>
      <c r="AK38" s="3">
        <f t="shared" si="30"/>
        <v>3.0483333333333333</v>
      </c>
      <c r="AL38" s="4">
        <f t="shared" si="18"/>
        <v>5450.874743589744</v>
      </c>
      <c r="AM38" s="3">
        <v>0</v>
      </c>
      <c r="AN38" s="4">
        <f t="shared" si="19"/>
        <v>5450.874743589744</v>
      </c>
      <c r="AO38" s="1">
        <f t="shared" si="20"/>
        <v>1009.6153846153846</v>
      </c>
      <c r="AP38" s="34">
        <v>21</v>
      </c>
      <c r="AQ38" s="46">
        <f t="shared" si="31"/>
        <v>7106.2820512820517</v>
      </c>
    </row>
    <row r="39" spans="1:43" x14ac:dyDescent="0.35">
      <c r="A39" s="37" t="s">
        <v>190</v>
      </c>
      <c r="B39" s="37" t="s">
        <v>300</v>
      </c>
      <c r="C39" s="50" t="s">
        <v>156</v>
      </c>
      <c r="D39" s="54" t="s">
        <v>47</v>
      </c>
      <c r="E39" s="56" t="s">
        <v>85</v>
      </c>
      <c r="F39" s="63" t="s">
        <v>228</v>
      </c>
      <c r="G39" s="58" t="s">
        <v>189</v>
      </c>
      <c r="H39" s="59">
        <v>4000</v>
      </c>
      <c r="I39" s="59">
        <v>3000</v>
      </c>
      <c r="J39" s="24"/>
      <c r="K39" s="60">
        <v>0.61</v>
      </c>
      <c r="L39" s="9">
        <f t="shared" si="32"/>
        <v>1830</v>
      </c>
      <c r="M39" s="9">
        <v>0</v>
      </c>
      <c r="N39" s="9">
        <f t="shared" si="21"/>
        <v>30</v>
      </c>
      <c r="O39" s="9">
        <f t="shared" si="22"/>
        <v>0</v>
      </c>
      <c r="P39" s="10">
        <f t="shared" si="23"/>
        <v>133.33333333333334</v>
      </c>
      <c r="Q39" s="10">
        <f t="shared" si="24"/>
        <v>61</v>
      </c>
      <c r="R39" s="10">
        <f t="shared" si="25"/>
        <v>194.33333333333334</v>
      </c>
      <c r="S39" s="10">
        <f t="shared" si="26"/>
        <v>16.666666666666668</v>
      </c>
      <c r="T39" s="9">
        <v>16</v>
      </c>
      <c r="U39" s="9">
        <f t="shared" si="6"/>
        <v>266.66666666666669</v>
      </c>
      <c r="V39" s="9">
        <v>0</v>
      </c>
      <c r="W39" s="15">
        <f t="shared" si="7"/>
        <v>6096.666666666667</v>
      </c>
      <c r="X39" s="23">
        <v>0</v>
      </c>
      <c r="Y39" s="23">
        <f t="shared" si="8"/>
        <v>0</v>
      </c>
      <c r="Z39" s="31">
        <v>0</v>
      </c>
      <c r="AA39" s="23">
        <f t="shared" si="9"/>
        <v>0</v>
      </c>
      <c r="AB39" s="23">
        <v>0</v>
      </c>
      <c r="AC39" s="23">
        <f t="shared" si="33"/>
        <v>0</v>
      </c>
      <c r="AD39" s="11">
        <f t="shared" si="11"/>
        <v>0</v>
      </c>
      <c r="AE39" s="4">
        <f t="shared" si="12"/>
        <v>6096.666666666667</v>
      </c>
      <c r="AF39" s="3">
        <f t="shared" si="13"/>
        <v>5384.6153846153848</v>
      </c>
      <c r="AG39" s="3">
        <f t="shared" si="27"/>
        <v>592.30769230769238</v>
      </c>
      <c r="AH39" s="1">
        <v>1666.6666666666667</v>
      </c>
      <c r="AI39" s="1">
        <f t="shared" si="28"/>
        <v>46052.307692307688</v>
      </c>
      <c r="AJ39" s="1">
        <f t="shared" si="29"/>
        <v>50.435897435897402</v>
      </c>
      <c r="AK39" s="3">
        <f t="shared" si="30"/>
        <v>3.0483333333333333</v>
      </c>
      <c r="AL39" s="4">
        <f t="shared" si="18"/>
        <v>5450.874743589744</v>
      </c>
      <c r="AM39" s="3">
        <v>0</v>
      </c>
      <c r="AN39" s="4">
        <f t="shared" si="19"/>
        <v>5450.874743589744</v>
      </c>
      <c r="AO39" s="1">
        <f t="shared" si="20"/>
        <v>1009.6153846153846</v>
      </c>
      <c r="AP39" s="34">
        <v>20</v>
      </c>
      <c r="AQ39" s="46">
        <f t="shared" si="31"/>
        <v>7106.2820512820517</v>
      </c>
    </row>
    <row r="40" spans="1:43" x14ac:dyDescent="0.35">
      <c r="A40" s="37" t="s">
        <v>190</v>
      </c>
      <c r="B40" s="37" t="s">
        <v>301</v>
      </c>
      <c r="C40" s="50" t="s">
        <v>157</v>
      </c>
      <c r="D40" s="54" t="s">
        <v>47</v>
      </c>
      <c r="E40" s="56" t="s">
        <v>86</v>
      </c>
      <c r="F40" s="63" t="s">
        <v>229</v>
      </c>
      <c r="G40" s="58" t="s">
        <v>189</v>
      </c>
      <c r="H40" s="59">
        <v>4000</v>
      </c>
      <c r="I40" s="59">
        <v>3000</v>
      </c>
      <c r="J40" s="24"/>
      <c r="K40" s="60">
        <v>0.61</v>
      </c>
      <c r="L40" s="9">
        <f t="shared" si="32"/>
        <v>1830</v>
      </c>
      <c r="M40" s="9">
        <v>0</v>
      </c>
      <c r="N40" s="9">
        <f t="shared" si="21"/>
        <v>30</v>
      </c>
      <c r="O40" s="9">
        <f t="shared" si="22"/>
        <v>0</v>
      </c>
      <c r="P40" s="10">
        <f t="shared" si="23"/>
        <v>133.33333333333334</v>
      </c>
      <c r="Q40" s="10">
        <f t="shared" si="24"/>
        <v>61</v>
      </c>
      <c r="R40" s="10">
        <f t="shared" si="25"/>
        <v>194.33333333333334</v>
      </c>
      <c r="S40" s="10">
        <f t="shared" si="26"/>
        <v>16.666666666666668</v>
      </c>
      <c r="T40" s="9">
        <v>16</v>
      </c>
      <c r="U40" s="9">
        <f t="shared" si="6"/>
        <v>266.66666666666669</v>
      </c>
      <c r="V40" s="9">
        <v>0</v>
      </c>
      <c r="W40" s="15">
        <f t="shared" si="7"/>
        <v>6096.666666666667</v>
      </c>
      <c r="X40" s="23">
        <v>0</v>
      </c>
      <c r="Y40" s="23">
        <f t="shared" si="8"/>
        <v>0</v>
      </c>
      <c r="Z40" s="31">
        <v>0</v>
      </c>
      <c r="AA40" s="23">
        <f t="shared" si="9"/>
        <v>0</v>
      </c>
      <c r="AB40" s="23">
        <v>0</v>
      </c>
      <c r="AC40" s="23">
        <f t="shared" si="33"/>
        <v>0</v>
      </c>
      <c r="AD40" s="11">
        <f t="shared" si="11"/>
        <v>0</v>
      </c>
      <c r="AE40" s="4">
        <f t="shared" si="12"/>
        <v>6096.666666666667</v>
      </c>
      <c r="AF40" s="3">
        <f t="shared" si="13"/>
        <v>5384.6153846153848</v>
      </c>
      <c r="AG40" s="3">
        <f t="shared" si="27"/>
        <v>592.30769230769238</v>
      </c>
      <c r="AH40" s="1">
        <v>1666.6666666666667</v>
      </c>
      <c r="AI40" s="1">
        <f t="shared" si="28"/>
        <v>46052.307692307688</v>
      </c>
      <c r="AJ40" s="1">
        <f t="shared" si="29"/>
        <v>50.435897435897402</v>
      </c>
      <c r="AK40" s="3">
        <f t="shared" si="30"/>
        <v>3.0483333333333333</v>
      </c>
      <c r="AL40" s="4">
        <f t="shared" si="18"/>
        <v>5450.874743589744</v>
      </c>
      <c r="AM40" s="3">
        <v>0</v>
      </c>
      <c r="AN40" s="4">
        <f t="shared" si="19"/>
        <v>5450.874743589744</v>
      </c>
      <c r="AO40" s="1">
        <f t="shared" si="20"/>
        <v>1009.6153846153846</v>
      </c>
      <c r="AP40" s="34">
        <v>16</v>
      </c>
      <c r="AQ40" s="46">
        <f t="shared" si="31"/>
        <v>7106.2820512820517</v>
      </c>
    </row>
    <row r="41" spans="1:43" x14ac:dyDescent="0.35">
      <c r="A41" s="37" t="s">
        <v>190</v>
      </c>
      <c r="B41" s="37" t="s">
        <v>302</v>
      </c>
      <c r="C41" s="50" t="s">
        <v>158</v>
      </c>
      <c r="D41" s="54" t="s">
        <v>47</v>
      </c>
      <c r="E41" s="56" t="s">
        <v>87</v>
      </c>
      <c r="F41" s="63" t="s">
        <v>230</v>
      </c>
      <c r="G41" s="58" t="s">
        <v>189</v>
      </c>
      <c r="H41" s="59">
        <v>4000</v>
      </c>
      <c r="I41" s="59">
        <v>3000</v>
      </c>
      <c r="J41" s="24"/>
      <c r="K41" s="60">
        <v>0.61</v>
      </c>
      <c r="L41" s="9">
        <f t="shared" si="32"/>
        <v>1830</v>
      </c>
      <c r="M41" s="9">
        <v>0</v>
      </c>
      <c r="N41" s="9">
        <f t="shared" si="21"/>
        <v>30</v>
      </c>
      <c r="O41" s="9">
        <f t="shared" si="22"/>
        <v>0</v>
      </c>
      <c r="P41" s="10">
        <f t="shared" si="23"/>
        <v>133.33333333333334</v>
      </c>
      <c r="Q41" s="10">
        <f t="shared" si="24"/>
        <v>61</v>
      </c>
      <c r="R41" s="10">
        <f t="shared" si="25"/>
        <v>194.33333333333334</v>
      </c>
      <c r="S41" s="10">
        <f t="shared" si="26"/>
        <v>16.666666666666668</v>
      </c>
      <c r="T41" s="9">
        <v>16</v>
      </c>
      <c r="U41" s="9">
        <f t="shared" si="6"/>
        <v>266.66666666666669</v>
      </c>
      <c r="V41" s="9">
        <v>0</v>
      </c>
      <c r="W41" s="15">
        <f t="shared" si="7"/>
        <v>6096.666666666667</v>
      </c>
      <c r="X41" s="23">
        <v>0</v>
      </c>
      <c r="Y41" s="23">
        <f t="shared" si="8"/>
        <v>0</v>
      </c>
      <c r="Z41" s="31">
        <v>0</v>
      </c>
      <c r="AA41" s="23">
        <f t="shared" si="9"/>
        <v>0</v>
      </c>
      <c r="AB41" s="23">
        <v>0</v>
      </c>
      <c r="AC41" s="23">
        <f t="shared" si="33"/>
        <v>0</v>
      </c>
      <c r="AD41" s="11">
        <f t="shared" si="11"/>
        <v>0</v>
      </c>
      <c r="AE41" s="4">
        <f t="shared" si="12"/>
        <v>6096.666666666667</v>
      </c>
      <c r="AF41" s="3">
        <f t="shared" si="13"/>
        <v>5384.6153846153848</v>
      </c>
      <c r="AG41" s="3">
        <f t="shared" si="27"/>
        <v>592.30769230769238</v>
      </c>
      <c r="AH41" s="1">
        <v>1666.6666666666667</v>
      </c>
      <c r="AI41" s="1">
        <f t="shared" si="28"/>
        <v>46052.307692307688</v>
      </c>
      <c r="AJ41" s="1">
        <f t="shared" si="29"/>
        <v>50.435897435897402</v>
      </c>
      <c r="AK41" s="3">
        <f t="shared" si="30"/>
        <v>3.0483333333333333</v>
      </c>
      <c r="AL41" s="4">
        <f t="shared" si="18"/>
        <v>5450.874743589744</v>
      </c>
      <c r="AM41" s="3">
        <v>0</v>
      </c>
      <c r="AN41" s="4">
        <f t="shared" si="19"/>
        <v>5450.874743589744</v>
      </c>
      <c r="AO41" s="1">
        <f t="shared" si="20"/>
        <v>1009.6153846153846</v>
      </c>
      <c r="AP41" s="34">
        <v>16</v>
      </c>
      <c r="AQ41" s="46">
        <f t="shared" si="31"/>
        <v>7106.2820512820517</v>
      </c>
    </row>
    <row r="42" spans="1:43" x14ac:dyDescent="0.35">
      <c r="A42" s="37" t="s">
        <v>190</v>
      </c>
      <c r="B42" s="37" t="s">
        <v>303</v>
      </c>
      <c r="C42" s="50" t="s">
        <v>159</v>
      </c>
      <c r="D42" s="54" t="s">
        <v>47</v>
      </c>
      <c r="E42" s="55" t="s">
        <v>88</v>
      </c>
      <c r="F42" s="63" t="s">
        <v>231</v>
      </c>
      <c r="G42" s="58" t="s">
        <v>353</v>
      </c>
      <c r="H42" s="59">
        <v>4600</v>
      </c>
      <c r="I42" s="59">
        <v>3000</v>
      </c>
      <c r="J42" s="24"/>
      <c r="K42" s="60">
        <v>0.61</v>
      </c>
      <c r="L42" s="9">
        <f t="shared" si="32"/>
        <v>1830</v>
      </c>
      <c r="M42" s="9">
        <v>0</v>
      </c>
      <c r="N42" s="9">
        <f t="shared" si="21"/>
        <v>30</v>
      </c>
      <c r="O42" s="9">
        <f t="shared" si="22"/>
        <v>0</v>
      </c>
      <c r="P42" s="10">
        <f t="shared" si="23"/>
        <v>153.33333333333334</v>
      </c>
      <c r="Q42" s="10">
        <f t="shared" si="24"/>
        <v>61</v>
      </c>
      <c r="R42" s="10">
        <f t="shared" si="25"/>
        <v>214.33333333333334</v>
      </c>
      <c r="S42" s="10">
        <f t="shared" si="26"/>
        <v>19.166666666666668</v>
      </c>
      <c r="T42" s="9">
        <v>16</v>
      </c>
      <c r="U42" s="9">
        <f t="shared" si="6"/>
        <v>306.66666666666669</v>
      </c>
      <c r="V42" s="9">
        <v>0</v>
      </c>
      <c r="W42" s="15">
        <f t="shared" si="7"/>
        <v>6736.666666666667</v>
      </c>
      <c r="X42" s="23">
        <v>0</v>
      </c>
      <c r="Y42" s="23">
        <f t="shared" si="8"/>
        <v>0</v>
      </c>
      <c r="Z42" s="31">
        <v>0</v>
      </c>
      <c r="AA42" s="23">
        <f t="shared" si="9"/>
        <v>0</v>
      </c>
      <c r="AB42" s="23">
        <v>0</v>
      </c>
      <c r="AC42" s="23">
        <f t="shared" si="33"/>
        <v>0</v>
      </c>
      <c r="AD42" s="11">
        <f t="shared" si="11"/>
        <v>0</v>
      </c>
      <c r="AE42" s="4">
        <f t="shared" si="12"/>
        <v>6736.666666666667</v>
      </c>
      <c r="AF42" s="3">
        <f t="shared" si="13"/>
        <v>5384.6153846153848</v>
      </c>
      <c r="AG42" s="3">
        <f t="shared" si="27"/>
        <v>592.30769230769238</v>
      </c>
      <c r="AH42" s="1">
        <v>1666.6666666666667</v>
      </c>
      <c r="AI42" s="1">
        <f t="shared" si="28"/>
        <v>53732.307692307688</v>
      </c>
      <c r="AJ42" s="1">
        <f t="shared" si="29"/>
        <v>114.4358974358974</v>
      </c>
      <c r="AK42" s="3">
        <f t="shared" si="30"/>
        <v>3.3683333333333336</v>
      </c>
      <c r="AL42" s="4">
        <f t="shared" si="18"/>
        <v>6026.5547435897442</v>
      </c>
      <c r="AM42" s="3">
        <v>0</v>
      </c>
      <c r="AN42" s="4">
        <f t="shared" si="19"/>
        <v>6026.5547435897442</v>
      </c>
      <c r="AO42" s="1">
        <f t="shared" si="20"/>
        <v>1009.6153846153846</v>
      </c>
      <c r="AP42" s="34">
        <v>19</v>
      </c>
      <c r="AQ42" s="46">
        <f t="shared" si="31"/>
        <v>7746.2820512820517</v>
      </c>
    </row>
    <row r="43" spans="1:43" x14ac:dyDescent="0.35">
      <c r="A43" s="37" t="s">
        <v>190</v>
      </c>
      <c r="B43" s="37" t="s">
        <v>304</v>
      </c>
      <c r="C43" s="50" t="s">
        <v>160</v>
      </c>
      <c r="D43" s="54" t="s">
        <v>47</v>
      </c>
      <c r="E43" s="55" t="s">
        <v>89</v>
      </c>
      <c r="F43" s="63" t="s">
        <v>232</v>
      </c>
      <c r="G43" s="58" t="s">
        <v>354</v>
      </c>
      <c r="H43" s="59">
        <v>4500</v>
      </c>
      <c r="I43" s="59">
        <v>3000</v>
      </c>
      <c r="J43" s="24"/>
      <c r="K43" s="60">
        <v>0.61</v>
      </c>
      <c r="L43" s="9">
        <f t="shared" si="32"/>
        <v>1830</v>
      </c>
      <c r="M43" s="9">
        <v>0</v>
      </c>
      <c r="N43" s="9">
        <f t="shared" si="21"/>
        <v>30</v>
      </c>
      <c r="O43" s="9">
        <f t="shared" si="22"/>
        <v>0</v>
      </c>
      <c r="P43" s="10">
        <f t="shared" si="23"/>
        <v>150</v>
      </c>
      <c r="Q43" s="10">
        <f t="shared" si="24"/>
        <v>61</v>
      </c>
      <c r="R43" s="10">
        <f t="shared" si="25"/>
        <v>211</v>
      </c>
      <c r="S43" s="10">
        <f t="shared" si="26"/>
        <v>18.75</v>
      </c>
      <c r="T43" s="9">
        <v>16</v>
      </c>
      <c r="U43" s="9">
        <f t="shared" si="6"/>
        <v>300</v>
      </c>
      <c r="V43" s="9">
        <v>0</v>
      </c>
      <c r="W43" s="15">
        <f t="shared" si="7"/>
        <v>6630</v>
      </c>
      <c r="X43" s="23">
        <v>0</v>
      </c>
      <c r="Y43" s="23">
        <f t="shared" si="8"/>
        <v>0</v>
      </c>
      <c r="Z43" s="31">
        <v>0</v>
      </c>
      <c r="AA43" s="23">
        <f t="shared" si="9"/>
        <v>0</v>
      </c>
      <c r="AB43" s="23">
        <v>0</v>
      </c>
      <c r="AC43" s="23">
        <f t="shared" si="33"/>
        <v>0</v>
      </c>
      <c r="AD43" s="11">
        <f t="shared" si="11"/>
        <v>0</v>
      </c>
      <c r="AE43" s="4">
        <f t="shared" si="12"/>
        <v>6630</v>
      </c>
      <c r="AF43" s="3">
        <f t="shared" si="13"/>
        <v>5384.6153846153848</v>
      </c>
      <c r="AG43" s="3">
        <f t="shared" si="27"/>
        <v>592.30769230769238</v>
      </c>
      <c r="AH43" s="1">
        <v>1666.6666666666667</v>
      </c>
      <c r="AI43" s="1">
        <f t="shared" si="28"/>
        <v>52452.307692307688</v>
      </c>
      <c r="AJ43" s="1">
        <f t="shared" si="29"/>
        <v>103.76923076923073</v>
      </c>
      <c r="AK43" s="3">
        <f t="shared" si="30"/>
        <v>3.3149999999999999</v>
      </c>
      <c r="AL43" s="4">
        <f t="shared" si="18"/>
        <v>5930.6080769230775</v>
      </c>
      <c r="AM43" s="3">
        <v>0</v>
      </c>
      <c r="AN43" s="4">
        <f t="shared" si="19"/>
        <v>5930.6080769230775</v>
      </c>
      <c r="AO43" s="1">
        <f t="shared" si="20"/>
        <v>1009.6153846153846</v>
      </c>
      <c r="AP43" s="34">
        <v>19</v>
      </c>
      <c r="AQ43" s="46">
        <f t="shared" si="31"/>
        <v>7639.6153846153848</v>
      </c>
    </row>
    <row r="44" spans="1:43" x14ac:dyDescent="0.35">
      <c r="A44" s="37" t="s">
        <v>190</v>
      </c>
      <c r="B44" s="37" t="s">
        <v>305</v>
      </c>
      <c r="C44" s="50" t="s">
        <v>161</v>
      </c>
      <c r="D44" s="54" t="s">
        <v>47</v>
      </c>
      <c r="E44" s="55" t="s">
        <v>90</v>
      </c>
      <c r="F44" s="63" t="s">
        <v>233</v>
      </c>
      <c r="G44" s="58" t="s">
        <v>189</v>
      </c>
      <c r="H44" s="59">
        <v>4000</v>
      </c>
      <c r="I44" s="59">
        <v>3000</v>
      </c>
      <c r="J44" s="24"/>
      <c r="K44" s="60">
        <v>0.61</v>
      </c>
      <c r="L44" s="9">
        <f t="shared" si="32"/>
        <v>1830</v>
      </c>
      <c r="M44" s="9">
        <v>0</v>
      </c>
      <c r="N44" s="9">
        <f t="shared" si="21"/>
        <v>30</v>
      </c>
      <c r="O44" s="9">
        <f t="shared" si="22"/>
        <v>0</v>
      </c>
      <c r="P44" s="10">
        <f t="shared" si="23"/>
        <v>133.33333333333334</v>
      </c>
      <c r="Q44" s="10">
        <f t="shared" si="24"/>
        <v>61</v>
      </c>
      <c r="R44" s="10">
        <f t="shared" si="25"/>
        <v>194.33333333333334</v>
      </c>
      <c r="S44" s="10">
        <f t="shared" si="26"/>
        <v>16.666666666666668</v>
      </c>
      <c r="T44" s="9">
        <v>16</v>
      </c>
      <c r="U44" s="9">
        <f t="shared" si="6"/>
        <v>266.66666666666669</v>
      </c>
      <c r="V44" s="9">
        <v>0</v>
      </c>
      <c r="W44" s="15">
        <f t="shared" si="7"/>
        <v>6096.666666666667</v>
      </c>
      <c r="X44" s="23">
        <v>0</v>
      </c>
      <c r="Y44" s="23">
        <f t="shared" si="8"/>
        <v>0</v>
      </c>
      <c r="Z44" s="31">
        <v>0</v>
      </c>
      <c r="AA44" s="23">
        <f t="shared" si="9"/>
        <v>0</v>
      </c>
      <c r="AB44" s="23">
        <v>0</v>
      </c>
      <c r="AC44" s="23">
        <f t="shared" si="33"/>
        <v>0</v>
      </c>
      <c r="AD44" s="11">
        <f t="shared" si="11"/>
        <v>0</v>
      </c>
      <c r="AE44" s="4">
        <f t="shared" si="12"/>
        <v>6096.666666666667</v>
      </c>
      <c r="AF44" s="3">
        <f t="shared" si="13"/>
        <v>5384.6153846153848</v>
      </c>
      <c r="AG44" s="3">
        <f t="shared" si="27"/>
        <v>592.30769230769238</v>
      </c>
      <c r="AH44" s="1">
        <v>1666.6666666666667</v>
      </c>
      <c r="AI44" s="1">
        <f t="shared" si="28"/>
        <v>46052.307692307688</v>
      </c>
      <c r="AJ44" s="1">
        <f t="shared" si="29"/>
        <v>50.435897435897402</v>
      </c>
      <c r="AK44" s="3">
        <f t="shared" si="30"/>
        <v>3.0483333333333333</v>
      </c>
      <c r="AL44" s="4">
        <f t="shared" si="18"/>
        <v>5450.874743589744</v>
      </c>
      <c r="AM44" s="3">
        <v>0</v>
      </c>
      <c r="AN44" s="4">
        <f t="shared" si="19"/>
        <v>5450.874743589744</v>
      </c>
      <c r="AO44" s="1">
        <f t="shared" si="20"/>
        <v>1009.6153846153846</v>
      </c>
      <c r="AP44" s="34">
        <v>21</v>
      </c>
      <c r="AQ44" s="46">
        <f t="shared" si="31"/>
        <v>7106.2820512820517</v>
      </c>
    </row>
    <row r="45" spans="1:43" x14ac:dyDescent="0.35">
      <c r="A45" s="37" t="s">
        <v>190</v>
      </c>
      <c r="B45" s="37" t="s">
        <v>306</v>
      </c>
      <c r="C45" s="50" t="s">
        <v>162</v>
      </c>
      <c r="D45" s="54" t="s">
        <v>47</v>
      </c>
      <c r="E45" s="55" t="s">
        <v>91</v>
      </c>
      <c r="F45" s="63" t="s">
        <v>234</v>
      </c>
      <c r="G45" s="58" t="s">
        <v>189</v>
      </c>
      <c r="H45" s="59">
        <v>4000</v>
      </c>
      <c r="I45" s="59">
        <v>3000</v>
      </c>
      <c r="J45" s="24"/>
      <c r="K45" s="60">
        <v>0.61</v>
      </c>
      <c r="L45" s="9">
        <f t="shared" si="32"/>
        <v>1830</v>
      </c>
      <c r="M45" s="9">
        <v>0</v>
      </c>
      <c r="N45" s="9">
        <f t="shared" si="21"/>
        <v>30</v>
      </c>
      <c r="O45" s="9">
        <f t="shared" si="22"/>
        <v>0</v>
      </c>
      <c r="P45" s="10">
        <f t="shared" si="23"/>
        <v>133.33333333333334</v>
      </c>
      <c r="Q45" s="10">
        <f t="shared" si="24"/>
        <v>61</v>
      </c>
      <c r="R45" s="10">
        <f t="shared" si="25"/>
        <v>194.33333333333334</v>
      </c>
      <c r="S45" s="10">
        <f t="shared" si="26"/>
        <v>16.666666666666668</v>
      </c>
      <c r="T45" s="9">
        <v>16</v>
      </c>
      <c r="U45" s="9">
        <f t="shared" si="6"/>
        <v>266.66666666666669</v>
      </c>
      <c r="V45" s="9">
        <v>0</v>
      </c>
      <c r="W45" s="15">
        <f t="shared" si="7"/>
        <v>6096.666666666667</v>
      </c>
      <c r="X45" s="23">
        <v>0</v>
      </c>
      <c r="Y45" s="23">
        <f t="shared" si="8"/>
        <v>0</v>
      </c>
      <c r="Z45" s="31">
        <v>0</v>
      </c>
      <c r="AA45" s="23">
        <f t="shared" si="9"/>
        <v>0</v>
      </c>
      <c r="AB45" s="23">
        <v>0</v>
      </c>
      <c r="AC45" s="23">
        <f t="shared" si="33"/>
        <v>0</v>
      </c>
      <c r="AD45" s="11">
        <f t="shared" si="11"/>
        <v>0</v>
      </c>
      <c r="AE45" s="4">
        <f t="shared" si="12"/>
        <v>6096.666666666667</v>
      </c>
      <c r="AF45" s="3">
        <f t="shared" si="13"/>
        <v>5384.6153846153848</v>
      </c>
      <c r="AG45" s="3">
        <f t="shared" si="27"/>
        <v>592.30769230769238</v>
      </c>
      <c r="AH45" s="1">
        <v>1666.6666666666667</v>
      </c>
      <c r="AI45" s="1">
        <f t="shared" si="28"/>
        <v>46052.307692307688</v>
      </c>
      <c r="AJ45" s="1">
        <f t="shared" si="29"/>
        <v>50.435897435897402</v>
      </c>
      <c r="AK45" s="3">
        <f t="shared" si="30"/>
        <v>3.0483333333333333</v>
      </c>
      <c r="AL45" s="4">
        <f t="shared" si="18"/>
        <v>5450.874743589744</v>
      </c>
      <c r="AM45" s="3">
        <v>0</v>
      </c>
      <c r="AN45" s="4">
        <f t="shared" si="19"/>
        <v>5450.874743589744</v>
      </c>
      <c r="AO45" s="1">
        <f t="shared" si="20"/>
        <v>1009.6153846153846</v>
      </c>
      <c r="AP45" s="34">
        <v>19</v>
      </c>
      <c r="AQ45" s="46">
        <f t="shared" si="31"/>
        <v>7106.2820512820517</v>
      </c>
    </row>
    <row r="46" spans="1:43" x14ac:dyDescent="0.35">
      <c r="A46" s="37" t="s">
        <v>190</v>
      </c>
      <c r="B46" s="37" t="s">
        <v>307</v>
      </c>
      <c r="C46" s="50" t="s">
        <v>163</v>
      </c>
      <c r="D46" s="54" t="s">
        <v>47</v>
      </c>
      <c r="E46" s="55" t="s">
        <v>92</v>
      </c>
      <c r="F46" s="63" t="s">
        <v>235</v>
      </c>
      <c r="G46" s="58" t="s">
        <v>189</v>
      </c>
      <c r="H46" s="59">
        <v>4000</v>
      </c>
      <c r="I46" s="59">
        <v>3000</v>
      </c>
      <c r="J46" s="24"/>
      <c r="K46" s="60">
        <v>0.61</v>
      </c>
      <c r="L46" s="9">
        <f t="shared" si="32"/>
        <v>1830</v>
      </c>
      <c r="M46" s="9">
        <v>0</v>
      </c>
      <c r="N46" s="9">
        <f t="shared" si="21"/>
        <v>30</v>
      </c>
      <c r="O46" s="9">
        <f t="shared" si="22"/>
        <v>0</v>
      </c>
      <c r="P46" s="10">
        <f t="shared" si="23"/>
        <v>133.33333333333334</v>
      </c>
      <c r="Q46" s="10">
        <f t="shared" si="24"/>
        <v>61</v>
      </c>
      <c r="R46" s="10">
        <f t="shared" si="25"/>
        <v>194.33333333333334</v>
      </c>
      <c r="S46" s="10">
        <f t="shared" si="26"/>
        <v>16.666666666666668</v>
      </c>
      <c r="T46" s="9">
        <v>16</v>
      </c>
      <c r="U46" s="9">
        <f t="shared" si="6"/>
        <v>266.66666666666669</v>
      </c>
      <c r="V46" s="9">
        <v>0</v>
      </c>
      <c r="W46" s="15">
        <f t="shared" si="7"/>
        <v>6096.666666666667</v>
      </c>
      <c r="X46" s="23">
        <v>0</v>
      </c>
      <c r="Y46" s="23">
        <f t="shared" si="8"/>
        <v>0</v>
      </c>
      <c r="Z46" s="31">
        <v>0</v>
      </c>
      <c r="AA46" s="23">
        <f t="shared" si="9"/>
        <v>0</v>
      </c>
      <c r="AB46" s="23">
        <v>0</v>
      </c>
      <c r="AC46" s="23">
        <f t="shared" si="33"/>
        <v>0</v>
      </c>
      <c r="AD46" s="11">
        <f t="shared" si="11"/>
        <v>0</v>
      </c>
      <c r="AE46" s="4">
        <f t="shared" si="12"/>
        <v>6096.666666666667</v>
      </c>
      <c r="AF46" s="3">
        <f t="shared" si="13"/>
        <v>5384.6153846153848</v>
      </c>
      <c r="AG46" s="3">
        <f t="shared" si="27"/>
        <v>592.30769230769238</v>
      </c>
      <c r="AH46" s="1">
        <v>1666.6666666666667</v>
      </c>
      <c r="AI46" s="1">
        <f t="shared" si="28"/>
        <v>46052.307692307688</v>
      </c>
      <c r="AJ46" s="1">
        <f t="shared" si="29"/>
        <v>50.435897435897402</v>
      </c>
      <c r="AK46" s="3">
        <f t="shared" si="30"/>
        <v>3.0483333333333333</v>
      </c>
      <c r="AL46" s="4">
        <f t="shared" si="18"/>
        <v>5450.874743589744</v>
      </c>
      <c r="AM46" s="3">
        <v>0</v>
      </c>
      <c r="AN46" s="4">
        <f t="shared" si="19"/>
        <v>5450.874743589744</v>
      </c>
      <c r="AO46" s="1">
        <f t="shared" si="20"/>
        <v>1009.6153846153846</v>
      </c>
      <c r="AP46" s="34">
        <v>19</v>
      </c>
      <c r="AQ46" s="46">
        <f t="shared" si="31"/>
        <v>7106.2820512820517</v>
      </c>
    </row>
    <row r="47" spans="1:43" x14ac:dyDescent="0.35">
      <c r="A47" s="37" t="s">
        <v>190</v>
      </c>
      <c r="B47" s="37" t="s">
        <v>308</v>
      </c>
      <c r="C47" s="50" t="s">
        <v>164</v>
      </c>
      <c r="D47" s="54" t="s">
        <v>47</v>
      </c>
      <c r="E47" s="55" t="s">
        <v>93</v>
      </c>
      <c r="F47" s="63" t="s">
        <v>236</v>
      </c>
      <c r="G47" s="58" t="s">
        <v>189</v>
      </c>
      <c r="H47" s="59">
        <v>4000</v>
      </c>
      <c r="I47" s="59">
        <v>3000</v>
      </c>
      <c r="J47" s="24"/>
      <c r="K47" s="60">
        <v>0.61</v>
      </c>
      <c r="L47" s="9">
        <f t="shared" si="32"/>
        <v>1830</v>
      </c>
      <c r="M47" s="9">
        <v>0</v>
      </c>
      <c r="N47" s="9">
        <f t="shared" si="21"/>
        <v>30</v>
      </c>
      <c r="O47" s="9">
        <f t="shared" si="22"/>
        <v>0</v>
      </c>
      <c r="P47" s="10">
        <f t="shared" si="23"/>
        <v>133.33333333333334</v>
      </c>
      <c r="Q47" s="10">
        <f t="shared" si="24"/>
        <v>61</v>
      </c>
      <c r="R47" s="10">
        <f t="shared" si="25"/>
        <v>194.33333333333334</v>
      </c>
      <c r="S47" s="10">
        <f t="shared" si="26"/>
        <v>16.666666666666668</v>
      </c>
      <c r="T47" s="9">
        <v>16</v>
      </c>
      <c r="U47" s="9">
        <f t="shared" si="6"/>
        <v>266.66666666666669</v>
      </c>
      <c r="V47" s="9">
        <v>0</v>
      </c>
      <c r="W47" s="15">
        <f t="shared" si="7"/>
        <v>6096.666666666667</v>
      </c>
      <c r="X47" s="23">
        <v>0</v>
      </c>
      <c r="Y47" s="23">
        <f t="shared" si="8"/>
        <v>0</v>
      </c>
      <c r="Z47" s="31">
        <v>0</v>
      </c>
      <c r="AA47" s="23">
        <f t="shared" si="9"/>
        <v>0</v>
      </c>
      <c r="AB47" s="23">
        <v>0</v>
      </c>
      <c r="AC47" s="23">
        <f t="shared" si="33"/>
        <v>0</v>
      </c>
      <c r="AD47" s="11">
        <f t="shared" si="11"/>
        <v>0</v>
      </c>
      <c r="AE47" s="4">
        <f t="shared" si="12"/>
        <v>6096.666666666667</v>
      </c>
      <c r="AF47" s="3">
        <f t="shared" si="13"/>
        <v>5384.6153846153848</v>
      </c>
      <c r="AG47" s="3">
        <f t="shared" si="27"/>
        <v>592.30769230769238</v>
      </c>
      <c r="AH47" s="1">
        <v>1666.6666666666667</v>
      </c>
      <c r="AI47" s="1">
        <f t="shared" si="28"/>
        <v>46052.307692307688</v>
      </c>
      <c r="AJ47" s="1">
        <f t="shared" si="29"/>
        <v>50.435897435897402</v>
      </c>
      <c r="AK47" s="3">
        <f t="shared" si="30"/>
        <v>3.0483333333333333</v>
      </c>
      <c r="AL47" s="4">
        <f t="shared" si="18"/>
        <v>5450.874743589744</v>
      </c>
      <c r="AM47" s="3">
        <v>0</v>
      </c>
      <c r="AN47" s="4">
        <f t="shared" si="19"/>
        <v>5450.874743589744</v>
      </c>
      <c r="AO47" s="1">
        <f t="shared" si="20"/>
        <v>1009.6153846153846</v>
      </c>
      <c r="AP47" s="34">
        <v>15</v>
      </c>
      <c r="AQ47" s="46">
        <f t="shared" si="31"/>
        <v>7106.2820512820517</v>
      </c>
    </row>
    <row r="48" spans="1:43" x14ac:dyDescent="0.35">
      <c r="A48" s="37" t="s">
        <v>190</v>
      </c>
      <c r="B48" s="37" t="s">
        <v>309</v>
      </c>
      <c r="C48" s="50" t="s">
        <v>165</v>
      </c>
      <c r="D48" s="54" t="s">
        <v>47</v>
      </c>
      <c r="E48" s="55" t="s">
        <v>94</v>
      </c>
      <c r="F48" s="63" t="s">
        <v>237</v>
      </c>
      <c r="G48" s="58" t="s">
        <v>189</v>
      </c>
      <c r="H48" s="59">
        <v>4000</v>
      </c>
      <c r="I48" s="59">
        <v>3000</v>
      </c>
      <c r="J48" s="24"/>
      <c r="K48" s="60">
        <v>0.61</v>
      </c>
      <c r="L48" s="9">
        <f t="shared" si="32"/>
        <v>1830</v>
      </c>
      <c r="M48" s="9">
        <v>0</v>
      </c>
      <c r="N48" s="9">
        <f t="shared" si="21"/>
        <v>30</v>
      </c>
      <c r="O48" s="9">
        <f t="shared" si="22"/>
        <v>0</v>
      </c>
      <c r="P48" s="10">
        <f t="shared" si="23"/>
        <v>133.33333333333334</v>
      </c>
      <c r="Q48" s="10">
        <f t="shared" si="24"/>
        <v>61</v>
      </c>
      <c r="R48" s="10">
        <f t="shared" si="25"/>
        <v>194.33333333333334</v>
      </c>
      <c r="S48" s="10">
        <f t="shared" si="26"/>
        <v>16.666666666666668</v>
      </c>
      <c r="T48" s="9">
        <v>16</v>
      </c>
      <c r="U48" s="9">
        <f t="shared" si="6"/>
        <v>266.66666666666669</v>
      </c>
      <c r="V48" s="9">
        <v>0</v>
      </c>
      <c r="W48" s="15">
        <f t="shared" si="7"/>
        <v>6096.666666666667</v>
      </c>
      <c r="X48" s="23">
        <v>0</v>
      </c>
      <c r="Y48" s="23">
        <f t="shared" si="8"/>
        <v>0</v>
      </c>
      <c r="Z48" s="31">
        <v>0</v>
      </c>
      <c r="AA48" s="23">
        <f t="shared" si="9"/>
        <v>0</v>
      </c>
      <c r="AB48" s="23">
        <v>0</v>
      </c>
      <c r="AC48" s="23">
        <f t="shared" si="33"/>
        <v>0</v>
      </c>
      <c r="AD48" s="11">
        <f t="shared" si="11"/>
        <v>0</v>
      </c>
      <c r="AE48" s="4">
        <f t="shared" si="12"/>
        <v>6096.666666666667</v>
      </c>
      <c r="AF48" s="3">
        <f t="shared" si="13"/>
        <v>5384.6153846153848</v>
      </c>
      <c r="AG48" s="3">
        <f t="shared" si="27"/>
        <v>592.30769230769238</v>
      </c>
      <c r="AH48" s="1">
        <v>1666.6666666666667</v>
      </c>
      <c r="AI48" s="1">
        <f t="shared" si="28"/>
        <v>46052.307692307688</v>
      </c>
      <c r="AJ48" s="1">
        <f t="shared" si="29"/>
        <v>50.435897435897402</v>
      </c>
      <c r="AK48" s="3">
        <f t="shared" si="30"/>
        <v>3.0483333333333333</v>
      </c>
      <c r="AL48" s="4">
        <f t="shared" si="18"/>
        <v>5450.874743589744</v>
      </c>
      <c r="AM48" s="3">
        <v>0</v>
      </c>
      <c r="AN48" s="4">
        <f t="shared" si="19"/>
        <v>5450.874743589744</v>
      </c>
      <c r="AO48" s="1">
        <f t="shared" si="20"/>
        <v>1009.6153846153846</v>
      </c>
      <c r="AP48" s="34">
        <v>20</v>
      </c>
      <c r="AQ48" s="46">
        <f t="shared" si="31"/>
        <v>7106.2820512820517</v>
      </c>
    </row>
    <row r="49" spans="1:43" x14ac:dyDescent="0.35">
      <c r="A49" s="37" t="s">
        <v>190</v>
      </c>
      <c r="B49" s="37" t="s">
        <v>310</v>
      </c>
      <c r="C49" s="50" t="s">
        <v>362</v>
      </c>
      <c r="D49" s="51" t="s">
        <v>37</v>
      </c>
      <c r="E49" s="55" t="s">
        <v>95</v>
      </c>
      <c r="F49" s="63" t="s">
        <v>238</v>
      </c>
      <c r="G49" s="58" t="s">
        <v>189</v>
      </c>
      <c r="H49" s="59">
        <v>4000</v>
      </c>
      <c r="I49" s="59">
        <v>3000</v>
      </c>
      <c r="J49" s="24"/>
      <c r="K49" s="60">
        <v>0.61</v>
      </c>
      <c r="L49" s="9">
        <f t="shared" si="32"/>
        <v>1830</v>
      </c>
      <c r="M49" s="9">
        <v>0</v>
      </c>
      <c r="N49" s="9">
        <f t="shared" si="21"/>
        <v>30</v>
      </c>
      <c r="O49" s="9">
        <f t="shared" si="22"/>
        <v>0</v>
      </c>
      <c r="P49" s="10">
        <f t="shared" si="23"/>
        <v>133.33333333333334</v>
      </c>
      <c r="Q49" s="10">
        <f t="shared" si="24"/>
        <v>61</v>
      </c>
      <c r="R49" s="10">
        <f t="shared" si="25"/>
        <v>194.33333333333334</v>
      </c>
      <c r="S49" s="10">
        <f t="shared" si="26"/>
        <v>16.666666666666668</v>
      </c>
      <c r="T49" s="9">
        <v>16</v>
      </c>
      <c r="U49" s="9">
        <f t="shared" si="6"/>
        <v>266.66666666666669</v>
      </c>
      <c r="V49" s="9">
        <v>0</v>
      </c>
      <c r="W49" s="15">
        <f t="shared" si="7"/>
        <v>6096.666666666667</v>
      </c>
      <c r="X49" s="23">
        <v>0</v>
      </c>
      <c r="Y49" s="23">
        <f t="shared" si="8"/>
        <v>0</v>
      </c>
      <c r="Z49" s="31">
        <v>0</v>
      </c>
      <c r="AA49" s="23">
        <f t="shared" si="9"/>
        <v>0</v>
      </c>
      <c r="AB49" s="23">
        <v>0</v>
      </c>
      <c r="AC49" s="23">
        <f t="shared" si="33"/>
        <v>0</v>
      </c>
      <c r="AD49" s="11">
        <f t="shared" si="11"/>
        <v>0</v>
      </c>
      <c r="AE49" s="4">
        <f t="shared" si="12"/>
        <v>6096.666666666667</v>
      </c>
      <c r="AF49" s="3">
        <f t="shared" si="13"/>
        <v>5384.6153846153848</v>
      </c>
      <c r="AG49" s="3">
        <f t="shared" si="27"/>
        <v>592.30769230769238</v>
      </c>
      <c r="AH49" s="1">
        <v>1666.6666666666667</v>
      </c>
      <c r="AI49" s="1">
        <f t="shared" si="28"/>
        <v>46052.307692307688</v>
      </c>
      <c r="AJ49" s="1">
        <f t="shared" si="29"/>
        <v>50.435897435897402</v>
      </c>
      <c r="AK49" s="3">
        <f t="shared" si="30"/>
        <v>3.0483333333333333</v>
      </c>
      <c r="AL49" s="4">
        <f t="shared" si="18"/>
        <v>5450.874743589744</v>
      </c>
      <c r="AM49" s="3">
        <v>0</v>
      </c>
      <c r="AN49" s="4">
        <f t="shared" si="19"/>
        <v>5450.874743589744</v>
      </c>
      <c r="AO49" s="1">
        <f t="shared" si="20"/>
        <v>1009.6153846153846</v>
      </c>
      <c r="AP49" s="34">
        <v>21</v>
      </c>
      <c r="AQ49" s="46">
        <f t="shared" si="31"/>
        <v>7106.2820512820517</v>
      </c>
    </row>
    <row r="50" spans="1:43" x14ac:dyDescent="0.35">
      <c r="A50" s="37" t="s">
        <v>190</v>
      </c>
      <c r="B50" s="37" t="s">
        <v>311</v>
      </c>
      <c r="C50" s="50" t="s">
        <v>166</v>
      </c>
      <c r="D50" s="54" t="s">
        <v>47</v>
      </c>
      <c r="E50" s="55" t="s">
        <v>96</v>
      </c>
      <c r="F50" s="63" t="s">
        <v>239</v>
      </c>
      <c r="G50" s="58" t="s">
        <v>189</v>
      </c>
      <c r="H50" s="59">
        <v>4000</v>
      </c>
      <c r="I50" s="59">
        <v>3000</v>
      </c>
      <c r="J50" s="24"/>
      <c r="K50" s="60">
        <v>0.61</v>
      </c>
      <c r="L50" s="9">
        <f t="shared" si="32"/>
        <v>1830</v>
      </c>
      <c r="M50" s="9">
        <v>0</v>
      </c>
      <c r="N50" s="9">
        <f t="shared" si="21"/>
        <v>30</v>
      </c>
      <c r="O50" s="9">
        <f t="shared" si="22"/>
        <v>0</v>
      </c>
      <c r="P50" s="10">
        <f t="shared" si="23"/>
        <v>133.33333333333334</v>
      </c>
      <c r="Q50" s="10">
        <f t="shared" si="24"/>
        <v>61</v>
      </c>
      <c r="R50" s="10">
        <f t="shared" si="25"/>
        <v>194.33333333333334</v>
      </c>
      <c r="S50" s="10">
        <f t="shared" si="26"/>
        <v>16.666666666666668</v>
      </c>
      <c r="T50" s="9">
        <v>16</v>
      </c>
      <c r="U50" s="9">
        <f t="shared" si="6"/>
        <v>266.66666666666669</v>
      </c>
      <c r="V50" s="9">
        <v>0</v>
      </c>
      <c r="W50" s="15">
        <f t="shared" si="7"/>
        <v>6096.666666666667</v>
      </c>
      <c r="X50" s="23">
        <v>0</v>
      </c>
      <c r="Y50" s="23">
        <f t="shared" si="8"/>
        <v>0</v>
      </c>
      <c r="Z50" s="31">
        <v>0</v>
      </c>
      <c r="AA50" s="23">
        <f t="shared" si="9"/>
        <v>0</v>
      </c>
      <c r="AB50" s="23">
        <v>0</v>
      </c>
      <c r="AC50" s="23">
        <f t="shared" si="33"/>
        <v>0</v>
      </c>
      <c r="AD50" s="11">
        <f t="shared" si="11"/>
        <v>0</v>
      </c>
      <c r="AE50" s="4">
        <f t="shared" si="12"/>
        <v>6096.666666666667</v>
      </c>
      <c r="AF50" s="3">
        <f t="shared" si="13"/>
        <v>5384.6153846153848</v>
      </c>
      <c r="AG50" s="3">
        <f t="shared" si="27"/>
        <v>592.30769230769238</v>
      </c>
      <c r="AH50" s="1">
        <v>1666.6666666666667</v>
      </c>
      <c r="AI50" s="1">
        <f t="shared" si="28"/>
        <v>46052.307692307688</v>
      </c>
      <c r="AJ50" s="1">
        <f t="shared" si="29"/>
        <v>50.435897435897402</v>
      </c>
      <c r="AK50" s="3">
        <f t="shared" si="30"/>
        <v>3.0483333333333333</v>
      </c>
      <c r="AL50" s="4">
        <f t="shared" si="18"/>
        <v>5450.874743589744</v>
      </c>
      <c r="AM50" s="3">
        <v>0</v>
      </c>
      <c r="AN50" s="4">
        <f t="shared" si="19"/>
        <v>5450.874743589744</v>
      </c>
      <c r="AO50" s="1">
        <f t="shared" si="20"/>
        <v>1009.6153846153846</v>
      </c>
      <c r="AP50" s="34">
        <v>19</v>
      </c>
      <c r="AQ50" s="46">
        <f t="shared" si="31"/>
        <v>7106.2820512820517</v>
      </c>
    </row>
    <row r="51" spans="1:43" x14ac:dyDescent="0.35">
      <c r="A51" s="37" t="s">
        <v>190</v>
      </c>
      <c r="B51" s="37" t="s">
        <v>312</v>
      </c>
      <c r="C51" s="53" t="s">
        <v>167</v>
      </c>
      <c r="D51" s="54" t="s">
        <v>47</v>
      </c>
      <c r="E51" s="55" t="s">
        <v>97</v>
      </c>
      <c r="F51" s="63" t="s">
        <v>240</v>
      </c>
      <c r="G51" s="58" t="s">
        <v>189</v>
      </c>
      <c r="H51" s="59">
        <v>4000</v>
      </c>
      <c r="I51" s="59">
        <v>3000</v>
      </c>
      <c r="J51" s="24"/>
      <c r="K51" s="60">
        <v>0.61</v>
      </c>
      <c r="L51" s="9">
        <f t="shared" si="32"/>
        <v>1830</v>
      </c>
      <c r="M51" s="9">
        <v>0</v>
      </c>
      <c r="N51" s="9">
        <f t="shared" si="21"/>
        <v>30</v>
      </c>
      <c r="O51" s="9">
        <f t="shared" si="22"/>
        <v>0</v>
      </c>
      <c r="P51" s="10">
        <f t="shared" si="23"/>
        <v>133.33333333333334</v>
      </c>
      <c r="Q51" s="10">
        <f t="shared" si="24"/>
        <v>61</v>
      </c>
      <c r="R51" s="10">
        <f t="shared" si="25"/>
        <v>194.33333333333334</v>
      </c>
      <c r="S51" s="10">
        <f t="shared" si="26"/>
        <v>16.666666666666668</v>
      </c>
      <c r="T51" s="9">
        <v>16</v>
      </c>
      <c r="U51" s="9">
        <f t="shared" si="6"/>
        <v>266.66666666666669</v>
      </c>
      <c r="V51" s="9">
        <v>0</v>
      </c>
      <c r="W51" s="15">
        <f t="shared" si="7"/>
        <v>6096.666666666667</v>
      </c>
      <c r="X51" s="23">
        <v>0</v>
      </c>
      <c r="Y51" s="23">
        <f t="shared" si="8"/>
        <v>0</v>
      </c>
      <c r="Z51" s="31">
        <v>0</v>
      </c>
      <c r="AA51" s="23">
        <f t="shared" si="9"/>
        <v>0</v>
      </c>
      <c r="AB51" s="23">
        <v>0</v>
      </c>
      <c r="AC51" s="23">
        <f t="shared" si="33"/>
        <v>0</v>
      </c>
      <c r="AD51" s="11">
        <f t="shared" si="11"/>
        <v>0</v>
      </c>
      <c r="AE51" s="4">
        <f t="shared" si="12"/>
        <v>6096.666666666667</v>
      </c>
      <c r="AF51" s="3">
        <f t="shared" si="13"/>
        <v>5384.6153846153848</v>
      </c>
      <c r="AG51" s="3">
        <f t="shared" si="27"/>
        <v>592.30769230769238</v>
      </c>
      <c r="AH51" s="1">
        <v>1666.6666666666667</v>
      </c>
      <c r="AI51" s="1">
        <f t="shared" si="28"/>
        <v>46052.307692307688</v>
      </c>
      <c r="AJ51" s="1">
        <f t="shared" si="29"/>
        <v>50.435897435897402</v>
      </c>
      <c r="AK51" s="3">
        <f t="shared" si="30"/>
        <v>3.0483333333333333</v>
      </c>
      <c r="AL51" s="4">
        <f t="shared" si="18"/>
        <v>5450.874743589744</v>
      </c>
      <c r="AM51" s="3">
        <v>0</v>
      </c>
      <c r="AN51" s="4">
        <f t="shared" si="19"/>
        <v>5450.874743589744</v>
      </c>
      <c r="AO51" s="1">
        <f t="shared" si="20"/>
        <v>1009.6153846153846</v>
      </c>
      <c r="AP51" s="34">
        <v>17</v>
      </c>
      <c r="AQ51" s="46">
        <f t="shared" si="31"/>
        <v>7106.2820512820517</v>
      </c>
    </row>
    <row r="52" spans="1:43" x14ac:dyDescent="0.35">
      <c r="A52" s="37" t="s">
        <v>190</v>
      </c>
      <c r="B52" s="37" t="s">
        <v>313</v>
      </c>
      <c r="C52" s="53" t="s">
        <v>168</v>
      </c>
      <c r="D52" s="54" t="s">
        <v>47</v>
      </c>
      <c r="E52" s="56" t="s">
        <v>98</v>
      </c>
      <c r="F52" s="63" t="s">
        <v>241</v>
      </c>
      <c r="G52" s="58" t="s">
        <v>189</v>
      </c>
      <c r="H52" s="59">
        <v>4000</v>
      </c>
      <c r="I52" s="59">
        <v>3000</v>
      </c>
      <c r="J52" s="24"/>
      <c r="K52" s="60">
        <v>0.61</v>
      </c>
      <c r="L52" s="9">
        <f t="shared" si="32"/>
        <v>1830</v>
      </c>
      <c r="M52" s="9">
        <v>0</v>
      </c>
      <c r="N52" s="9">
        <f t="shared" si="21"/>
        <v>30</v>
      </c>
      <c r="O52" s="9">
        <f t="shared" si="22"/>
        <v>0</v>
      </c>
      <c r="P52" s="10">
        <f t="shared" si="23"/>
        <v>133.33333333333334</v>
      </c>
      <c r="Q52" s="10">
        <f t="shared" si="24"/>
        <v>61</v>
      </c>
      <c r="R52" s="10">
        <f t="shared" si="25"/>
        <v>194.33333333333334</v>
      </c>
      <c r="S52" s="10">
        <f t="shared" si="26"/>
        <v>16.666666666666668</v>
      </c>
      <c r="T52" s="9">
        <v>16</v>
      </c>
      <c r="U52" s="9">
        <f t="shared" si="6"/>
        <v>266.66666666666669</v>
      </c>
      <c r="V52" s="9">
        <v>0</v>
      </c>
      <c r="W52" s="15">
        <f t="shared" si="7"/>
        <v>6096.666666666667</v>
      </c>
      <c r="X52" s="23">
        <v>0</v>
      </c>
      <c r="Y52" s="23">
        <f t="shared" si="8"/>
        <v>0</v>
      </c>
      <c r="Z52" s="31">
        <v>0</v>
      </c>
      <c r="AA52" s="23">
        <f t="shared" si="9"/>
        <v>0</v>
      </c>
      <c r="AB52" s="23">
        <v>0</v>
      </c>
      <c r="AC52" s="23">
        <f t="shared" si="33"/>
        <v>0</v>
      </c>
      <c r="AD52" s="11">
        <f t="shared" si="11"/>
        <v>0</v>
      </c>
      <c r="AE52" s="4">
        <f t="shared" si="12"/>
        <v>6096.666666666667</v>
      </c>
      <c r="AF52" s="3">
        <f t="shared" si="13"/>
        <v>5384.6153846153848</v>
      </c>
      <c r="AG52" s="3">
        <f t="shared" si="27"/>
        <v>592.30769230769238</v>
      </c>
      <c r="AH52" s="1">
        <v>1666.6666666666667</v>
      </c>
      <c r="AI52" s="1">
        <f t="shared" si="28"/>
        <v>46052.307692307688</v>
      </c>
      <c r="AJ52" s="1">
        <f t="shared" si="29"/>
        <v>50.435897435897402</v>
      </c>
      <c r="AK52" s="3">
        <f t="shared" si="30"/>
        <v>3.0483333333333333</v>
      </c>
      <c r="AL52" s="4">
        <f t="shared" si="18"/>
        <v>5450.874743589744</v>
      </c>
      <c r="AM52" s="3">
        <v>0</v>
      </c>
      <c r="AN52" s="4">
        <f t="shared" si="19"/>
        <v>5450.874743589744</v>
      </c>
      <c r="AO52" s="1">
        <f t="shared" si="20"/>
        <v>1009.6153846153846</v>
      </c>
      <c r="AP52" s="34">
        <v>18</v>
      </c>
      <c r="AQ52" s="46">
        <f t="shared" si="31"/>
        <v>7106.2820512820517</v>
      </c>
    </row>
    <row r="53" spans="1:43" x14ac:dyDescent="0.35">
      <c r="A53" s="37" t="s">
        <v>190</v>
      </c>
      <c r="B53" s="37" t="s">
        <v>314</v>
      </c>
      <c r="C53" s="53" t="s">
        <v>169</v>
      </c>
      <c r="D53" s="54" t="s">
        <v>47</v>
      </c>
      <c r="E53" s="56" t="s">
        <v>99</v>
      </c>
      <c r="F53" s="63" t="s">
        <v>242</v>
      </c>
      <c r="G53" s="58" t="s">
        <v>189</v>
      </c>
      <c r="H53" s="59">
        <v>4000</v>
      </c>
      <c r="I53" s="59">
        <v>3000</v>
      </c>
      <c r="J53" s="24"/>
      <c r="K53" s="60">
        <v>0.61</v>
      </c>
      <c r="L53" s="9">
        <f t="shared" si="32"/>
        <v>1830</v>
      </c>
      <c r="M53" s="9">
        <v>0</v>
      </c>
      <c r="N53" s="9">
        <f t="shared" si="21"/>
        <v>30</v>
      </c>
      <c r="O53" s="9">
        <f t="shared" si="22"/>
        <v>0</v>
      </c>
      <c r="P53" s="10">
        <f t="shared" si="23"/>
        <v>133.33333333333334</v>
      </c>
      <c r="Q53" s="10">
        <f t="shared" si="24"/>
        <v>61</v>
      </c>
      <c r="R53" s="10">
        <f t="shared" si="25"/>
        <v>194.33333333333334</v>
      </c>
      <c r="S53" s="10">
        <f t="shared" si="26"/>
        <v>16.666666666666668</v>
      </c>
      <c r="T53" s="9">
        <v>16</v>
      </c>
      <c r="U53" s="9">
        <f t="shared" si="6"/>
        <v>266.66666666666669</v>
      </c>
      <c r="V53" s="9">
        <v>0</v>
      </c>
      <c r="W53" s="15">
        <f t="shared" si="7"/>
        <v>6096.666666666667</v>
      </c>
      <c r="X53" s="23">
        <v>0</v>
      </c>
      <c r="Y53" s="23">
        <f t="shared" si="8"/>
        <v>0</v>
      </c>
      <c r="Z53" s="31">
        <v>0</v>
      </c>
      <c r="AA53" s="23">
        <f t="shared" si="9"/>
        <v>0</v>
      </c>
      <c r="AB53" s="23">
        <v>0</v>
      </c>
      <c r="AC53" s="23">
        <f t="shared" si="33"/>
        <v>0</v>
      </c>
      <c r="AD53" s="11">
        <f t="shared" si="11"/>
        <v>0</v>
      </c>
      <c r="AE53" s="4">
        <f t="shared" si="12"/>
        <v>6096.666666666667</v>
      </c>
      <c r="AF53" s="3">
        <f t="shared" si="13"/>
        <v>5384.6153846153848</v>
      </c>
      <c r="AG53" s="3">
        <f t="shared" si="27"/>
        <v>592.30769230769238</v>
      </c>
      <c r="AH53" s="1">
        <v>1666.6666666666667</v>
      </c>
      <c r="AI53" s="1">
        <f t="shared" si="28"/>
        <v>46052.307692307688</v>
      </c>
      <c r="AJ53" s="1">
        <f t="shared" si="29"/>
        <v>50.435897435897402</v>
      </c>
      <c r="AK53" s="3">
        <f t="shared" si="30"/>
        <v>3.0483333333333333</v>
      </c>
      <c r="AL53" s="4">
        <f t="shared" si="18"/>
        <v>5450.874743589744</v>
      </c>
      <c r="AM53" s="3">
        <v>0</v>
      </c>
      <c r="AN53" s="4">
        <f t="shared" si="19"/>
        <v>5450.874743589744</v>
      </c>
      <c r="AO53" s="1">
        <f t="shared" si="20"/>
        <v>1009.6153846153846</v>
      </c>
      <c r="AP53" s="34">
        <v>20</v>
      </c>
      <c r="AQ53" s="46">
        <f t="shared" si="31"/>
        <v>7106.2820512820517</v>
      </c>
    </row>
    <row r="54" spans="1:43" x14ac:dyDescent="0.35">
      <c r="A54" s="37" t="s">
        <v>190</v>
      </c>
      <c r="B54" s="37" t="s">
        <v>315</v>
      </c>
      <c r="C54" s="50" t="s">
        <v>170</v>
      </c>
      <c r="D54" s="54" t="s">
        <v>47</v>
      </c>
      <c r="E54" s="56" t="s">
        <v>100</v>
      </c>
      <c r="F54" s="63" t="s">
        <v>243</v>
      </c>
      <c r="G54" s="58" t="s">
        <v>353</v>
      </c>
      <c r="H54" s="59">
        <v>4600</v>
      </c>
      <c r="I54" s="59">
        <v>3000</v>
      </c>
      <c r="J54" s="24"/>
      <c r="K54" s="60">
        <v>0.61</v>
      </c>
      <c r="L54" s="9">
        <f t="shared" si="32"/>
        <v>1830</v>
      </c>
      <c r="M54" s="9">
        <v>0</v>
      </c>
      <c r="N54" s="9">
        <f t="shared" si="21"/>
        <v>30</v>
      </c>
      <c r="O54" s="9">
        <f t="shared" si="22"/>
        <v>0</v>
      </c>
      <c r="P54" s="10">
        <f t="shared" si="23"/>
        <v>153.33333333333334</v>
      </c>
      <c r="Q54" s="10">
        <f t="shared" si="24"/>
        <v>61</v>
      </c>
      <c r="R54" s="10">
        <f t="shared" si="25"/>
        <v>214.33333333333334</v>
      </c>
      <c r="S54" s="10">
        <f t="shared" si="26"/>
        <v>19.166666666666668</v>
      </c>
      <c r="T54" s="9">
        <v>16</v>
      </c>
      <c r="U54" s="9">
        <f t="shared" si="6"/>
        <v>306.66666666666669</v>
      </c>
      <c r="V54" s="9">
        <v>0</v>
      </c>
      <c r="W54" s="15">
        <f t="shared" si="7"/>
        <v>6736.666666666667</v>
      </c>
      <c r="X54" s="23">
        <v>0</v>
      </c>
      <c r="Y54" s="23">
        <f t="shared" si="8"/>
        <v>0</v>
      </c>
      <c r="Z54" s="31">
        <v>0</v>
      </c>
      <c r="AA54" s="23">
        <f t="shared" si="9"/>
        <v>0</v>
      </c>
      <c r="AB54" s="23">
        <v>0</v>
      </c>
      <c r="AC54" s="23">
        <f t="shared" si="33"/>
        <v>0</v>
      </c>
      <c r="AD54" s="11">
        <f t="shared" si="11"/>
        <v>0</v>
      </c>
      <c r="AE54" s="4">
        <f t="shared" si="12"/>
        <v>6736.666666666667</v>
      </c>
      <c r="AF54" s="3">
        <f t="shared" si="13"/>
        <v>5384.6153846153848</v>
      </c>
      <c r="AG54" s="3">
        <f t="shared" si="27"/>
        <v>592.30769230769238</v>
      </c>
      <c r="AH54" s="1">
        <v>1666.6666666666667</v>
      </c>
      <c r="AI54" s="1">
        <f t="shared" si="28"/>
        <v>53732.307692307688</v>
      </c>
      <c r="AJ54" s="1">
        <f t="shared" si="29"/>
        <v>114.4358974358974</v>
      </c>
      <c r="AK54" s="3">
        <f t="shared" si="30"/>
        <v>3.3683333333333336</v>
      </c>
      <c r="AL54" s="4">
        <f t="shared" si="18"/>
        <v>6026.5547435897442</v>
      </c>
      <c r="AM54" s="3">
        <v>0</v>
      </c>
      <c r="AN54" s="4">
        <f t="shared" si="19"/>
        <v>6026.5547435897442</v>
      </c>
      <c r="AO54" s="1">
        <f t="shared" si="20"/>
        <v>1009.6153846153846</v>
      </c>
      <c r="AP54" s="34">
        <v>18</v>
      </c>
      <c r="AQ54" s="46">
        <f t="shared" si="31"/>
        <v>7746.2820512820517</v>
      </c>
    </row>
    <row r="55" spans="1:43" x14ac:dyDescent="0.35">
      <c r="A55" s="37" t="s">
        <v>190</v>
      </c>
      <c r="B55" s="37" t="s">
        <v>316</v>
      </c>
      <c r="C55" s="50" t="s">
        <v>171</v>
      </c>
      <c r="D55" s="54" t="s">
        <v>47</v>
      </c>
      <c r="E55" s="56" t="s">
        <v>101</v>
      </c>
      <c r="F55" s="63" t="s">
        <v>244</v>
      </c>
      <c r="G55" s="58" t="s">
        <v>189</v>
      </c>
      <c r="H55" s="59">
        <v>4000</v>
      </c>
      <c r="I55" s="59">
        <v>3000</v>
      </c>
      <c r="J55" s="24"/>
      <c r="K55" s="60">
        <v>0.61</v>
      </c>
      <c r="L55" s="9">
        <f t="shared" si="32"/>
        <v>1830</v>
      </c>
      <c r="M55" s="9">
        <v>0</v>
      </c>
      <c r="N55" s="9">
        <f t="shared" si="21"/>
        <v>30</v>
      </c>
      <c r="O55" s="9">
        <f t="shared" si="22"/>
        <v>0</v>
      </c>
      <c r="P55" s="10">
        <f t="shared" si="23"/>
        <v>133.33333333333334</v>
      </c>
      <c r="Q55" s="10">
        <f t="shared" si="24"/>
        <v>61</v>
      </c>
      <c r="R55" s="10">
        <f t="shared" si="25"/>
        <v>194.33333333333334</v>
      </c>
      <c r="S55" s="10">
        <f t="shared" si="26"/>
        <v>16.666666666666668</v>
      </c>
      <c r="T55" s="9">
        <v>16</v>
      </c>
      <c r="U55" s="9">
        <f t="shared" si="6"/>
        <v>266.66666666666669</v>
      </c>
      <c r="V55" s="9">
        <v>0</v>
      </c>
      <c r="W55" s="15">
        <f t="shared" si="7"/>
        <v>6096.666666666667</v>
      </c>
      <c r="X55" s="23">
        <v>0</v>
      </c>
      <c r="Y55" s="23">
        <f t="shared" si="8"/>
        <v>0</v>
      </c>
      <c r="Z55" s="31">
        <v>0</v>
      </c>
      <c r="AA55" s="23">
        <f t="shared" si="9"/>
        <v>0</v>
      </c>
      <c r="AB55" s="23">
        <v>0</v>
      </c>
      <c r="AC55" s="23">
        <f t="shared" si="33"/>
        <v>0</v>
      </c>
      <c r="AD55" s="11">
        <f t="shared" si="11"/>
        <v>0</v>
      </c>
      <c r="AE55" s="4">
        <f t="shared" si="12"/>
        <v>6096.666666666667</v>
      </c>
      <c r="AF55" s="3">
        <f t="shared" si="13"/>
        <v>5384.6153846153848</v>
      </c>
      <c r="AG55" s="3">
        <f t="shared" si="27"/>
        <v>592.30769230769238</v>
      </c>
      <c r="AH55" s="1">
        <v>1666.6666666666667</v>
      </c>
      <c r="AI55" s="1">
        <f t="shared" si="28"/>
        <v>46052.307692307688</v>
      </c>
      <c r="AJ55" s="1">
        <f t="shared" si="29"/>
        <v>50.435897435897402</v>
      </c>
      <c r="AK55" s="3">
        <f t="shared" si="30"/>
        <v>3.0483333333333333</v>
      </c>
      <c r="AL55" s="4">
        <f t="shared" si="18"/>
        <v>5450.874743589744</v>
      </c>
      <c r="AM55" s="3">
        <v>0</v>
      </c>
      <c r="AN55" s="4">
        <f t="shared" si="19"/>
        <v>5450.874743589744</v>
      </c>
      <c r="AO55" s="1">
        <f t="shared" si="20"/>
        <v>1009.6153846153846</v>
      </c>
      <c r="AP55" s="34">
        <v>19</v>
      </c>
      <c r="AQ55" s="46">
        <f t="shared" ref="AQ55:AQ63" si="34">AE55+AO55</f>
        <v>7106.2820512820517</v>
      </c>
    </row>
    <row r="56" spans="1:43" x14ac:dyDescent="0.35">
      <c r="A56" s="37" t="s">
        <v>190</v>
      </c>
      <c r="B56" s="37" t="s">
        <v>317</v>
      </c>
      <c r="C56" s="50" t="s">
        <v>172</v>
      </c>
      <c r="D56" s="54" t="s">
        <v>47</v>
      </c>
      <c r="E56" s="56" t="s">
        <v>102</v>
      </c>
      <c r="F56" s="63" t="s">
        <v>245</v>
      </c>
      <c r="G56" s="58" t="s">
        <v>189</v>
      </c>
      <c r="H56" s="59">
        <v>4000</v>
      </c>
      <c r="I56" s="59">
        <v>3000</v>
      </c>
      <c r="J56" s="24"/>
      <c r="K56" s="60">
        <v>0.61</v>
      </c>
      <c r="L56" s="9">
        <f t="shared" si="32"/>
        <v>1830</v>
      </c>
      <c r="M56" s="9">
        <v>0</v>
      </c>
      <c r="N56" s="9">
        <f t="shared" si="21"/>
        <v>30</v>
      </c>
      <c r="O56" s="9">
        <f t="shared" si="22"/>
        <v>0</v>
      </c>
      <c r="P56" s="10">
        <f t="shared" si="23"/>
        <v>133.33333333333334</v>
      </c>
      <c r="Q56" s="10">
        <f t="shared" si="24"/>
        <v>61</v>
      </c>
      <c r="R56" s="10">
        <f t="shared" si="25"/>
        <v>194.33333333333334</v>
      </c>
      <c r="S56" s="10">
        <f t="shared" si="26"/>
        <v>16.666666666666668</v>
      </c>
      <c r="T56" s="9">
        <v>16</v>
      </c>
      <c r="U56" s="9">
        <f t="shared" si="6"/>
        <v>266.66666666666669</v>
      </c>
      <c r="V56" s="9">
        <v>0</v>
      </c>
      <c r="W56" s="15">
        <f t="shared" si="7"/>
        <v>6096.666666666667</v>
      </c>
      <c r="X56" s="23">
        <v>0</v>
      </c>
      <c r="Y56" s="23">
        <f t="shared" si="8"/>
        <v>0</v>
      </c>
      <c r="Z56" s="31">
        <v>0</v>
      </c>
      <c r="AA56" s="23">
        <f t="shared" si="9"/>
        <v>0</v>
      </c>
      <c r="AB56" s="23">
        <v>0</v>
      </c>
      <c r="AC56" s="23">
        <f t="shared" si="33"/>
        <v>0</v>
      </c>
      <c r="AD56" s="11">
        <f t="shared" si="11"/>
        <v>0</v>
      </c>
      <c r="AE56" s="4">
        <f t="shared" si="12"/>
        <v>6096.666666666667</v>
      </c>
      <c r="AF56" s="3">
        <f t="shared" si="13"/>
        <v>5384.6153846153848</v>
      </c>
      <c r="AG56" s="3">
        <f t="shared" si="27"/>
        <v>592.30769230769238</v>
      </c>
      <c r="AH56" s="1">
        <v>1666.6666666666667</v>
      </c>
      <c r="AI56" s="1">
        <f t="shared" si="28"/>
        <v>46052.307692307688</v>
      </c>
      <c r="AJ56" s="1">
        <f t="shared" si="29"/>
        <v>50.435897435897402</v>
      </c>
      <c r="AK56" s="3">
        <f t="shared" si="30"/>
        <v>3.0483333333333333</v>
      </c>
      <c r="AL56" s="4">
        <f t="shared" si="18"/>
        <v>5450.874743589744</v>
      </c>
      <c r="AM56" s="3">
        <v>0</v>
      </c>
      <c r="AN56" s="4">
        <f t="shared" si="19"/>
        <v>5450.874743589744</v>
      </c>
      <c r="AO56" s="1">
        <f t="shared" si="20"/>
        <v>1009.6153846153846</v>
      </c>
      <c r="AP56" s="34">
        <v>21</v>
      </c>
      <c r="AQ56" s="46">
        <f t="shared" si="34"/>
        <v>7106.2820512820517</v>
      </c>
    </row>
    <row r="57" spans="1:43" x14ac:dyDescent="0.35">
      <c r="A57" s="37" t="s">
        <v>190</v>
      </c>
      <c r="B57" s="37" t="s">
        <v>318</v>
      </c>
      <c r="C57" s="50" t="s">
        <v>173</v>
      </c>
      <c r="D57" s="54" t="s">
        <v>47</v>
      </c>
      <c r="E57" s="56" t="s">
        <v>103</v>
      </c>
      <c r="F57" s="63" t="s">
        <v>246</v>
      </c>
      <c r="G57" s="58" t="s">
        <v>189</v>
      </c>
      <c r="H57" s="59">
        <v>4000</v>
      </c>
      <c r="I57" s="59">
        <v>3000</v>
      </c>
      <c r="J57" s="24"/>
      <c r="K57" s="60">
        <v>0.61</v>
      </c>
      <c r="L57" s="9">
        <f t="shared" si="32"/>
        <v>1830</v>
      </c>
      <c r="M57" s="9">
        <v>0</v>
      </c>
      <c r="N57" s="9">
        <f t="shared" si="21"/>
        <v>30</v>
      </c>
      <c r="O57" s="9">
        <f t="shared" si="22"/>
        <v>0</v>
      </c>
      <c r="P57" s="10">
        <f t="shared" si="23"/>
        <v>133.33333333333334</v>
      </c>
      <c r="Q57" s="10">
        <f t="shared" si="24"/>
        <v>61</v>
      </c>
      <c r="R57" s="10">
        <f t="shared" si="25"/>
        <v>194.33333333333334</v>
      </c>
      <c r="S57" s="10">
        <f t="shared" si="26"/>
        <v>16.666666666666668</v>
      </c>
      <c r="T57" s="9">
        <v>16</v>
      </c>
      <c r="U57" s="9">
        <f t="shared" si="6"/>
        <v>266.66666666666669</v>
      </c>
      <c r="V57" s="9">
        <v>0</v>
      </c>
      <c r="W57" s="15">
        <f t="shared" si="7"/>
        <v>6096.666666666667</v>
      </c>
      <c r="X57" s="23">
        <v>0</v>
      </c>
      <c r="Y57" s="23">
        <f t="shared" si="8"/>
        <v>0</v>
      </c>
      <c r="Z57" s="31">
        <v>0</v>
      </c>
      <c r="AA57" s="23">
        <f t="shared" si="9"/>
        <v>0</v>
      </c>
      <c r="AB57" s="23">
        <v>0</v>
      </c>
      <c r="AC57" s="23">
        <f t="shared" si="33"/>
        <v>0</v>
      </c>
      <c r="AD57" s="11">
        <f t="shared" si="11"/>
        <v>0</v>
      </c>
      <c r="AE57" s="4">
        <f t="shared" si="12"/>
        <v>6096.666666666667</v>
      </c>
      <c r="AF57" s="3">
        <f t="shared" si="13"/>
        <v>5384.6153846153848</v>
      </c>
      <c r="AG57" s="3">
        <f t="shared" si="27"/>
        <v>592.30769230769238</v>
      </c>
      <c r="AH57" s="1">
        <v>1666.6666666666667</v>
      </c>
      <c r="AI57" s="1">
        <f t="shared" si="28"/>
        <v>46052.307692307688</v>
      </c>
      <c r="AJ57" s="1">
        <f t="shared" si="29"/>
        <v>50.435897435897402</v>
      </c>
      <c r="AK57" s="3">
        <f t="shared" si="30"/>
        <v>3.0483333333333333</v>
      </c>
      <c r="AL57" s="4">
        <f t="shared" si="18"/>
        <v>5450.874743589744</v>
      </c>
      <c r="AM57" s="3">
        <v>0</v>
      </c>
      <c r="AN57" s="4">
        <f t="shared" si="19"/>
        <v>5450.874743589744</v>
      </c>
      <c r="AO57" s="1">
        <f t="shared" si="20"/>
        <v>1009.6153846153846</v>
      </c>
      <c r="AP57" s="34">
        <v>20</v>
      </c>
      <c r="AQ57" s="46">
        <f t="shared" si="34"/>
        <v>7106.2820512820517</v>
      </c>
    </row>
    <row r="58" spans="1:43" x14ac:dyDescent="0.35">
      <c r="A58" s="37" t="s">
        <v>190</v>
      </c>
      <c r="B58" s="37" t="s">
        <v>319</v>
      </c>
      <c r="C58" s="50" t="s">
        <v>174</v>
      </c>
      <c r="D58" s="54" t="s">
        <v>47</v>
      </c>
      <c r="E58" s="55" t="s">
        <v>104</v>
      </c>
      <c r="F58" s="63" t="s">
        <v>247</v>
      </c>
      <c r="G58" s="58" t="s">
        <v>354</v>
      </c>
      <c r="H58" s="59">
        <v>4500</v>
      </c>
      <c r="I58" s="59">
        <v>3000</v>
      </c>
      <c r="J58" s="24"/>
      <c r="K58" s="60">
        <v>0.61</v>
      </c>
      <c r="L58" s="9">
        <f t="shared" si="32"/>
        <v>1830</v>
      </c>
      <c r="M58" s="9">
        <v>0</v>
      </c>
      <c r="N58" s="9">
        <f t="shared" si="21"/>
        <v>30</v>
      </c>
      <c r="O58" s="9">
        <f t="shared" si="22"/>
        <v>0</v>
      </c>
      <c r="P58" s="10">
        <f t="shared" si="23"/>
        <v>150</v>
      </c>
      <c r="Q58" s="10">
        <f t="shared" si="24"/>
        <v>61</v>
      </c>
      <c r="R58" s="10">
        <f t="shared" si="25"/>
        <v>211</v>
      </c>
      <c r="S58" s="10">
        <f t="shared" si="26"/>
        <v>18.75</v>
      </c>
      <c r="T58" s="9">
        <v>16</v>
      </c>
      <c r="U58" s="9">
        <f t="shared" si="6"/>
        <v>300</v>
      </c>
      <c r="V58" s="9">
        <v>0</v>
      </c>
      <c r="W58" s="15">
        <f t="shared" si="7"/>
        <v>6630</v>
      </c>
      <c r="X58" s="23">
        <v>0</v>
      </c>
      <c r="Y58" s="23">
        <f t="shared" si="8"/>
        <v>0</v>
      </c>
      <c r="Z58" s="31">
        <v>0</v>
      </c>
      <c r="AA58" s="23">
        <f t="shared" si="9"/>
        <v>0</v>
      </c>
      <c r="AB58" s="23">
        <v>0</v>
      </c>
      <c r="AC58" s="23">
        <f t="shared" si="33"/>
        <v>0</v>
      </c>
      <c r="AD58" s="11">
        <f t="shared" si="11"/>
        <v>0</v>
      </c>
      <c r="AE58" s="4">
        <f t="shared" si="12"/>
        <v>6630</v>
      </c>
      <c r="AF58" s="3">
        <f t="shared" si="13"/>
        <v>5384.6153846153848</v>
      </c>
      <c r="AG58" s="3">
        <f t="shared" si="27"/>
        <v>592.30769230769238</v>
      </c>
      <c r="AH58" s="1">
        <v>1666.6666666666667</v>
      </c>
      <c r="AI58" s="1">
        <f t="shared" si="28"/>
        <v>52452.307692307688</v>
      </c>
      <c r="AJ58" s="1">
        <f t="shared" si="29"/>
        <v>103.76923076923073</v>
      </c>
      <c r="AK58" s="3">
        <f t="shared" si="30"/>
        <v>3.3149999999999999</v>
      </c>
      <c r="AL58" s="4">
        <f t="shared" si="18"/>
        <v>5930.6080769230775</v>
      </c>
      <c r="AM58" s="3">
        <v>0</v>
      </c>
      <c r="AN58" s="4">
        <f t="shared" si="19"/>
        <v>5930.6080769230775</v>
      </c>
      <c r="AO58" s="1">
        <f t="shared" si="20"/>
        <v>1009.6153846153846</v>
      </c>
      <c r="AP58" s="34">
        <v>19</v>
      </c>
      <c r="AQ58" s="46">
        <f t="shared" si="34"/>
        <v>7639.6153846153848</v>
      </c>
    </row>
    <row r="59" spans="1:43" customFormat="1" x14ac:dyDescent="0.35">
      <c r="A59" s="37" t="s">
        <v>190</v>
      </c>
      <c r="B59" s="37" t="s">
        <v>320</v>
      </c>
      <c r="C59" s="50" t="s">
        <v>175</v>
      </c>
      <c r="D59" s="54" t="s">
        <v>47</v>
      </c>
      <c r="E59" s="57" t="s">
        <v>105</v>
      </c>
      <c r="F59" s="63" t="s">
        <v>248</v>
      </c>
      <c r="G59" s="58" t="s">
        <v>189</v>
      </c>
      <c r="H59" s="59">
        <v>4000</v>
      </c>
      <c r="I59" s="59">
        <v>3000</v>
      </c>
      <c r="J59" s="24"/>
      <c r="K59" s="60">
        <v>0.61</v>
      </c>
      <c r="L59" s="9">
        <f t="shared" ref="L59:L65" si="35">+I59*K59</f>
        <v>1830</v>
      </c>
      <c r="M59" s="9">
        <v>0</v>
      </c>
      <c r="N59" s="9">
        <f t="shared" ref="N59:N69" si="36">30-X59</f>
        <v>30</v>
      </c>
      <c r="O59" s="9">
        <f t="shared" ref="O59:O69" si="37">M59*N59</f>
        <v>0</v>
      </c>
      <c r="P59" s="10">
        <f t="shared" ref="P59:P69" si="38">H59/30</f>
        <v>133.33333333333334</v>
      </c>
      <c r="Q59" s="10">
        <f t="shared" ref="Q59:Q69" si="39">L59/30</f>
        <v>61</v>
      </c>
      <c r="R59" s="10">
        <f t="shared" si="25"/>
        <v>194.33333333333334</v>
      </c>
      <c r="S59" s="10">
        <f t="shared" ref="S59:S69" si="40">+P59/8</f>
        <v>16.666666666666668</v>
      </c>
      <c r="T59" s="9">
        <v>16</v>
      </c>
      <c r="U59" s="9">
        <f t="shared" ref="U59:U69" si="41">+S59*T59</f>
        <v>266.66666666666669</v>
      </c>
      <c r="V59" s="9">
        <v>0</v>
      </c>
      <c r="W59" s="15">
        <f t="shared" ref="W59:W69" si="42">H59+L59+O59+U59+V59+J59</f>
        <v>6096.666666666667</v>
      </c>
      <c r="X59" s="23">
        <v>0</v>
      </c>
      <c r="Y59" s="23">
        <f t="shared" ref="Y59:Y69" si="43">R59*X59</f>
        <v>0</v>
      </c>
      <c r="Z59" s="31">
        <v>0</v>
      </c>
      <c r="AA59" s="23">
        <f t="shared" ref="AA59:AA69" si="44">P59*Z59</f>
        <v>0</v>
      </c>
      <c r="AB59" s="23">
        <v>0</v>
      </c>
      <c r="AC59" s="23">
        <f t="shared" ref="AC59:AC65" si="45">Q59*AB59</f>
        <v>0</v>
      </c>
      <c r="AD59" s="11">
        <f t="shared" ref="AD59:AD69" si="46">Y59+AA59+AC59</f>
        <v>0</v>
      </c>
      <c r="AE59" s="4">
        <f t="shared" ref="AE59:AE69" si="47">W59-AD59</f>
        <v>6096.666666666667</v>
      </c>
      <c r="AF59" s="3">
        <f t="shared" si="13"/>
        <v>5384.6153846153848</v>
      </c>
      <c r="AG59" s="3">
        <f t="shared" si="27"/>
        <v>592.30769230769238</v>
      </c>
      <c r="AH59" s="1">
        <v>1666.6666666666667</v>
      </c>
      <c r="AI59" s="1">
        <f t="shared" si="28"/>
        <v>46052.307692307688</v>
      </c>
      <c r="AJ59" s="1">
        <f t="shared" si="29"/>
        <v>50.435897435897402</v>
      </c>
      <c r="AK59" s="3">
        <f t="shared" si="30"/>
        <v>3.0483333333333333</v>
      </c>
      <c r="AL59" s="4">
        <f t="shared" ref="AL59:AL69" si="48">+AE59-AG59-AJ59-AK59</f>
        <v>5450.874743589744</v>
      </c>
      <c r="AM59" s="3">
        <v>0</v>
      </c>
      <c r="AN59" s="4">
        <f t="shared" ref="AN59:AN69" si="49">+AL59-AM59</f>
        <v>5450.874743589744</v>
      </c>
      <c r="AO59" s="1">
        <f t="shared" si="20"/>
        <v>1009.6153846153846</v>
      </c>
      <c r="AP59" s="34">
        <v>19</v>
      </c>
      <c r="AQ59" s="46">
        <f t="shared" si="34"/>
        <v>7106.2820512820517</v>
      </c>
    </row>
    <row r="60" spans="1:43" customFormat="1" x14ac:dyDescent="0.35">
      <c r="A60" s="37" t="s">
        <v>190</v>
      </c>
      <c r="B60" s="37" t="s">
        <v>321</v>
      </c>
      <c r="C60" s="53" t="s">
        <v>176</v>
      </c>
      <c r="D60" s="54" t="s">
        <v>47</v>
      </c>
      <c r="E60" s="57" t="s">
        <v>106</v>
      </c>
      <c r="F60" s="63" t="s">
        <v>249</v>
      </c>
      <c r="G60" s="58" t="s">
        <v>189</v>
      </c>
      <c r="H60" s="59">
        <v>4000</v>
      </c>
      <c r="I60" s="59">
        <v>3000</v>
      </c>
      <c r="J60" s="24"/>
      <c r="K60" s="60">
        <v>0.61</v>
      </c>
      <c r="L60" s="9">
        <f t="shared" si="35"/>
        <v>1830</v>
      </c>
      <c r="M60" s="9">
        <v>0</v>
      </c>
      <c r="N60" s="9">
        <f t="shared" si="36"/>
        <v>30</v>
      </c>
      <c r="O60" s="9">
        <f t="shared" si="37"/>
        <v>0</v>
      </c>
      <c r="P60" s="10">
        <f t="shared" si="38"/>
        <v>133.33333333333334</v>
      </c>
      <c r="Q60" s="10">
        <f t="shared" si="39"/>
        <v>61</v>
      </c>
      <c r="R60" s="10">
        <f t="shared" si="25"/>
        <v>194.33333333333334</v>
      </c>
      <c r="S60" s="10">
        <f t="shared" si="40"/>
        <v>16.666666666666668</v>
      </c>
      <c r="T60" s="9">
        <v>16</v>
      </c>
      <c r="U60" s="9">
        <f t="shared" si="41"/>
        <v>266.66666666666669</v>
      </c>
      <c r="V60" s="9">
        <v>0</v>
      </c>
      <c r="W60" s="15">
        <f t="shared" si="42"/>
        <v>6096.666666666667</v>
      </c>
      <c r="X60" s="23">
        <v>0</v>
      </c>
      <c r="Y60" s="23">
        <f t="shared" si="43"/>
        <v>0</v>
      </c>
      <c r="Z60" s="31">
        <v>0</v>
      </c>
      <c r="AA60" s="23">
        <f t="shared" si="44"/>
        <v>0</v>
      </c>
      <c r="AB60" s="23">
        <v>0</v>
      </c>
      <c r="AC60" s="23">
        <f t="shared" si="45"/>
        <v>0</v>
      </c>
      <c r="AD60" s="11">
        <f t="shared" si="46"/>
        <v>0</v>
      </c>
      <c r="AE60" s="4">
        <f t="shared" si="47"/>
        <v>6096.666666666667</v>
      </c>
      <c r="AF60" s="3">
        <f t="shared" si="13"/>
        <v>5384.6153846153848</v>
      </c>
      <c r="AG60" s="3">
        <f t="shared" si="27"/>
        <v>592.30769230769238</v>
      </c>
      <c r="AH60" s="1">
        <v>1666.6666666666667</v>
      </c>
      <c r="AI60" s="1">
        <f t="shared" si="28"/>
        <v>46052.307692307688</v>
      </c>
      <c r="AJ60" s="1">
        <f t="shared" si="29"/>
        <v>50.435897435897402</v>
      </c>
      <c r="AK60" s="3">
        <f t="shared" si="30"/>
        <v>3.0483333333333333</v>
      </c>
      <c r="AL60" s="4">
        <f t="shared" si="48"/>
        <v>5450.874743589744</v>
      </c>
      <c r="AM60" s="3">
        <v>0</v>
      </c>
      <c r="AN60" s="4">
        <f t="shared" si="49"/>
        <v>5450.874743589744</v>
      </c>
      <c r="AO60" s="1">
        <f t="shared" ref="AO60:AO73" si="50">+AF60*0.1875</f>
        <v>1009.6153846153846</v>
      </c>
      <c r="AP60" s="34">
        <v>20</v>
      </c>
      <c r="AQ60" s="46">
        <f t="shared" si="34"/>
        <v>7106.2820512820517</v>
      </c>
    </row>
    <row r="61" spans="1:43" customFormat="1" x14ac:dyDescent="0.35">
      <c r="A61" s="37" t="s">
        <v>190</v>
      </c>
      <c r="B61" s="37" t="s">
        <v>322</v>
      </c>
      <c r="C61" s="50" t="s">
        <v>177</v>
      </c>
      <c r="D61" s="54" t="s">
        <v>47</v>
      </c>
      <c r="E61" s="57" t="s">
        <v>107</v>
      </c>
      <c r="F61" s="63" t="s">
        <v>250</v>
      </c>
      <c r="G61" s="58" t="s">
        <v>189</v>
      </c>
      <c r="H61" s="59">
        <v>4000</v>
      </c>
      <c r="I61" s="59">
        <v>3000</v>
      </c>
      <c r="J61" s="24"/>
      <c r="K61" s="60">
        <v>0.61</v>
      </c>
      <c r="L61" s="9">
        <f t="shared" si="35"/>
        <v>1830</v>
      </c>
      <c r="M61" s="9">
        <v>0</v>
      </c>
      <c r="N61" s="9">
        <f t="shared" si="36"/>
        <v>30</v>
      </c>
      <c r="O61" s="9">
        <f t="shared" si="37"/>
        <v>0</v>
      </c>
      <c r="P61" s="10">
        <f t="shared" si="38"/>
        <v>133.33333333333334</v>
      </c>
      <c r="Q61" s="10">
        <f t="shared" si="39"/>
        <v>61</v>
      </c>
      <c r="R61" s="10">
        <f t="shared" si="25"/>
        <v>194.33333333333334</v>
      </c>
      <c r="S61" s="10">
        <f t="shared" si="40"/>
        <v>16.666666666666668</v>
      </c>
      <c r="T61" s="9">
        <v>16</v>
      </c>
      <c r="U61" s="9">
        <f t="shared" si="41"/>
        <v>266.66666666666669</v>
      </c>
      <c r="V61" s="9">
        <v>0</v>
      </c>
      <c r="W61" s="15">
        <f t="shared" si="42"/>
        <v>6096.666666666667</v>
      </c>
      <c r="X61" s="23">
        <v>0</v>
      </c>
      <c r="Y61" s="23">
        <f t="shared" si="43"/>
        <v>0</v>
      </c>
      <c r="Z61" s="31">
        <v>0</v>
      </c>
      <c r="AA61" s="23">
        <f t="shared" si="44"/>
        <v>0</v>
      </c>
      <c r="AB61" s="23">
        <v>0</v>
      </c>
      <c r="AC61" s="23">
        <f t="shared" si="45"/>
        <v>0</v>
      </c>
      <c r="AD61" s="11">
        <f t="shared" si="46"/>
        <v>0</v>
      </c>
      <c r="AE61" s="4">
        <f t="shared" si="47"/>
        <v>6096.666666666667</v>
      </c>
      <c r="AF61" s="3">
        <f t="shared" si="13"/>
        <v>5384.6153846153848</v>
      </c>
      <c r="AG61" s="3">
        <f t="shared" si="27"/>
        <v>592.30769230769238</v>
      </c>
      <c r="AH61" s="1">
        <v>1666.6666666666667</v>
      </c>
      <c r="AI61" s="1">
        <f t="shared" si="28"/>
        <v>46052.307692307688</v>
      </c>
      <c r="AJ61" s="1">
        <f t="shared" si="29"/>
        <v>50.435897435897402</v>
      </c>
      <c r="AK61" s="3">
        <f t="shared" si="30"/>
        <v>3.0483333333333333</v>
      </c>
      <c r="AL61" s="4">
        <f t="shared" si="48"/>
        <v>5450.874743589744</v>
      </c>
      <c r="AM61" s="3">
        <v>0</v>
      </c>
      <c r="AN61" s="4">
        <f t="shared" si="49"/>
        <v>5450.874743589744</v>
      </c>
      <c r="AO61" s="1">
        <f t="shared" si="50"/>
        <v>1009.6153846153846</v>
      </c>
      <c r="AP61" s="34">
        <v>15</v>
      </c>
      <c r="AQ61" s="46">
        <f t="shared" si="34"/>
        <v>7106.2820512820517</v>
      </c>
    </row>
    <row r="62" spans="1:43" customFormat="1" x14ac:dyDescent="0.35">
      <c r="A62" s="37" t="s">
        <v>190</v>
      </c>
      <c r="B62" s="37" t="s">
        <v>323</v>
      </c>
      <c r="C62" s="50" t="s">
        <v>178</v>
      </c>
      <c r="D62" s="54" t="s">
        <v>47</v>
      </c>
      <c r="E62" s="57" t="s">
        <v>108</v>
      </c>
      <c r="F62" s="63" t="s">
        <v>251</v>
      </c>
      <c r="G62" s="58" t="s">
        <v>354</v>
      </c>
      <c r="H62" s="59">
        <v>4500</v>
      </c>
      <c r="I62" s="59">
        <v>3000</v>
      </c>
      <c r="J62" s="24"/>
      <c r="K62" s="60">
        <v>0.61</v>
      </c>
      <c r="L62" s="9">
        <f t="shared" si="35"/>
        <v>1830</v>
      </c>
      <c r="M62" s="9">
        <v>0</v>
      </c>
      <c r="N62" s="9">
        <f t="shared" si="36"/>
        <v>30</v>
      </c>
      <c r="O62" s="9">
        <f t="shared" si="37"/>
        <v>0</v>
      </c>
      <c r="P62" s="10">
        <f t="shared" si="38"/>
        <v>150</v>
      </c>
      <c r="Q62" s="10">
        <f t="shared" si="39"/>
        <v>61</v>
      </c>
      <c r="R62" s="10">
        <f t="shared" si="25"/>
        <v>211</v>
      </c>
      <c r="S62" s="10">
        <f t="shared" si="40"/>
        <v>18.75</v>
      </c>
      <c r="T62" s="9">
        <v>16</v>
      </c>
      <c r="U62" s="9">
        <f t="shared" si="41"/>
        <v>300</v>
      </c>
      <c r="V62" s="9">
        <v>0</v>
      </c>
      <c r="W62" s="15">
        <f t="shared" si="42"/>
        <v>6630</v>
      </c>
      <c r="X62" s="23">
        <v>0</v>
      </c>
      <c r="Y62" s="23">
        <f t="shared" si="43"/>
        <v>0</v>
      </c>
      <c r="Z62" s="31">
        <v>0</v>
      </c>
      <c r="AA62" s="23">
        <f t="shared" si="44"/>
        <v>0</v>
      </c>
      <c r="AB62" s="23">
        <v>0</v>
      </c>
      <c r="AC62" s="23">
        <f t="shared" si="45"/>
        <v>0</v>
      </c>
      <c r="AD62" s="11">
        <f t="shared" si="46"/>
        <v>0</v>
      </c>
      <c r="AE62" s="4">
        <f t="shared" si="47"/>
        <v>6630</v>
      </c>
      <c r="AF62" s="3">
        <f t="shared" si="13"/>
        <v>5384.6153846153848</v>
      </c>
      <c r="AG62" s="3">
        <f t="shared" si="27"/>
        <v>592.30769230769238</v>
      </c>
      <c r="AH62" s="1">
        <v>1666.6666666666667</v>
      </c>
      <c r="AI62" s="1">
        <f t="shared" si="28"/>
        <v>52452.307692307688</v>
      </c>
      <c r="AJ62" s="1">
        <f t="shared" si="29"/>
        <v>103.76923076923073</v>
      </c>
      <c r="AK62" s="3">
        <f t="shared" si="30"/>
        <v>3.3149999999999999</v>
      </c>
      <c r="AL62" s="4">
        <f t="shared" si="48"/>
        <v>5930.6080769230775</v>
      </c>
      <c r="AM62" s="3">
        <v>0</v>
      </c>
      <c r="AN62" s="4">
        <f t="shared" si="49"/>
        <v>5930.6080769230775</v>
      </c>
      <c r="AO62" s="1">
        <f t="shared" si="50"/>
        <v>1009.6153846153846</v>
      </c>
      <c r="AP62" s="34">
        <v>19</v>
      </c>
      <c r="AQ62" s="46">
        <f t="shared" si="34"/>
        <v>7639.6153846153848</v>
      </c>
    </row>
    <row r="63" spans="1:43" customFormat="1" x14ac:dyDescent="0.35">
      <c r="A63" s="37" t="s">
        <v>190</v>
      </c>
      <c r="B63" s="37" t="s">
        <v>324</v>
      </c>
      <c r="C63" s="50" t="s">
        <v>179</v>
      </c>
      <c r="D63" s="54" t="s">
        <v>47</v>
      </c>
      <c r="E63" s="57" t="s">
        <v>109</v>
      </c>
      <c r="F63" s="63" t="s">
        <v>252</v>
      </c>
      <c r="G63" s="58" t="s">
        <v>189</v>
      </c>
      <c r="H63" s="59">
        <v>4000</v>
      </c>
      <c r="I63" s="59">
        <v>3000</v>
      </c>
      <c r="J63" s="24"/>
      <c r="K63" s="60">
        <v>0.61</v>
      </c>
      <c r="L63" s="9">
        <f t="shared" si="35"/>
        <v>1830</v>
      </c>
      <c r="M63" s="9">
        <v>0</v>
      </c>
      <c r="N63" s="9">
        <f t="shared" si="36"/>
        <v>30</v>
      </c>
      <c r="O63" s="9">
        <f t="shared" si="37"/>
        <v>0</v>
      </c>
      <c r="P63" s="10">
        <f t="shared" si="38"/>
        <v>133.33333333333334</v>
      </c>
      <c r="Q63" s="10">
        <f t="shared" si="39"/>
        <v>61</v>
      </c>
      <c r="R63" s="10">
        <f t="shared" si="25"/>
        <v>194.33333333333334</v>
      </c>
      <c r="S63" s="10">
        <f t="shared" si="40"/>
        <v>16.666666666666668</v>
      </c>
      <c r="T63" s="9">
        <v>16</v>
      </c>
      <c r="U63" s="9">
        <f t="shared" si="41"/>
        <v>266.66666666666669</v>
      </c>
      <c r="V63" s="9">
        <v>0</v>
      </c>
      <c r="W63" s="15">
        <f t="shared" si="42"/>
        <v>6096.666666666667</v>
      </c>
      <c r="X63" s="23">
        <v>0</v>
      </c>
      <c r="Y63" s="23">
        <f t="shared" si="43"/>
        <v>0</v>
      </c>
      <c r="Z63" s="31">
        <v>0</v>
      </c>
      <c r="AA63" s="23">
        <f t="shared" si="44"/>
        <v>0</v>
      </c>
      <c r="AB63" s="23">
        <v>0</v>
      </c>
      <c r="AC63" s="23">
        <f t="shared" si="45"/>
        <v>0</v>
      </c>
      <c r="AD63" s="11">
        <f t="shared" si="46"/>
        <v>0</v>
      </c>
      <c r="AE63" s="4">
        <f t="shared" si="47"/>
        <v>6096.666666666667</v>
      </c>
      <c r="AF63" s="3">
        <f t="shared" si="13"/>
        <v>5384.6153846153848</v>
      </c>
      <c r="AG63" s="3">
        <f t="shared" si="27"/>
        <v>592.30769230769238</v>
      </c>
      <c r="AH63" s="1">
        <v>1666.6666666666667</v>
      </c>
      <c r="AI63" s="1">
        <f t="shared" si="28"/>
        <v>46052.307692307688</v>
      </c>
      <c r="AJ63" s="1">
        <f t="shared" si="29"/>
        <v>50.435897435897402</v>
      </c>
      <c r="AK63" s="3">
        <f t="shared" si="30"/>
        <v>3.0483333333333333</v>
      </c>
      <c r="AL63" s="4">
        <f t="shared" si="48"/>
        <v>5450.874743589744</v>
      </c>
      <c r="AM63" s="3">
        <v>0</v>
      </c>
      <c r="AN63" s="4">
        <f t="shared" si="49"/>
        <v>5450.874743589744</v>
      </c>
      <c r="AO63" s="1">
        <f t="shared" si="50"/>
        <v>1009.6153846153846</v>
      </c>
      <c r="AP63" s="34">
        <v>19</v>
      </c>
      <c r="AQ63" s="46">
        <f t="shared" si="34"/>
        <v>7106.2820512820517</v>
      </c>
    </row>
    <row r="64" spans="1:43" customFormat="1" x14ac:dyDescent="0.35">
      <c r="A64" s="37" t="s">
        <v>190</v>
      </c>
      <c r="B64" s="37" t="s">
        <v>325</v>
      </c>
      <c r="C64" s="53" t="s">
        <v>180</v>
      </c>
      <c r="D64" s="54" t="s">
        <v>47</v>
      </c>
      <c r="E64" s="57" t="s">
        <v>110</v>
      </c>
      <c r="F64" s="63" t="s">
        <v>253</v>
      </c>
      <c r="G64" s="58" t="s">
        <v>189</v>
      </c>
      <c r="H64" s="59">
        <v>4000</v>
      </c>
      <c r="I64" s="59">
        <v>3000</v>
      </c>
      <c r="J64" s="24"/>
      <c r="K64" s="60">
        <v>0.61</v>
      </c>
      <c r="L64" s="9">
        <f t="shared" si="35"/>
        <v>1830</v>
      </c>
      <c r="M64" s="9">
        <v>0</v>
      </c>
      <c r="N64" s="9">
        <f t="shared" si="36"/>
        <v>30</v>
      </c>
      <c r="O64" s="9">
        <f t="shared" si="37"/>
        <v>0</v>
      </c>
      <c r="P64" s="10">
        <f t="shared" si="38"/>
        <v>133.33333333333334</v>
      </c>
      <c r="Q64" s="10">
        <f t="shared" si="39"/>
        <v>61</v>
      </c>
      <c r="R64" s="10">
        <f t="shared" ref="R64:R73" si="51">Q64+P64</f>
        <v>194.33333333333334</v>
      </c>
      <c r="S64" s="10">
        <f t="shared" si="40"/>
        <v>16.666666666666668</v>
      </c>
      <c r="T64" s="9">
        <v>0</v>
      </c>
      <c r="U64" s="9">
        <f t="shared" si="41"/>
        <v>0</v>
      </c>
      <c r="V64" s="9">
        <v>0</v>
      </c>
      <c r="W64" s="15">
        <f t="shared" si="42"/>
        <v>5830</v>
      </c>
      <c r="X64" s="23">
        <v>0</v>
      </c>
      <c r="Y64" s="23">
        <f t="shared" si="43"/>
        <v>0</v>
      </c>
      <c r="Z64" s="31">
        <v>0</v>
      </c>
      <c r="AA64" s="23">
        <f t="shared" si="44"/>
        <v>0</v>
      </c>
      <c r="AB64" s="23">
        <v>0</v>
      </c>
      <c r="AC64" s="23">
        <f t="shared" si="45"/>
        <v>0</v>
      </c>
      <c r="AD64" s="11">
        <f t="shared" si="46"/>
        <v>0</v>
      </c>
      <c r="AE64" s="4">
        <f t="shared" si="47"/>
        <v>5830</v>
      </c>
      <c r="AF64" s="3">
        <f t="shared" si="13"/>
        <v>5384.6153846153848</v>
      </c>
      <c r="AG64" s="3">
        <f t="shared" si="27"/>
        <v>592.30769230769238</v>
      </c>
      <c r="AH64" s="1">
        <v>1666.6666666666667</v>
      </c>
      <c r="AI64" s="1">
        <f t="shared" si="28"/>
        <v>42852.307692307688</v>
      </c>
      <c r="AJ64" s="1">
        <f t="shared" si="29"/>
        <v>23.769230769230731</v>
      </c>
      <c r="AK64" s="3">
        <f t="shared" si="30"/>
        <v>2.915</v>
      </c>
      <c r="AL64" s="4">
        <f t="shared" si="48"/>
        <v>5211.0080769230772</v>
      </c>
      <c r="AM64" s="3">
        <v>0</v>
      </c>
      <c r="AN64" s="4">
        <f t="shared" si="49"/>
        <v>5211.0080769230772</v>
      </c>
      <c r="AO64" s="1">
        <f t="shared" si="50"/>
        <v>1009.6153846153846</v>
      </c>
      <c r="AP64" s="34">
        <v>21</v>
      </c>
      <c r="AQ64" s="46">
        <f t="shared" ref="AQ64" si="52">AE64+AO64</f>
        <v>6839.6153846153848</v>
      </c>
    </row>
    <row r="65" spans="1:43" customFormat="1" x14ac:dyDescent="0.35">
      <c r="A65" s="37" t="s">
        <v>190</v>
      </c>
      <c r="B65" s="37" t="s">
        <v>326</v>
      </c>
      <c r="C65" s="53" t="s">
        <v>181</v>
      </c>
      <c r="D65" s="54" t="s">
        <v>47</v>
      </c>
      <c r="E65" s="56" t="s">
        <v>111</v>
      </c>
      <c r="F65" s="63" t="s">
        <v>254</v>
      </c>
      <c r="G65" s="58" t="s">
        <v>189</v>
      </c>
      <c r="H65" s="59">
        <v>4000</v>
      </c>
      <c r="I65" s="59">
        <v>3000</v>
      </c>
      <c r="J65" s="24"/>
      <c r="K65" s="60">
        <v>0.61</v>
      </c>
      <c r="L65" s="9">
        <f t="shared" si="35"/>
        <v>1830</v>
      </c>
      <c r="M65" s="9">
        <v>0</v>
      </c>
      <c r="N65" s="9">
        <f t="shared" si="36"/>
        <v>30</v>
      </c>
      <c r="O65" s="9">
        <f t="shared" si="37"/>
        <v>0</v>
      </c>
      <c r="P65" s="10">
        <f t="shared" si="38"/>
        <v>133.33333333333334</v>
      </c>
      <c r="Q65" s="10">
        <f t="shared" si="39"/>
        <v>61</v>
      </c>
      <c r="R65" s="10">
        <f t="shared" si="51"/>
        <v>194.33333333333334</v>
      </c>
      <c r="S65" s="10">
        <f t="shared" si="40"/>
        <v>16.666666666666668</v>
      </c>
      <c r="T65" s="9">
        <v>16</v>
      </c>
      <c r="U65" s="9">
        <f t="shared" si="41"/>
        <v>266.66666666666669</v>
      </c>
      <c r="V65" s="9">
        <v>0</v>
      </c>
      <c r="W65" s="15">
        <f t="shared" si="42"/>
        <v>6096.666666666667</v>
      </c>
      <c r="X65" s="23">
        <v>0</v>
      </c>
      <c r="Y65" s="23">
        <f t="shared" si="43"/>
        <v>0</v>
      </c>
      <c r="Z65" s="31">
        <v>0</v>
      </c>
      <c r="AA65" s="23">
        <f t="shared" si="44"/>
        <v>0</v>
      </c>
      <c r="AB65" s="23">
        <v>0</v>
      </c>
      <c r="AC65" s="23">
        <f t="shared" si="45"/>
        <v>0</v>
      </c>
      <c r="AD65" s="11">
        <f t="shared" si="46"/>
        <v>0</v>
      </c>
      <c r="AE65" s="4">
        <f t="shared" si="47"/>
        <v>6096.666666666667</v>
      </c>
      <c r="AF65" s="3">
        <f t="shared" si="13"/>
        <v>5384.6153846153848</v>
      </c>
      <c r="AG65" s="3">
        <f t="shared" si="27"/>
        <v>592.30769230769238</v>
      </c>
      <c r="AH65" s="1">
        <v>1666.6666666666667</v>
      </c>
      <c r="AI65" s="1">
        <f t="shared" si="28"/>
        <v>46052.307692307688</v>
      </c>
      <c r="AJ65" s="1">
        <f t="shared" si="29"/>
        <v>50.435897435897402</v>
      </c>
      <c r="AK65" s="3">
        <f t="shared" si="30"/>
        <v>3.0483333333333333</v>
      </c>
      <c r="AL65" s="4">
        <f t="shared" si="48"/>
        <v>5450.874743589744</v>
      </c>
      <c r="AM65" s="3">
        <v>0</v>
      </c>
      <c r="AN65" s="4">
        <f t="shared" si="49"/>
        <v>5450.874743589744</v>
      </c>
      <c r="AO65" s="1">
        <f t="shared" si="50"/>
        <v>1009.6153846153846</v>
      </c>
      <c r="AP65" s="34">
        <v>20</v>
      </c>
      <c r="AQ65" s="46">
        <f t="shared" ref="AQ65" si="53">AE65+AO65</f>
        <v>7106.2820512820517</v>
      </c>
    </row>
    <row r="66" spans="1:43" customFormat="1" x14ac:dyDescent="0.35">
      <c r="A66" s="37" t="s">
        <v>190</v>
      </c>
      <c r="B66" s="37" t="s">
        <v>327</v>
      </c>
      <c r="C66" s="53" t="s">
        <v>182</v>
      </c>
      <c r="D66" s="54" t="s">
        <v>47</v>
      </c>
      <c r="E66" s="55" t="s">
        <v>112</v>
      </c>
      <c r="F66" s="63" t="s">
        <v>255</v>
      </c>
      <c r="G66" s="58" t="s">
        <v>354</v>
      </c>
      <c r="H66" s="59">
        <v>4500</v>
      </c>
      <c r="I66" s="59">
        <v>3000</v>
      </c>
      <c r="J66" s="24"/>
      <c r="K66" s="60">
        <v>0.61</v>
      </c>
      <c r="L66" s="9">
        <f t="shared" ref="L66:L69" si="54">+I66*K66</f>
        <v>1830</v>
      </c>
      <c r="M66" s="9">
        <v>0</v>
      </c>
      <c r="N66" s="9">
        <f t="shared" si="36"/>
        <v>30</v>
      </c>
      <c r="O66" s="9">
        <f t="shared" si="37"/>
        <v>0</v>
      </c>
      <c r="P66" s="10">
        <f t="shared" si="38"/>
        <v>150</v>
      </c>
      <c r="Q66" s="10">
        <f t="shared" si="39"/>
        <v>61</v>
      </c>
      <c r="R66" s="10">
        <f t="shared" si="51"/>
        <v>211</v>
      </c>
      <c r="S66" s="10">
        <f t="shared" si="40"/>
        <v>18.75</v>
      </c>
      <c r="T66" s="9">
        <v>16</v>
      </c>
      <c r="U66" s="9">
        <f t="shared" si="41"/>
        <v>300</v>
      </c>
      <c r="V66" s="9">
        <v>0</v>
      </c>
      <c r="W66" s="15">
        <f t="shared" si="42"/>
        <v>6630</v>
      </c>
      <c r="X66" s="23">
        <v>0</v>
      </c>
      <c r="Y66" s="23">
        <f t="shared" si="43"/>
        <v>0</v>
      </c>
      <c r="Z66" s="31">
        <v>0</v>
      </c>
      <c r="AA66" s="23">
        <f t="shared" si="44"/>
        <v>0</v>
      </c>
      <c r="AB66" s="23">
        <v>0</v>
      </c>
      <c r="AC66" s="23">
        <f t="shared" ref="AC66:AC69" si="55">Q66*AB66</f>
        <v>0</v>
      </c>
      <c r="AD66" s="11">
        <f t="shared" si="46"/>
        <v>0</v>
      </c>
      <c r="AE66" s="4">
        <f t="shared" si="47"/>
        <v>6630</v>
      </c>
      <c r="AF66" s="3">
        <f t="shared" si="13"/>
        <v>5384.6153846153848</v>
      </c>
      <c r="AG66" s="3">
        <f t="shared" si="27"/>
        <v>592.30769230769238</v>
      </c>
      <c r="AH66" s="1">
        <v>1666.6666666666667</v>
      </c>
      <c r="AI66" s="1">
        <f t="shared" si="28"/>
        <v>52452.307692307688</v>
      </c>
      <c r="AJ66" s="1">
        <f t="shared" si="29"/>
        <v>103.76923076923073</v>
      </c>
      <c r="AK66" s="3">
        <f t="shared" si="30"/>
        <v>3.3149999999999999</v>
      </c>
      <c r="AL66" s="4">
        <f t="shared" si="48"/>
        <v>5930.6080769230775</v>
      </c>
      <c r="AM66" s="3">
        <v>0</v>
      </c>
      <c r="AN66" s="4">
        <f t="shared" si="49"/>
        <v>5930.6080769230775</v>
      </c>
      <c r="AO66" s="1">
        <f t="shared" si="50"/>
        <v>1009.6153846153846</v>
      </c>
      <c r="AP66" s="34">
        <v>18</v>
      </c>
      <c r="AQ66" s="46">
        <f t="shared" ref="AQ66:AQ69" si="56">AE66+AO66</f>
        <v>7639.6153846153848</v>
      </c>
    </row>
    <row r="67" spans="1:43" customFormat="1" x14ac:dyDescent="0.35">
      <c r="A67" s="37" t="s">
        <v>190</v>
      </c>
      <c r="B67" s="37" t="s">
        <v>328</v>
      </c>
      <c r="C67" s="53" t="s">
        <v>183</v>
      </c>
      <c r="D67" s="54" t="s">
        <v>47</v>
      </c>
      <c r="E67" s="55" t="s">
        <v>113</v>
      </c>
      <c r="F67" s="63" t="s">
        <v>256</v>
      </c>
      <c r="G67" s="58" t="s">
        <v>354</v>
      </c>
      <c r="H67" s="59">
        <v>4500</v>
      </c>
      <c r="I67" s="59">
        <v>3000</v>
      </c>
      <c r="J67" s="24"/>
      <c r="K67" s="60">
        <v>0.61</v>
      </c>
      <c r="L67" s="9">
        <f t="shared" si="54"/>
        <v>1830</v>
      </c>
      <c r="M67" s="9">
        <v>0</v>
      </c>
      <c r="N67" s="9">
        <f t="shared" si="36"/>
        <v>30</v>
      </c>
      <c r="O67" s="9">
        <f t="shared" si="37"/>
        <v>0</v>
      </c>
      <c r="P67" s="10">
        <f t="shared" si="38"/>
        <v>150</v>
      </c>
      <c r="Q67" s="10">
        <f t="shared" si="39"/>
        <v>61</v>
      </c>
      <c r="R67" s="10">
        <f t="shared" si="51"/>
        <v>211</v>
      </c>
      <c r="S67" s="10">
        <f t="shared" si="40"/>
        <v>18.75</v>
      </c>
      <c r="T67" s="9">
        <v>16</v>
      </c>
      <c r="U67" s="9">
        <f t="shared" si="41"/>
        <v>300</v>
      </c>
      <c r="V67" s="9">
        <v>0</v>
      </c>
      <c r="W67" s="15">
        <f t="shared" si="42"/>
        <v>6630</v>
      </c>
      <c r="X67" s="23">
        <v>0</v>
      </c>
      <c r="Y67" s="23">
        <f t="shared" si="43"/>
        <v>0</v>
      </c>
      <c r="Z67" s="31">
        <v>0</v>
      </c>
      <c r="AA67" s="23">
        <f t="shared" si="44"/>
        <v>0</v>
      </c>
      <c r="AB67" s="23">
        <v>0</v>
      </c>
      <c r="AC67" s="23">
        <f t="shared" si="55"/>
        <v>0</v>
      </c>
      <c r="AD67" s="11">
        <f t="shared" si="46"/>
        <v>0</v>
      </c>
      <c r="AE67" s="4">
        <f t="shared" si="47"/>
        <v>6630</v>
      </c>
      <c r="AF67" s="3">
        <f t="shared" si="13"/>
        <v>5384.6153846153848</v>
      </c>
      <c r="AG67" s="3">
        <f t="shared" ref="AG67:AG82" si="57">+AF67*0.11</f>
        <v>592.30769230769238</v>
      </c>
      <c r="AH67" s="1">
        <v>1666.6666666666667</v>
      </c>
      <c r="AI67" s="1">
        <f t="shared" ref="AI67:AI82" si="58">(AE67-AG67-AH67)*12</f>
        <v>52452.307692307688</v>
      </c>
      <c r="AJ67" s="1">
        <f t="shared" ref="AJ67:AJ82" si="59">IF(AND(AI67&gt;40000,AI67&lt;=55000),(AI67-40000)*10%,
IF(AND(AI67&gt;55000,AI67&lt;=70000),(AI67-55000)*15%+15000*10%,
IF(AND(AI67&gt;70000,AI67&lt;=200000),(AI67-70000)*20%+15000*10%+15000*15%,
IF(AND(AI67&gt;200000,AI67&lt;=400000),(AI67-200000)*22.5%+15000*10%+15000*15%+130000*20%,
IF(AND(AI67&gt;400000,AI67&lt;=600000),(AI67-400000)*25%+15000*10%+15000*15%+130000*20%+200000*22.5%,
IF(AND(AI67&gt;600000,AI67&lt;=700000),(AI67-400000)*25%+55000*10%+15000*15%+130000*20%+200000*22.5%,
IF(AND(AI67&gt;700000,AI67&lt;=800000),(AI67-400000)*25%+70000*15%+130000*20%+200000*22.5%,
IF(AND(AI67&gt;800000,AI67&lt;=900000),(AI67-400000)*25%+200000*20%+200000*22.5%,
IF(AND(AI67&gt;900000,AI67&lt;=1200000),(AI67-400000)*25%+400000*22.5%,
IF(AI67&gt;1200000,(AI67-1200000)*27.5%+1200000*25%))))))))))/12</f>
        <v>103.76923076923073</v>
      </c>
      <c r="AK67" s="3">
        <f t="shared" ref="AK67:AK82" si="60">+AE67*0.0005</f>
        <v>3.3149999999999999</v>
      </c>
      <c r="AL67" s="4">
        <f t="shared" si="48"/>
        <v>5930.6080769230775</v>
      </c>
      <c r="AM67" s="3">
        <v>0</v>
      </c>
      <c r="AN67" s="4">
        <f t="shared" si="49"/>
        <v>5930.6080769230775</v>
      </c>
      <c r="AO67" s="1">
        <f t="shared" si="50"/>
        <v>1009.6153846153846</v>
      </c>
      <c r="AP67" s="34">
        <v>20</v>
      </c>
      <c r="AQ67" s="46">
        <f t="shared" si="56"/>
        <v>7639.6153846153848</v>
      </c>
    </row>
    <row r="68" spans="1:43" customFormat="1" x14ac:dyDescent="0.35">
      <c r="A68" s="37" t="s">
        <v>190</v>
      </c>
      <c r="B68" s="37" t="s">
        <v>329</v>
      </c>
      <c r="C68" s="52" t="s">
        <v>184</v>
      </c>
      <c r="D68" s="54" t="s">
        <v>47</v>
      </c>
      <c r="E68" s="55" t="s">
        <v>114</v>
      </c>
      <c r="F68" s="63" t="s">
        <v>257</v>
      </c>
      <c r="G68" s="58" t="s">
        <v>189</v>
      </c>
      <c r="H68" s="59">
        <v>4000</v>
      </c>
      <c r="I68" s="59">
        <v>3000</v>
      </c>
      <c r="J68" s="24"/>
      <c r="K68" s="60">
        <v>0.61</v>
      </c>
      <c r="L68" s="9">
        <f t="shared" ref="L68" si="61">+I68*K68</f>
        <v>1830</v>
      </c>
      <c r="M68" s="9">
        <v>0</v>
      </c>
      <c r="N68" s="9">
        <f t="shared" si="36"/>
        <v>30</v>
      </c>
      <c r="O68" s="9">
        <f t="shared" si="37"/>
        <v>0</v>
      </c>
      <c r="P68" s="10">
        <f t="shared" si="38"/>
        <v>133.33333333333334</v>
      </c>
      <c r="Q68" s="10">
        <f t="shared" si="39"/>
        <v>61</v>
      </c>
      <c r="R68" s="10">
        <f t="shared" si="51"/>
        <v>194.33333333333334</v>
      </c>
      <c r="S68" s="10">
        <f t="shared" si="40"/>
        <v>16.666666666666668</v>
      </c>
      <c r="T68" s="9">
        <v>16</v>
      </c>
      <c r="U68" s="9">
        <f t="shared" si="41"/>
        <v>266.66666666666669</v>
      </c>
      <c r="V68" s="9">
        <v>0</v>
      </c>
      <c r="W68" s="15">
        <f t="shared" si="42"/>
        <v>6096.666666666667</v>
      </c>
      <c r="X68" s="23">
        <v>0</v>
      </c>
      <c r="Y68" s="23">
        <f t="shared" si="43"/>
        <v>0</v>
      </c>
      <c r="Z68" s="31">
        <v>0</v>
      </c>
      <c r="AA68" s="23">
        <f t="shared" si="44"/>
        <v>0</v>
      </c>
      <c r="AB68" s="23">
        <v>0</v>
      </c>
      <c r="AC68" s="23">
        <f t="shared" ref="AC68" si="62">Q68*AB68</f>
        <v>0</v>
      </c>
      <c r="AD68" s="11">
        <f t="shared" si="46"/>
        <v>0</v>
      </c>
      <c r="AE68" s="4">
        <f t="shared" si="47"/>
        <v>6096.666666666667</v>
      </c>
      <c r="AF68" s="3">
        <f t="shared" si="13"/>
        <v>5384.6153846153848</v>
      </c>
      <c r="AG68" s="3">
        <f t="shared" si="57"/>
        <v>592.30769230769238</v>
      </c>
      <c r="AH68" s="1">
        <v>1666.6666666666667</v>
      </c>
      <c r="AI68" s="1">
        <f t="shared" si="58"/>
        <v>46052.307692307688</v>
      </c>
      <c r="AJ68" s="1">
        <f t="shared" si="59"/>
        <v>50.435897435897402</v>
      </c>
      <c r="AK68" s="3">
        <f t="shared" si="60"/>
        <v>3.0483333333333333</v>
      </c>
      <c r="AL68" s="4">
        <f t="shared" si="48"/>
        <v>5450.874743589744</v>
      </c>
      <c r="AM68" s="3">
        <v>0</v>
      </c>
      <c r="AN68" s="4">
        <f t="shared" si="49"/>
        <v>5450.874743589744</v>
      </c>
      <c r="AO68" s="1">
        <f t="shared" si="50"/>
        <v>1009.6153846153846</v>
      </c>
      <c r="AP68" s="34">
        <v>20</v>
      </c>
      <c r="AQ68" s="46">
        <f t="shared" ref="AQ68" si="63">AE68+AO68</f>
        <v>7106.2820512820517</v>
      </c>
    </row>
    <row r="69" spans="1:43" customFormat="1" x14ac:dyDescent="0.35">
      <c r="A69" s="37" t="s">
        <v>190</v>
      </c>
      <c r="B69" s="37" t="s">
        <v>330</v>
      </c>
      <c r="C69" s="53" t="s">
        <v>185</v>
      </c>
      <c r="D69" s="54" t="s">
        <v>47</v>
      </c>
      <c r="E69" s="55" t="s">
        <v>115</v>
      </c>
      <c r="F69" s="63" t="s">
        <v>258</v>
      </c>
      <c r="G69" s="58" t="s">
        <v>189</v>
      </c>
      <c r="H69" s="59">
        <v>4000</v>
      </c>
      <c r="I69" s="59">
        <v>3000</v>
      </c>
      <c r="J69" s="24"/>
      <c r="K69" s="60">
        <v>0.61</v>
      </c>
      <c r="L69" s="9">
        <f t="shared" si="54"/>
        <v>1830</v>
      </c>
      <c r="M69" s="9">
        <v>0</v>
      </c>
      <c r="N69" s="9">
        <f t="shared" si="36"/>
        <v>30</v>
      </c>
      <c r="O69" s="9">
        <f t="shared" si="37"/>
        <v>0</v>
      </c>
      <c r="P69" s="10">
        <f t="shared" si="38"/>
        <v>133.33333333333334</v>
      </c>
      <c r="Q69" s="10">
        <f t="shared" si="39"/>
        <v>61</v>
      </c>
      <c r="R69" s="10">
        <f t="shared" si="51"/>
        <v>194.33333333333334</v>
      </c>
      <c r="S69" s="10">
        <f t="shared" si="40"/>
        <v>16.666666666666668</v>
      </c>
      <c r="T69" s="9">
        <v>16</v>
      </c>
      <c r="U69" s="9">
        <f t="shared" si="41"/>
        <v>266.66666666666669</v>
      </c>
      <c r="V69" s="9">
        <v>0</v>
      </c>
      <c r="W69" s="15">
        <f t="shared" si="42"/>
        <v>6096.666666666667</v>
      </c>
      <c r="X69" s="23">
        <v>0</v>
      </c>
      <c r="Y69" s="23">
        <f t="shared" si="43"/>
        <v>0</v>
      </c>
      <c r="Z69" s="31">
        <v>0</v>
      </c>
      <c r="AA69" s="23">
        <f t="shared" si="44"/>
        <v>0</v>
      </c>
      <c r="AB69" s="23">
        <v>0</v>
      </c>
      <c r="AC69" s="23">
        <f t="shared" si="55"/>
        <v>0</v>
      </c>
      <c r="AD69" s="11">
        <f t="shared" si="46"/>
        <v>0</v>
      </c>
      <c r="AE69" s="4">
        <f t="shared" si="47"/>
        <v>6096.666666666667</v>
      </c>
      <c r="AF69" s="3">
        <f t="shared" si="13"/>
        <v>5384.6153846153848</v>
      </c>
      <c r="AG69" s="3">
        <f t="shared" si="57"/>
        <v>592.30769230769238</v>
      </c>
      <c r="AH69" s="1">
        <v>1666.6666666666667</v>
      </c>
      <c r="AI69" s="1">
        <f t="shared" si="58"/>
        <v>46052.307692307688</v>
      </c>
      <c r="AJ69" s="1">
        <f t="shared" si="59"/>
        <v>50.435897435897402</v>
      </c>
      <c r="AK69" s="3">
        <f t="shared" si="60"/>
        <v>3.0483333333333333</v>
      </c>
      <c r="AL69" s="4">
        <f t="shared" si="48"/>
        <v>5450.874743589744</v>
      </c>
      <c r="AM69" s="3">
        <v>0</v>
      </c>
      <c r="AN69" s="4">
        <f t="shared" si="49"/>
        <v>5450.874743589744</v>
      </c>
      <c r="AO69" s="1">
        <f t="shared" si="50"/>
        <v>1009.6153846153846</v>
      </c>
      <c r="AP69" s="34">
        <v>20</v>
      </c>
      <c r="AQ69" s="46">
        <f t="shared" si="56"/>
        <v>7106.2820512820517</v>
      </c>
    </row>
    <row r="70" spans="1:43" customFormat="1" x14ac:dyDescent="0.35">
      <c r="A70" s="37" t="s">
        <v>190</v>
      </c>
      <c r="B70" s="37" t="s">
        <v>331</v>
      </c>
      <c r="C70" s="53" t="s">
        <v>186</v>
      </c>
      <c r="D70" s="51" t="s">
        <v>37</v>
      </c>
      <c r="E70" s="55" t="s">
        <v>116</v>
      </c>
      <c r="F70" s="63" t="s">
        <v>259</v>
      </c>
      <c r="G70" s="58" t="s">
        <v>189</v>
      </c>
      <c r="H70" s="59">
        <v>4000</v>
      </c>
      <c r="I70" s="59">
        <v>3000</v>
      </c>
      <c r="J70" s="24"/>
      <c r="K70" s="60">
        <v>0.61</v>
      </c>
      <c r="L70" s="9">
        <f t="shared" ref="L70" si="64">+I70*K70</f>
        <v>1830</v>
      </c>
      <c r="M70" s="9">
        <v>0</v>
      </c>
      <c r="N70" s="9">
        <f t="shared" ref="N70" si="65">30-X70</f>
        <v>30</v>
      </c>
      <c r="O70" s="9">
        <f t="shared" ref="O70" si="66">M70*N70</f>
        <v>0</v>
      </c>
      <c r="P70" s="10">
        <f t="shared" ref="P70" si="67">H70/30</f>
        <v>133.33333333333334</v>
      </c>
      <c r="Q70" s="10">
        <f t="shared" ref="Q70" si="68">L70/30</f>
        <v>61</v>
      </c>
      <c r="R70" s="10">
        <f t="shared" si="51"/>
        <v>194.33333333333334</v>
      </c>
      <c r="S70" s="10">
        <f t="shared" ref="S70" si="69">+P70/8</f>
        <v>16.666666666666668</v>
      </c>
      <c r="T70" s="9">
        <v>16</v>
      </c>
      <c r="U70" s="9">
        <f t="shared" ref="U70" si="70">+S70*T70</f>
        <v>266.66666666666669</v>
      </c>
      <c r="V70" s="9">
        <v>0</v>
      </c>
      <c r="W70" s="15">
        <f t="shared" ref="W70" si="71">H70+L70+O70+U70+V70+J70</f>
        <v>6096.666666666667</v>
      </c>
      <c r="X70" s="23">
        <v>0</v>
      </c>
      <c r="Y70" s="23">
        <f t="shared" ref="Y70" si="72">R70*X70</f>
        <v>0</v>
      </c>
      <c r="Z70" s="31">
        <v>0</v>
      </c>
      <c r="AA70" s="23">
        <f t="shared" ref="AA70" si="73">P70*Z70</f>
        <v>0</v>
      </c>
      <c r="AB70" s="23">
        <v>0</v>
      </c>
      <c r="AC70" s="23">
        <f t="shared" ref="AC70" si="74">Q70*AB70</f>
        <v>0</v>
      </c>
      <c r="AD70" s="11">
        <f t="shared" ref="AD70" si="75">Y70+AA70+AC70</f>
        <v>0</v>
      </c>
      <c r="AE70" s="4">
        <f t="shared" ref="AE70" si="76">W70-AD70</f>
        <v>6096.666666666667</v>
      </c>
      <c r="AF70" s="3">
        <f t="shared" ref="AF70:AF79" si="77">7000/1.3</f>
        <v>5384.6153846153848</v>
      </c>
      <c r="AG70" s="3">
        <f t="shared" si="57"/>
        <v>592.30769230769238</v>
      </c>
      <c r="AH70" s="1">
        <v>1666.6666666666667</v>
      </c>
      <c r="AI70" s="1">
        <f t="shared" si="58"/>
        <v>46052.307692307688</v>
      </c>
      <c r="AJ70" s="1">
        <f t="shared" si="59"/>
        <v>50.435897435897402</v>
      </c>
      <c r="AK70" s="3">
        <f t="shared" si="60"/>
        <v>3.0483333333333333</v>
      </c>
      <c r="AL70" s="4">
        <f t="shared" ref="AL70" si="78">+AE70-AG70-AJ70-AK70</f>
        <v>5450.874743589744</v>
      </c>
      <c r="AM70" s="3">
        <v>0</v>
      </c>
      <c r="AN70" s="4">
        <f t="shared" ref="AN70" si="79">+AL70-AM70</f>
        <v>5450.874743589744</v>
      </c>
      <c r="AO70" s="1">
        <f t="shared" si="50"/>
        <v>1009.6153846153846</v>
      </c>
      <c r="AP70" s="34">
        <v>15</v>
      </c>
      <c r="AQ70" s="46">
        <f t="shared" ref="AQ70" si="80">AE70+AO70</f>
        <v>7106.2820512820517</v>
      </c>
    </row>
    <row r="71" spans="1:43" customFormat="1" x14ac:dyDescent="0.35">
      <c r="A71" s="37" t="s">
        <v>190</v>
      </c>
      <c r="B71" s="37" t="s">
        <v>332</v>
      </c>
      <c r="C71" s="53" t="s">
        <v>363</v>
      </c>
      <c r="D71" s="51" t="s">
        <v>37</v>
      </c>
      <c r="E71" s="55" t="s">
        <v>117</v>
      </c>
      <c r="F71" s="63" t="s">
        <v>260</v>
      </c>
      <c r="G71" s="58" t="s">
        <v>189</v>
      </c>
      <c r="H71" s="59">
        <v>4000</v>
      </c>
      <c r="I71" s="59">
        <v>3000</v>
      </c>
      <c r="J71" s="24"/>
      <c r="K71" s="60">
        <v>0.61</v>
      </c>
      <c r="L71" s="9">
        <f t="shared" ref="L71:L82" si="81">+I71*K71</f>
        <v>1830</v>
      </c>
      <c r="M71" s="9">
        <v>0</v>
      </c>
      <c r="N71" s="9">
        <f t="shared" ref="N71:N82" si="82">30-X71</f>
        <v>30</v>
      </c>
      <c r="O71" s="9">
        <f t="shared" ref="O71:O82" si="83">M71*N71</f>
        <v>0</v>
      </c>
      <c r="P71" s="10">
        <f t="shared" ref="P71:P82" si="84">H71/30</f>
        <v>133.33333333333334</v>
      </c>
      <c r="Q71" s="10">
        <f t="shared" ref="Q71:Q82" si="85">L71/30</f>
        <v>61</v>
      </c>
      <c r="R71" s="10">
        <f t="shared" si="51"/>
        <v>194.33333333333334</v>
      </c>
      <c r="S71" s="10">
        <f t="shared" ref="S71:S82" si="86">+P71/8</f>
        <v>16.666666666666668</v>
      </c>
      <c r="T71" s="9">
        <v>16</v>
      </c>
      <c r="U71" s="9">
        <f t="shared" ref="U71:U82" si="87">+S71*T71</f>
        <v>266.66666666666669</v>
      </c>
      <c r="V71" s="9">
        <v>0</v>
      </c>
      <c r="W71" s="15">
        <f t="shared" ref="W71:W82" si="88">H71+L71+O71+U71+V71+J71</f>
        <v>6096.666666666667</v>
      </c>
      <c r="X71" s="23">
        <v>0</v>
      </c>
      <c r="Y71" s="23">
        <f t="shared" ref="Y71:Y82" si="89">R71*X71</f>
        <v>0</v>
      </c>
      <c r="Z71" s="31">
        <v>0</v>
      </c>
      <c r="AA71" s="23">
        <f t="shared" ref="AA71:AA82" si="90">P71*Z71</f>
        <v>0</v>
      </c>
      <c r="AB71" s="23">
        <v>0</v>
      </c>
      <c r="AC71" s="23">
        <f t="shared" ref="AC71:AC82" si="91">Q71*AB71</f>
        <v>0</v>
      </c>
      <c r="AD71" s="11">
        <f t="shared" ref="AD71:AD82" si="92">Y71+AA71+AC71</f>
        <v>0</v>
      </c>
      <c r="AE71" s="4">
        <f t="shared" ref="AE71:AE82" si="93">W71-AD71</f>
        <v>6096.666666666667</v>
      </c>
      <c r="AF71" s="3">
        <f t="shared" si="77"/>
        <v>5384.6153846153848</v>
      </c>
      <c r="AG71" s="3">
        <f t="shared" si="57"/>
        <v>592.30769230769238</v>
      </c>
      <c r="AH71" s="1">
        <v>1666.6666666666667</v>
      </c>
      <c r="AI71" s="1">
        <f t="shared" si="58"/>
        <v>46052.307692307688</v>
      </c>
      <c r="AJ71" s="1">
        <f t="shared" si="59"/>
        <v>50.435897435897402</v>
      </c>
      <c r="AK71" s="3">
        <f t="shared" si="60"/>
        <v>3.0483333333333333</v>
      </c>
      <c r="AL71" s="4">
        <f t="shared" ref="AL71:AL82" si="94">+AE71-AG71-AJ71-AK71</f>
        <v>5450.874743589744</v>
      </c>
      <c r="AM71" s="3">
        <v>0</v>
      </c>
      <c r="AN71" s="4">
        <f t="shared" ref="AN71:AN82" si="95">+AL71-AM71</f>
        <v>5450.874743589744</v>
      </c>
      <c r="AO71" s="1">
        <f t="shared" si="50"/>
        <v>1009.6153846153846</v>
      </c>
      <c r="AP71" s="34">
        <v>19</v>
      </c>
      <c r="AQ71" s="46">
        <f t="shared" ref="AQ71:AQ82" si="96">AE71+AO71</f>
        <v>7106.2820512820517</v>
      </c>
    </row>
    <row r="72" spans="1:43" customFormat="1" x14ac:dyDescent="0.35">
      <c r="A72" s="37" t="s">
        <v>190</v>
      </c>
      <c r="B72" s="37" t="s">
        <v>333</v>
      </c>
      <c r="C72" s="53" t="s">
        <v>188</v>
      </c>
      <c r="D72" s="51" t="s">
        <v>37</v>
      </c>
      <c r="E72" s="55" t="s">
        <v>356</v>
      </c>
      <c r="F72" s="63" t="s">
        <v>262</v>
      </c>
      <c r="G72" s="58" t="s">
        <v>46</v>
      </c>
      <c r="H72" s="59">
        <v>5500</v>
      </c>
      <c r="I72" s="59">
        <v>0</v>
      </c>
      <c r="J72" s="24"/>
      <c r="K72" s="60">
        <v>0.61</v>
      </c>
      <c r="L72" s="9">
        <f t="shared" si="81"/>
        <v>0</v>
      </c>
      <c r="M72" s="9">
        <v>0</v>
      </c>
      <c r="N72" s="9">
        <f t="shared" si="82"/>
        <v>30</v>
      </c>
      <c r="O72" s="9">
        <f t="shared" si="83"/>
        <v>0</v>
      </c>
      <c r="P72" s="10">
        <f t="shared" si="84"/>
        <v>183.33333333333334</v>
      </c>
      <c r="Q72" s="10">
        <f t="shared" si="85"/>
        <v>0</v>
      </c>
      <c r="R72" s="10">
        <f t="shared" si="51"/>
        <v>183.33333333333334</v>
      </c>
      <c r="S72" s="10">
        <f t="shared" si="86"/>
        <v>22.916666666666668</v>
      </c>
      <c r="T72" s="9">
        <v>16</v>
      </c>
      <c r="U72" s="9">
        <f t="shared" si="87"/>
        <v>366.66666666666669</v>
      </c>
      <c r="V72" s="9">
        <v>0</v>
      </c>
      <c r="W72" s="15">
        <f t="shared" si="88"/>
        <v>5866.666666666667</v>
      </c>
      <c r="X72" s="23">
        <v>0</v>
      </c>
      <c r="Y72" s="23">
        <f t="shared" si="89"/>
        <v>0</v>
      </c>
      <c r="Z72" s="31">
        <v>3</v>
      </c>
      <c r="AA72" s="23">
        <f t="shared" si="90"/>
        <v>550</v>
      </c>
      <c r="AB72" s="23">
        <v>0</v>
      </c>
      <c r="AC72" s="23">
        <f t="shared" si="91"/>
        <v>0</v>
      </c>
      <c r="AD72" s="11">
        <f t="shared" si="92"/>
        <v>550</v>
      </c>
      <c r="AE72" s="4">
        <f t="shared" si="93"/>
        <v>5316.666666666667</v>
      </c>
      <c r="AF72" s="3"/>
      <c r="AG72" s="3">
        <f t="shared" si="57"/>
        <v>0</v>
      </c>
      <c r="AH72" s="1">
        <v>1666.6666666666667</v>
      </c>
      <c r="AI72" s="1">
        <f t="shared" si="58"/>
        <v>43800</v>
      </c>
      <c r="AJ72" s="1">
        <f t="shared" si="59"/>
        <v>31.666666666666668</v>
      </c>
      <c r="AK72" s="3">
        <f t="shared" si="60"/>
        <v>2.6583333333333337</v>
      </c>
      <c r="AL72" s="4">
        <f t="shared" si="94"/>
        <v>5282.3416666666662</v>
      </c>
      <c r="AM72" s="3">
        <v>0</v>
      </c>
      <c r="AN72" s="4">
        <f t="shared" si="95"/>
        <v>5282.3416666666662</v>
      </c>
      <c r="AO72" s="1">
        <f t="shared" si="50"/>
        <v>0</v>
      </c>
      <c r="AP72" s="34">
        <v>21</v>
      </c>
      <c r="AQ72" s="46">
        <f t="shared" si="96"/>
        <v>5316.666666666667</v>
      </c>
    </row>
    <row r="73" spans="1:43" customFormat="1" x14ac:dyDescent="0.35">
      <c r="A73" s="37" t="s">
        <v>190</v>
      </c>
      <c r="B73" s="37" t="s">
        <v>334</v>
      </c>
      <c r="C73" s="53" t="s">
        <v>364</v>
      </c>
      <c r="D73" s="51" t="s">
        <v>37</v>
      </c>
      <c r="E73" s="55" t="s">
        <v>59</v>
      </c>
      <c r="F73" s="63" t="s">
        <v>263</v>
      </c>
      <c r="G73" s="58" t="s">
        <v>189</v>
      </c>
      <c r="H73" s="59">
        <v>4000</v>
      </c>
      <c r="I73" s="59">
        <v>3000</v>
      </c>
      <c r="J73" s="24"/>
      <c r="K73" s="60">
        <v>0.61</v>
      </c>
      <c r="L73" s="9">
        <f t="shared" ref="L73" si="97">+I73*K73</f>
        <v>1830</v>
      </c>
      <c r="M73" s="9">
        <v>0</v>
      </c>
      <c r="N73" s="9">
        <f t="shared" ref="N73" si="98">30-X73</f>
        <v>30</v>
      </c>
      <c r="O73" s="9">
        <f t="shared" ref="O73" si="99">M73*N73</f>
        <v>0</v>
      </c>
      <c r="P73" s="10">
        <f t="shared" ref="P73" si="100">H73/30</f>
        <v>133.33333333333334</v>
      </c>
      <c r="Q73" s="10">
        <f t="shared" ref="Q73" si="101">L73/30</f>
        <v>61</v>
      </c>
      <c r="R73" s="10">
        <f t="shared" si="51"/>
        <v>194.33333333333334</v>
      </c>
      <c r="S73" s="10">
        <f t="shared" ref="S73" si="102">+P73/8</f>
        <v>16.666666666666668</v>
      </c>
      <c r="T73" s="9">
        <v>16</v>
      </c>
      <c r="U73" s="9">
        <f t="shared" ref="U73" si="103">+S73*T73</f>
        <v>266.66666666666669</v>
      </c>
      <c r="V73" s="9">
        <v>0</v>
      </c>
      <c r="W73" s="15">
        <f t="shared" ref="W73" si="104">H73+L73+O73+U73+V73+J73</f>
        <v>6096.666666666667</v>
      </c>
      <c r="X73" s="23">
        <v>0</v>
      </c>
      <c r="Y73" s="23">
        <f t="shared" ref="Y73" si="105">R73*X73</f>
        <v>0</v>
      </c>
      <c r="Z73" s="31">
        <v>0</v>
      </c>
      <c r="AA73" s="23">
        <f t="shared" ref="AA73" si="106">P73*Z73</f>
        <v>0</v>
      </c>
      <c r="AB73" s="23">
        <v>0</v>
      </c>
      <c r="AC73" s="23">
        <f t="shared" ref="AC73" si="107">Q73*AB73</f>
        <v>0</v>
      </c>
      <c r="AD73" s="11">
        <f t="shared" ref="AD73" si="108">Y73+AA73+AC73</f>
        <v>0</v>
      </c>
      <c r="AE73" s="4">
        <f t="shared" ref="AE73" si="109">W73-AD73</f>
        <v>6096.666666666667</v>
      </c>
      <c r="AF73" s="3">
        <f t="shared" si="77"/>
        <v>5384.6153846153848</v>
      </c>
      <c r="AG73" s="3">
        <f t="shared" si="57"/>
        <v>592.30769230769238</v>
      </c>
      <c r="AH73" s="1">
        <v>1666.6666666666667</v>
      </c>
      <c r="AI73" s="1">
        <f t="shared" si="58"/>
        <v>46052.307692307688</v>
      </c>
      <c r="AJ73" s="1">
        <f t="shared" si="59"/>
        <v>50.435897435897402</v>
      </c>
      <c r="AK73" s="3">
        <f t="shared" si="60"/>
        <v>3.0483333333333333</v>
      </c>
      <c r="AL73" s="4">
        <f t="shared" ref="AL73" si="110">+AE73-AG73-AJ73-AK73</f>
        <v>5450.874743589744</v>
      </c>
      <c r="AM73" s="3">
        <v>0</v>
      </c>
      <c r="AN73" s="4">
        <f t="shared" ref="AN73" si="111">+AL73-AM73</f>
        <v>5450.874743589744</v>
      </c>
      <c r="AO73" s="1">
        <f t="shared" si="50"/>
        <v>1009.6153846153846</v>
      </c>
      <c r="AP73" s="34">
        <v>20</v>
      </c>
      <c r="AQ73" s="46">
        <f t="shared" ref="AQ73" si="112">AE73+AO73</f>
        <v>7106.2820512820517</v>
      </c>
    </row>
    <row r="74" spans="1:43" customFormat="1" x14ac:dyDescent="0.35">
      <c r="A74" s="37" t="s">
        <v>190</v>
      </c>
      <c r="B74" s="37" t="s">
        <v>335</v>
      </c>
      <c r="C74" s="53" t="s">
        <v>348</v>
      </c>
      <c r="D74" s="51" t="s">
        <v>37</v>
      </c>
      <c r="E74" s="55" t="s">
        <v>344</v>
      </c>
      <c r="F74" s="63" t="s">
        <v>351</v>
      </c>
      <c r="G74" s="58" t="s">
        <v>189</v>
      </c>
      <c r="H74" s="59">
        <v>4000</v>
      </c>
      <c r="I74" s="59">
        <v>3000</v>
      </c>
      <c r="J74" s="24"/>
      <c r="K74" s="60">
        <v>0.61</v>
      </c>
      <c r="L74" s="9">
        <f t="shared" si="81"/>
        <v>1830</v>
      </c>
      <c r="M74" s="9">
        <v>0</v>
      </c>
      <c r="N74" s="9">
        <f t="shared" si="82"/>
        <v>30</v>
      </c>
      <c r="O74" s="9">
        <f t="shared" si="83"/>
        <v>0</v>
      </c>
      <c r="P74" s="10">
        <f t="shared" si="84"/>
        <v>133.33333333333334</v>
      </c>
      <c r="Q74" s="10">
        <f t="shared" si="85"/>
        <v>61</v>
      </c>
      <c r="R74" s="10">
        <f t="shared" ref="R74:R82" si="113">Q74+P74</f>
        <v>194.33333333333334</v>
      </c>
      <c r="S74" s="10">
        <f t="shared" si="86"/>
        <v>16.666666666666668</v>
      </c>
      <c r="T74" s="9">
        <v>16</v>
      </c>
      <c r="U74" s="9">
        <f t="shared" si="87"/>
        <v>266.66666666666669</v>
      </c>
      <c r="V74" s="9">
        <v>0</v>
      </c>
      <c r="W74" s="15">
        <f t="shared" si="88"/>
        <v>6096.666666666667</v>
      </c>
      <c r="X74" s="23">
        <v>0</v>
      </c>
      <c r="Y74" s="23">
        <f t="shared" si="89"/>
        <v>0</v>
      </c>
      <c r="Z74" s="31">
        <v>0</v>
      </c>
      <c r="AA74" s="23">
        <f t="shared" si="90"/>
        <v>0</v>
      </c>
      <c r="AB74" s="23">
        <v>0</v>
      </c>
      <c r="AC74" s="23">
        <f t="shared" si="91"/>
        <v>0</v>
      </c>
      <c r="AD74" s="11">
        <f t="shared" si="92"/>
        <v>0</v>
      </c>
      <c r="AE74" s="4">
        <f t="shared" si="93"/>
        <v>6096.666666666667</v>
      </c>
      <c r="AF74" s="3">
        <f t="shared" si="77"/>
        <v>5384.6153846153848</v>
      </c>
      <c r="AG74" s="3">
        <f t="shared" si="57"/>
        <v>592.30769230769238</v>
      </c>
      <c r="AH74" s="1">
        <v>1666.6666666666667</v>
      </c>
      <c r="AI74" s="1">
        <f t="shared" si="58"/>
        <v>46052.307692307688</v>
      </c>
      <c r="AJ74" s="1">
        <f t="shared" si="59"/>
        <v>50.435897435897402</v>
      </c>
      <c r="AK74" s="3">
        <f t="shared" si="60"/>
        <v>3.0483333333333333</v>
      </c>
      <c r="AL74" s="4">
        <f t="shared" si="94"/>
        <v>5450.874743589744</v>
      </c>
      <c r="AM74" s="3">
        <v>0</v>
      </c>
      <c r="AN74" s="4">
        <f t="shared" si="95"/>
        <v>5450.874743589744</v>
      </c>
      <c r="AO74" s="1">
        <f t="shared" ref="AO74:AO82" si="114">+AF74*0.1875</f>
        <v>1009.6153846153846</v>
      </c>
      <c r="AP74" s="34">
        <v>21</v>
      </c>
      <c r="AQ74" s="46">
        <f t="shared" si="96"/>
        <v>7106.2820512820517</v>
      </c>
    </row>
    <row r="75" spans="1:43" customFormat="1" x14ac:dyDescent="0.35">
      <c r="A75" s="37" t="s">
        <v>190</v>
      </c>
      <c r="B75" s="37" t="s">
        <v>336</v>
      </c>
      <c r="C75" s="53" t="s">
        <v>349</v>
      </c>
      <c r="D75" s="51" t="s">
        <v>37</v>
      </c>
      <c r="E75" s="55" t="s">
        <v>345</v>
      </c>
      <c r="F75" s="63" t="s">
        <v>352</v>
      </c>
      <c r="G75" s="58" t="s">
        <v>46</v>
      </c>
      <c r="H75" s="59">
        <v>5500</v>
      </c>
      <c r="I75" s="59">
        <v>0</v>
      </c>
      <c r="J75" s="24"/>
      <c r="K75" s="60">
        <v>0.61</v>
      </c>
      <c r="L75" s="9">
        <f t="shared" si="81"/>
        <v>0</v>
      </c>
      <c r="M75" s="9">
        <v>0</v>
      </c>
      <c r="N75" s="9">
        <f t="shared" si="82"/>
        <v>30</v>
      </c>
      <c r="O75" s="9">
        <f t="shared" si="83"/>
        <v>0</v>
      </c>
      <c r="P75" s="10">
        <f t="shared" si="84"/>
        <v>183.33333333333334</v>
      </c>
      <c r="Q75" s="10">
        <f t="shared" si="85"/>
        <v>0</v>
      </c>
      <c r="R75" s="10">
        <f t="shared" si="113"/>
        <v>183.33333333333334</v>
      </c>
      <c r="S75" s="10">
        <f t="shared" si="86"/>
        <v>22.916666666666668</v>
      </c>
      <c r="T75" s="9">
        <v>16</v>
      </c>
      <c r="U75" s="9">
        <f t="shared" si="87"/>
        <v>366.66666666666669</v>
      </c>
      <c r="V75" s="9">
        <v>0</v>
      </c>
      <c r="W75" s="15">
        <f t="shared" si="88"/>
        <v>5866.666666666667</v>
      </c>
      <c r="X75" s="23">
        <v>0</v>
      </c>
      <c r="Y75" s="23">
        <f t="shared" si="89"/>
        <v>0</v>
      </c>
      <c r="Z75" s="31">
        <v>2</v>
      </c>
      <c r="AA75" s="23">
        <f t="shared" si="90"/>
        <v>366.66666666666669</v>
      </c>
      <c r="AB75" s="23">
        <v>0</v>
      </c>
      <c r="AC75" s="23">
        <f t="shared" si="91"/>
        <v>0</v>
      </c>
      <c r="AD75" s="11">
        <f t="shared" si="92"/>
        <v>366.66666666666669</v>
      </c>
      <c r="AE75" s="4">
        <f t="shared" si="93"/>
        <v>5500</v>
      </c>
      <c r="AF75" s="3"/>
      <c r="AG75" s="3">
        <f t="shared" si="57"/>
        <v>0</v>
      </c>
      <c r="AH75" s="1">
        <v>1666.6666666666667</v>
      </c>
      <c r="AI75" s="1">
        <f t="shared" si="58"/>
        <v>46000</v>
      </c>
      <c r="AJ75" s="1">
        <f t="shared" si="59"/>
        <v>50</v>
      </c>
      <c r="AK75" s="3">
        <f t="shared" si="60"/>
        <v>2.75</v>
      </c>
      <c r="AL75" s="4">
        <f t="shared" si="94"/>
        <v>5447.25</v>
      </c>
      <c r="AM75" s="3">
        <v>0</v>
      </c>
      <c r="AN75" s="4">
        <f t="shared" si="95"/>
        <v>5447.25</v>
      </c>
      <c r="AO75" s="1">
        <f t="shared" si="114"/>
        <v>0</v>
      </c>
      <c r="AP75" s="34">
        <v>21</v>
      </c>
      <c r="AQ75" s="46">
        <f t="shared" si="96"/>
        <v>5500</v>
      </c>
    </row>
    <row r="76" spans="1:43" customFormat="1" x14ac:dyDescent="0.35">
      <c r="A76" s="37" t="s">
        <v>190</v>
      </c>
      <c r="B76" s="37" t="s">
        <v>337</v>
      </c>
      <c r="C76" s="53" t="s">
        <v>365</v>
      </c>
      <c r="D76" s="51" t="s">
        <v>37</v>
      </c>
      <c r="E76" s="55" t="s">
        <v>346</v>
      </c>
      <c r="F76" s="63" t="s">
        <v>379</v>
      </c>
      <c r="G76" s="58" t="s">
        <v>189</v>
      </c>
      <c r="H76" s="59">
        <v>4000</v>
      </c>
      <c r="I76" s="59">
        <v>3000</v>
      </c>
      <c r="J76" s="24"/>
      <c r="K76" s="60">
        <v>0.61</v>
      </c>
      <c r="L76" s="9">
        <f t="shared" si="81"/>
        <v>1830</v>
      </c>
      <c r="M76" s="9">
        <v>0</v>
      </c>
      <c r="N76" s="9">
        <f t="shared" si="82"/>
        <v>30</v>
      </c>
      <c r="O76" s="9">
        <f t="shared" si="83"/>
        <v>0</v>
      </c>
      <c r="P76" s="10">
        <f t="shared" si="84"/>
        <v>133.33333333333334</v>
      </c>
      <c r="Q76" s="10">
        <f t="shared" si="85"/>
        <v>61</v>
      </c>
      <c r="R76" s="10">
        <f t="shared" si="113"/>
        <v>194.33333333333334</v>
      </c>
      <c r="S76" s="10">
        <f t="shared" si="86"/>
        <v>16.666666666666668</v>
      </c>
      <c r="T76" s="9">
        <v>16</v>
      </c>
      <c r="U76" s="9">
        <f t="shared" si="87"/>
        <v>266.66666666666669</v>
      </c>
      <c r="V76" s="9">
        <v>0</v>
      </c>
      <c r="W76" s="15">
        <f t="shared" si="88"/>
        <v>6096.666666666667</v>
      </c>
      <c r="X76" s="23">
        <v>0</v>
      </c>
      <c r="Y76" s="23">
        <f t="shared" si="89"/>
        <v>0</v>
      </c>
      <c r="Z76" s="31">
        <v>0</v>
      </c>
      <c r="AA76" s="23">
        <f t="shared" si="90"/>
        <v>0</v>
      </c>
      <c r="AB76" s="23">
        <v>0</v>
      </c>
      <c r="AC76" s="23">
        <f t="shared" si="91"/>
        <v>0</v>
      </c>
      <c r="AD76" s="11">
        <f t="shared" si="92"/>
        <v>0</v>
      </c>
      <c r="AE76" s="4">
        <f t="shared" si="93"/>
        <v>6096.666666666667</v>
      </c>
      <c r="AF76" s="3">
        <f t="shared" si="77"/>
        <v>5384.6153846153848</v>
      </c>
      <c r="AG76" s="3">
        <f t="shared" si="57"/>
        <v>592.30769230769238</v>
      </c>
      <c r="AH76" s="1">
        <v>1666.6666666666667</v>
      </c>
      <c r="AI76" s="1">
        <f t="shared" si="58"/>
        <v>46052.307692307688</v>
      </c>
      <c r="AJ76" s="1">
        <f t="shared" si="59"/>
        <v>50.435897435897402</v>
      </c>
      <c r="AK76" s="3">
        <f t="shared" si="60"/>
        <v>3.0483333333333333</v>
      </c>
      <c r="AL76" s="4">
        <f t="shared" si="94"/>
        <v>5450.874743589744</v>
      </c>
      <c r="AM76" s="3">
        <v>0</v>
      </c>
      <c r="AN76" s="4">
        <f t="shared" si="95"/>
        <v>5450.874743589744</v>
      </c>
      <c r="AO76" s="1">
        <f t="shared" si="114"/>
        <v>1009.6153846153846</v>
      </c>
      <c r="AP76" s="34">
        <v>21</v>
      </c>
      <c r="AQ76" s="46">
        <f t="shared" si="96"/>
        <v>7106.2820512820517</v>
      </c>
    </row>
    <row r="77" spans="1:43" customFormat="1" x14ac:dyDescent="0.35">
      <c r="A77" s="37" t="s">
        <v>190</v>
      </c>
      <c r="B77" s="37" t="s">
        <v>338</v>
      </c>
      <c r="C77" s="53" t="s">
        <v>350</v>
      </c>
      <c r="D77" s="51" t="s">
        <v>37</v>
      </c>
      <c r="E77" s="55" t="s">
        <v>347</v>
      </c>
      <c r="F77" s="63" t="s">
        <v>378</v>
      </c>
      <c r="G77" s="58" t="s">
        <v>189</v>
      </c>
      <c r="H77" s="59">
        <v>4000</v>
      </c>
      <c r="I77" s="59">
        <v>3000</v>
      </c>
      <c r="J77" s="24"/>
      <c r="K77" s="60">
        <v>0.61</v>
      </c>
      <c r="L77" s="9">
        <f t="shared" si="81"/>
        <v>1830</v>
      </c>
      <c r="M77" s="9">
        <v>0</v>
      </c>
      <c r="N77" s="9">
        <f t="shared" si="82"/>
        <v>30</v>
      </c>
      <c r="O77" s="9">
        <f t="shared" si="83"/>
        <v>0</v>
      </c>
      <c r="P77" s="10">
        <f t="shared" si="84"/>
        <v>133.33333333333334</v>
      </c>
      <c r="Q77" s="10">
        <f t="shared" si="85"/>
        <v>61</v>
      </c>
      <c r="R77" s="10">
        <f t="shared" si="113"/>
        <v>194.33333333333334</v>
      </c>
      <c r="S77" s="10">
        <f t="shared" si="86"/>
        <v>16.666666666666668</v>
      </c>
      <c r="T77" s="9">
        <v>16</v>
      </c>
      <c r="U77" s="9">
        <f t="shared" si="87"/>
        <v>266.66666666666669</v>
      </c>
      <c r="V77" s="9">
        <v>0</v>
      </c>
      <c r="W77" s="15">
        <f t="shared" si="88"/>
        <v>6096.666666666667</v>
      </c>
      <c r="X77" s="23">
        <v>0</v>
      </c>
      <c r="Y77" s="23">
        <f t="shared" si="89"/>
        <v>0</v>
      </c>
      <c r="Z77" s="31">
        <v>0</v>
      </c>
      <c r="AA77" s="23">
        <f t="shared" si="90"/>
        <v>0</v>
      </c>
      <c r="AB77" s="23">
        <v>0</v>
      </c>
      <c r="AC77" s="23">
        <f t="shared" si="91"/>
        <v>0</v>
      </c>
      <c r="AD77" s="11">
        <f t="shared" si="92"/>
        <v>0</v>
      </c>
      <c r="AE77" s="4">
        <f t="shared" si="93"/>
        <v>6096.666666666667</v>
      </c>
      <c r="AF77" s="3">
        <f t="shared" si="77"/>
        <v>5384.6153846153848</v>
      </c>
      <c r="AG77" s="3">
        <f t="shared" si="57"/>
        <v>592.30769230769238</v>
      </c>
      <c r="AH77" s="1">
        <v>1666.6666666666667</v>
      </c>
      <c r="AI77" s="1">
        <f t="shared" si="58"/>
        <v>46052.307692307688</v>
      </c>
      <c r="AJ77" s="1">
        <f t="shared" si="59"/>
        <v>50.435897435897402</v>
      </c>
      <c r="AK77" s="3">
        <f t="shared" si="60"/>
        <v>3.0483333333333333</v>
      </c>
      <c r="AL77" s="4">
        <f t="shared" si="94"/>
        <v>5450.874743589744</v>
      </c>
      <c r="AM77" s="3">
        <v>0</v>
      </c>
      <c r="AN77" s="4">
        <f t="shared" si="95"/>
        <v>5450.874743589744</v>
      </c>
      <c r="AO77" s="1">
        <f t="shared" si="114"/>
        <v>1009.6153846153846</v>
      </c>
      <c r="AP77" s="34">
        <v>21</v>
      </c>
      <c r="AQ77" s="46">
        <f t="shared" si="96"/>
        <v>7106.2820512820517</v>
      </c>
    </row>
    <row r="78" spans="1:43" customFormat="1" x14ac:dyDescent="0.35">
      <c r="A78" s="37" t="s">
        <v>190</v>
      </c>
      <c r="B78" s="37" t="s">
        <v>339</v>
      </c>
      <c r="C78" s="53" t="s">
        <v>366</v>
      </c>
      <c r="D78" s="51" t="s">
        <v>37</v>
      </c>
      <c r="E78" s="55" t="s">
        <v>357</v>
      </c>
      <c r="F78" s="63" t="s">
        <v>377</v>
      </c>
      <c r="G78" s="58" t="s">
        <v>189</v>
      </c>
      <c r="H78" s="59">
        <v>4000</v>
      </c>
      <c r="I78" s="59">
        <v>3000</v>
      </c>
      <c r="J78" s="24"/>
      <c r="K78" s="60">
        <v>0.61</v>
      </c>
      <c r="L78" s="9">
        <f t="shared" si="81"/>
        <v>1830</v>
      </c>
      <c r="M78" s="9">
        <v>0</v>
      </c>
      <c r="N78" s="9">
        <f t="shared" si="82"/>
        <v>24</v>
      </c>
      <c r="O78" s="9">
        <f t="shared" si="83"/>
        <v>0</v>
      </c>
      <c r="P78" s="10">
        <f t="shared" si="84"/>
        <v>133.33333333333334</v>
      </c>
      <c r="Q78" s="10">
        <f t="shared" si="85"/>
        <v>61</v>
      </c>
      <c r="R78" s="10">
        <f t="shared" si="113"/>
        <v>194.33333333333334</v>
      </c>
      <c r="S78" s="10">
        <f t="shared" si="86"/>
        <v>16.666666666666668</v>
      </c>
      <c r="T78" s="9">
        <v>0</v>
      </c>
      <c r="U78" s="9">
        <f t="shared" si="87"/>
        <v>0</v>
      </c>
      <c r="V78" s="9">
        <v>0</v>
      </c>
      <c r="W78" s="15">
        <f t="shared" si="88"/>
        <v>5830</v>
      </c>
      <c r="X78" s="23">
        <v>6</v>
      </c>
      <c r="Y78" s="23">
        <f t="shared" si="89"/>
        <v>1166</v>
      </c>
      <c r="Z78" s="31">
        <v>0</v>
      </c>
      <c r="AA78" s="23">
        <f t="shared" si="90"/>
        <v>0</v>
      </c>
      <c r="AB78" s="23">
        <v>0</v>
      </c>
      <c r="AC78" s="23">
        <f t="shared" si="91"/>
        <v>0</v>
      </c>
      <c r="AD78" s="11">
        <f t="shared" si="92"/>
        <v>1166</v>
      </c>
      <c r="AE78" s="4">
        <f t="shared" si="93"/>
        <v>4664</v>
      </c>
      <c r="AF78" s="3">
        <f t="shared" si="77"/>
        <v>5384.6153846153848</v>
      </c>
      <c r="AG78" s="3">
        <f t="shared" si="57"/>
        <v>592.30769230769238</v>
      </c>
      <c r="AH78" s="1">
        <v>1666.6666666666667</v>
      </c>
      <c r="AI78" s="1">
        <f t="shared" si="58"/>
        <v>28860.307692307688</v>
      </c>
      <c r="AJ78" s="1">
        <f t="shared" si="59"/>
        <v>0</v>
      </c>
      <c r="AK78" s="3">
        <f t="shared" si="60"/>
        <v>2.3319999999999999</v>
      </c>
      <c r="AL78" s="4">
        <f t="shared" si="94"/>
        <v>4069.3603076923077</v>
      </c>
      <c r="AM78" s="3">
        <v>0</v>
      </c>
      <c r="AN78" s="4">
        <f t="shared" si="95"/>
        <v>4069.3603076923077</v>
      </c>
      <c r="AO78" s="1">
        <f t="shared" si="114"/>
        <v>1009.6153846153846</v>
      </c>
      <c r="AP78" s="34">
        <v>20</v>
      </c>
      <c r="AQ78" s="46">
        <f t="shared" si="96"/>
        <v>5673.6153846153848</v>
      </c>
    </row>
    <row r="79" spans="1:43" customFormat="1" x14ac:dyDescent="0.35">
      <c r="A79" s="37" t="s">
        <v>190</v>
      </c>
      <c r="B79" s="37" t="s">
        <v>340</v>
      </c>
      <c r="C79" s="53" t="s">
        <v>367</v>
      </c>
      <c r="D79" s="51" t="s">
        <v>37</v>
      </c>
      <c r="E79" s="55" t="s">
        <v>358</v>
      </c>
      <c r="F79" s="63" t="s">
        <v>376</v>
      </c>
      <c r="G79" s="58" t="s">
        <v>189</v>
      </c>
      <c r="H79" s="59">
        <v>4000</v>
      </c>
      <c r="I79" s="59">
        <v>3000</v>
      </c>
      <c r="J79" s="24"/>
      <c r="K79" s="60">
        <v>0.61</v>
      </c>
      <c r="L79" s="9">
        <f t="shared" si="81"/>
        <v>1830</v>
      </c>
      <c r="M79" s="9">
        <v>0</v>
      </c>
      <c r="N79" s="9">
        <f t="shared" si="82"/>
        <v>24</v>
      </c>
      <c r="O79" s="9">
        <f t="shared" si="83"/>
        <v>0</v>
      </c>
      <c r="P79" s="10">
        <f t="shared" si="84"/>
        <v>133.33333333333334</v>
      </c>
      <c r="Q79" s="10">
        <f t="shared" si="85"/>
        <v>61</v>
      </c>
      <c r="R79" s="10">
        <f t="shared" si="113"/>
        <v>194.33333333333334</v>
      </c>
      <c r="S79" s="10">
        <f t="shared" si="86"/>
        <v>16.666666666666668</v>
      </c>
      <c r="T79" s="9">
        <v>0</v>
      </c>
      <c r="U79" s="9">
        <f t="shared" si="87"/>
        <v>0</v>
      </c>
      <c r="V79" s="9">
        <v>0</v>
      </c>
      <c r="W79" s="15">
        <f t="shared" si="88"/>
        <v>5830</v>
      </c>
      <c r="X79" s="23">
        <v>6</v>
      </c>
      <c r="Y79" s="23">
        <f t="shared" si="89"/>
        <v>1166</v>
      </c>
      <c r="Z79" s="31">
        <v>0</v>
      </c>
      <c r="AA79" s="23">
        <f t="shared" si="90"/>
        <v>0</v>
      </c>
      <c r="AB79" s="23">
        <v>0</v>
      </c>
      <c r="AC79" s="23">
        <f t="shared" si="91"/>
        <v>0</v>
      </c>
      <c r="AD79" s="11">
        <f t="shared" si="92"/>
        <v>1166</v>
      </c>
      <c r="AE79" s="4">
        <f t="shared" si="93"/>
        <v>4664</v>
      </c>
      <c r="AF79" s="3">
        <f t="shared" si="77"/>
        <v>5384.6153846153848</v>
      </c>
      <c r="AG79" s="3">
        <f t="shared" si="57"/>
        <v>592.30769230769238</v>
      </c>
      <c r="AH79" s="1">
        <v>1666.6666666666667</v>
      </c>
      <c r="AI79" s="1">
        <f t="shared" si="58"/>
        <v>28860.307692307688</v>
      </c>
      <c r="AJ79" s="1">
        <f t="shared" si="59"/>
        <v>0</v>
      </c>
      <c r="AK79" s="3">
        <f t="shared" si="60"/>
        <v>2.3319999999999999</v>
      </c>
      <c r="AL79" s="4">
        <f t="shared" si="94"/>
        <v>4069.3603076923077</v>
      </c>
      <c r="AM79" s="3">
        <v>0</v>
      </c>
      <c r="AN79" s="4">
        <f t="shared" si="95"/>
        <v>4069.3603076923077</v>
      </c>
      <c r="AO79" s="1">
        <f t="shared" si="114"/>
        <v>1009.6153846153846</v>
      </c>
      <c r="AP79" s="34">
        <v>20</v>
      </c>
      <c r="AQ79" s="46">
        <f t="shared" si="96"/>
        <v>5673.6153846153848</v>
      </c>
    </row>
    <row r="80" spans="1:43" customFormat="1" x14ac:dyDescent="0.35">
      <c r="A80" s="37" t="s">
        <v>190</v>
      </c>
      <c r="B80" s="37" t="s">
        <v>341</v>
      </c>
      <c r="C80" s="73" t="s">
        <v>368</v>
      </c>
      <c r="D80" s="51" t="s">
        <v>37</v>
      </c>
      <c r="E80" s="55" t="s">
        <v>359</v>
      </c>
      <c r="F80" s="63" t="s">
        <v>375</v>
      </c>
      <c r="G80" s="58" t="s">
        <v>46</v>
      </c>
      <c r="H80" s="59">
        <v>5500</v>
      </c>
      <c r="I80" s="59">
        <v>0</v>
      </c>
      <c r="J80" s="24"/>
      <c r="K80" s="60">
        <v>0.61</v>
      </c>
      <c r="L80" s="9">
        <f t="shared" si="81"/>
        <v>0</v>
      </c>
      <c r="M80" s="9">
        <v>0</v>
      </c>
      <c r="N80" s="9">
        <f t="shared" si="82"/>
        <v>21</v>
      </c>
      <c r="O80" s="9">
        <f t="shared" si="83"/>
        <v>0</v>
      </c>
      <c r="P80" s="10">
        <f t="shared" si="84"/>
        <v>183.33333333333334</v>
      </c>
      <c r="Q80" s="10">
        <f t="shared" si="85"/>
        <v>0</v>
      </c>
      <c r="R80" s="10">
        <f t="shared" si="113"/>
        <v>183.33333333333334</v>
      </c>
      <c r="S80" s="10">
        <f t="shared" si="86"/>
        <v>22.916666666666668</v>
      </c>
      <c r="T80" s="9">
        <v>0</v>
      </c>
      <c r="U80" s="9">
        <f t="shared" si="87"/>
        <v>0</v>
      </c>
      <c r="V80" s="9">
        <v>0</v>
      </c>
      <c r="W80" s="15">
        <f t="shared" si="88"/>
        <v>5500</v>
      </c>
      <c r="X80" s="23">
        <v>9</v>
      </c>
      <c r="Y80" s="23">
        <f t="shared" si="89"/>
        <v>1650</v>
      </c>
      <c r="Z80" s="31">
        <v>0</v>
      </c>
      <c r="AA80" s="23">
        <f t="shared" si="90"/>
        <v>0</v>
      </c>
      <c r="AB80" s="23">
        <v>0</v>
      </c>
      <c r="AC80" s="23">
        <f t="shared" si="91"/>
        <v>0</v>
      </c>
      <c r="AD80" s="11">
        <f t="shared" si="92"/>
        <v>1650</v>
      </c>
      <c r="AE80" s="4">
        <f t="shared" si="93"/>
        <v>3850</v>
      </c>
      <c r="AF80" s="3"/>
      <c r="AG80" s="3">
        <f t="shared" si="57"/>
        <v>0</v>
      </c>
      <c r="AH80" s="1">
        <v>1666.6666666666667</v>
      </c>
      <c r="AI80" s="1">
        <f t="shared" si="58"/>
        <v>26199.999999999996</v>
      </c>
      <c r="AJ80" s="1">
        <f t="shared" si="59"/>
        <v>0</v>
      </c>
      <c r="AK80" s="3">
        <f t="shared" si="60"/>
        <v>1.925</v>
      </c>
      <c r="AL80" s="4">
        <f t="shared" si="94"/>
        <v>3848.0749999999998</v>
      </c>
      <c r="AM80" s="3">
        <v>0</v>
      </c>
      <c r="AN80" s="4">
        <f t="shared" si="95"/>
        <v>3848.0749999999998</v>
      </c>
      <c r="AO80" s="1">
        <f t="shared" si="114"/>
        <v>0</v>
      </c>
      <c r="AP80" s="34">
        <v>21</v>
      </c>
      <c r="AQ80" s="46">
        <f t="shared" si="96"/>
        <v>3850</v>
      </c>
    </row>
    <row r="81" spans="1:43" customFormat="1" x14ac:dyDescent="0.35">
      <c r="A81" s="37" t="s">
        <v>190</v>
      </c>
      <c r="B81" s="37" t="s">
        <v>342</v>
      </c>
      <c r="C81" s="53" t="s">
        <v>369</v>
      </c>
      <c r="D81" s="51" t="s">
        <v>37</v>
      </c>
      <c r="E81" s="55" t="s">
        <v>360</v>
      </c>
      <c r="F81" s="63" t="s">
        <v>374</v>
      </c>
      <c r="G81" s="58" t="s">
        <v>46</v>
      </c>
      <c r="H81" s="59">
        <v>5500</v>
      </c>
      <c r="I81" s="59">
        <v>0</v>
      </c>
      <c r="J81" s="24"/>
      <c r="K81" s="60">
        <v>0.61</v>
      </c>
      <c r="L81" s="9">
        <f t="shared" si="81"/>
        <v>0</v>
      </c>
      <c r="M81" s="9">
        <v>0</v>
      </c>
      <c r="N81" s="9">
        <f t="shared" si="82"/>
        <v>22</v>
      </c>
      <c r="O81" s="9">
        <f t="shared" si="83"/>
        <v>0</v>
      </c>
      <c r="P81" s="10">
        <f t="shared" si="84"/>
        <v>183.33333333333334</v>
      </c>
      <c r="Q81" s="10">
        <f t="shared" si="85"/>
        <v>0</v>
      </c>
      <c r="R81" s="10">
        <f t="shared" si="113"/>
        <v>183.33333333333334</v>
      </c>
      <c r="S81" s="10">
        <f t="shared" si="86"/>
        <v>22.916666666666668</v>
      </c>
      <c r="T81" s="9">
        <v>0</v>
      </c>
      <c r="U81" s="9">
        <f t="shared" si="87"/>
        <v>0</v>
      </c>
      <c r="V81" s="9">
        <v>0</v>
      </c>
      <c r="W81" s="15">
        <f t="shared" si="88"/>
        <v>5500</v>
      </c>
      <c r="X81" s="23">
        <v>8</v>
      </c>
      <c r="Y81" s="23">
        <f t="shared" si="89"/>
        <v>1466.6666666666667</v>
      </c>
      <c r="Z81" s="31">
        <v>0</v>
      </c>
      <c r="AA81" s="23">
        <f t="shared" si="90"/>
        <v>0</v>
      </c>
      <c r="AB81" s="23">
        <v>0</v>
      </c>
      <c r="AC81" s="23">
        <f t="shared" si="91"/>
        <v>0</v>
      </c>
      <c r="AD81" s="11">
        <f t="shared" si="92"/>
        <v>1466.6666666666667</v>
      </c>
      <c r="AE81" s="4">
        <f t="shared" si="93"/>
        <v>4033.333333333333</v>
      </c>
      <c r="AF81" s="3"/>
      <c r="AG81" s="3">
        <f t="shared" si="57"/>
        <v>0</v>
      </c>
      <c r="AH81" s="1">
        <v>1666.6666666666667</v>
      </c>
      <c r="AI81" s="1">
        <f t="shared" si="58"/>
        <v>28399.999999999993</v>
      </c>
      <c r="AJ81" s="1">
        <f t="shared" si="59"/>
        <v>0</v>
      </c>
      <c r="AK81" s="3">
        <f t="shared" si="60"/>
        <v>2.0166666666666666</v>
      </c>
      <c r="AL81" s="4">
        <f t="shared" si="94"/>
        <v>4031.3166666666662</v>
      </c>
      <c r="AM81" s="3">
        <v>0</v>
      </c>
      <c r="AN81" s="4">
        <f t="shared" si="95"/>
        <v>4031.3166666666662</v>
      </c>
      <c r="AO81" s="1">
        <f t="shared" si="114"/>
        <v>0</v>
      </c>
      <c r="AP81" s="34">
        <v>21</v>
      </c>
      <c r="AQ81" s="46">
        <f t="shared" si="96"/>
        <v>4033.333333333333</v>
      </c>
    </row>
    <row r="82" spans="1:43" customFormat="1" x14ac:dyDescent="0.35">
      <c r="A82" s="37" t="s">
        <v>190</v>
      </c>
      <c r="B82" s="37" t="s">
        <v>343</v>
      </c>
      <c r="C82" s="73" t="s">
        <v>368</v>
      </c>
      <c r="D82" s="51" t="s">
        <v>37</v>
      </c>
      <c r="E82" s="55" t="s">
        <v>361</v>
      </c>
      <c r="F82" s="63" t="s">
        <v>370</v>
      </c>
      <c r="G82" s="58" t="s">
        <v>46</v>
      </c>
      <c r="H82" s="59">
        <v>5500</v>
      </c>
      <c r="I82" s="59">
        <v>0</v>
      </c>
      <c r="J82" s="24"/>
      <c r="K82" s="60">
        <v>0.61</v>
      </c>
      <c r="L82" s="9">
        <f t="shared" si="81"/>
        <v>0</v>
      </c>
      <c r="M82" s="9">
        <v>0</v>
      </c>
      <c r="N82" s="9">
        <f t="shared" si="82"/>
        <v>17</v>
      </c>
      <c r="O82" s="9">
        <f t="shared" si="83"/>
        <v>0</v>
      </c>
      <c r="P82" s="10">
        <f t="shared" si="84"/>
        <v>183.33333333333334</v>
      </c>
      <c r="Q82" s="10">
        <f t="shared" si="85"/>
        <v>0</v>
      </c>
      <c r="R82" s="10">
        <f t="shared" si="113"/>
        <v>183.33333333333334</v>
      </c>
      <c r="S82" s="10">
        <f t="shared" si="86"/>
        <v>22.916666666666668</v>
      </c>
      <c r="T82" s="9">
        <v>0</v>
      </c>
      <c r="U82" s="9">
        <f t="shared" si="87"/>
        <v>0</v>
      </c>
      <c r="V82" s="9">
        <v>0</v>
      </c>
      <c r="W82" s="15">
        <f t="shared" si="88"/>
        <v>5500</v>
      </c>
      <c r="X82" s="23">
        <v>13</v>
      </c>
      <c r="Y82" s="23">
        <f t="shared" si="89"/>
        <v>2383.3333333333335</v>
      </c>
      <c r="Z82" s="31">
        <v>0</v>
      </c>
      <c r="AA82" s="23">
        <f t="shared" si="90"/>
        <v>0</v>
      </c>
      <c r="AB82" s="23">
        <v>0</v>
      </c>
      <c r="AC82" s="23">
        <f t="shared" si="91"/>
        <v>0</v>
      </c>
      <c r="AD82" s="11">
        <f t="shared" si="92"/>
        <v>2383.3333333333335</v>
      </c>
      <c r="AE82" s="4">
        <f t="shared" si="93"/>
        <v>3116.6666666666665</v>
      </c>
      <c r="AF82" s="3"/>
      <c r="AG82" s="3">
        <f t="shared" si="57"/>
        <v>0</v>
      </c>
      <c r="AH82" s="1">
        <v>1666.6666666666667</v>
      </c>
      <c r="AI82" s="1">
        <f t="shared" si="58"/>
        <v>17399.999999999996</v>
      </c>
      <c r="AJ82" s="1">
        <f t="shared" si="59"/>
        <v>0</v>
      </c>
      <c r="AK82" s="3">
        <f t="shared" si="60"/>
        <v>1.5583333333333333</v>
      </c>
      <c r="AL82" s="4">
        <f t="shared" si="94"/>
        <v>3115.1083333333331</v>
      </c>
      <c r="AM82" s="3">
        <v>0</v>
      </c>
      <c r="AN82" s="4">
        <f t="shared" si="95"/>
        <v>3115.1083333333331</v>
      </c>
      <c r="AO82" s="1">
        <f t="shared" si="114"/>
        <v>0</v>
      </c>
      <c r="AP82" s="34">
        <v>21</v>
      </c>
      <c r="AQ82" s="46">
        <f t="shared" si="96"/>
        <v>3116.6666666666665</v>
      </c>
    </row>
    <row r="83" spans="1:43" s="13" customFormat="1" ht="18.5" x14ac:dyDescent="0.35">
      <c r="A83" s="71" t="s">
        <v>1</v>
      </c>
      <c r="B83" s="72"/>
      <c r="C83" s="72"/>
      <c r="D83" s="72"/>
      <c r="E83" s="72"/>
      <c r="F83" s="48"/>
      <c r="G83" s="49"/>
      <c r="H83" s="25">
        <f>SUM(H3:H82)</f>
        <v>334500</v>
      </c>
      <c r="I83" s="25">
        <f>SUM(I3:I82)</f>
        <v>225000</v>
      </c>
      <c r="J83" s="25">
        <f>SUM(J3:J82)</f>
        <v>0</v>
      </c>
      <c r="K83" s="43"/>
      <c r="L83" s="12">
        <f>SUM(L3:L82)</f>
        <v>137250</v>
      </c>
      <c r="M83" s="12"/>
      <c r="N83" s="12"/>
      <c r="O83" s="12">
        <f>SUM(O3:O82)</f>
        <v>0</v>
      </c>
      <c r="P83" s="12"/>
      <c r="Q83" s="12"/>
      <c r="R83" s="12"/>
      <c r="S83" s="12"/>
      <c r="T83" s="12">
        <f t="shared" ref="T83:AG83" si="115">SUM(T3:T82)</f>
        <v>1152</v>
      </c>
      <c r="U83" s="12">
        <f t="shared" si="115"/>
        <v>19833.333333333332</v>
      </c>
      <c r="V83" s="12">
        <f t="shared" si="115"/>
        <v>0</v>
      </c>
      <c r="W83" s="12">
        <f t="shared" si="115"/>
        <v>491583.33333333372</v>
      </c>
      <c r="X83" s="25">
        <f t="shared" si="115"/>
        <v>42</v>
      </c>
      <c r="Y83" s="25">
        <f t="shared" si="115"/>
        <v>7832</v>
      </c>
      <c r="Z83" s="25">
        <f t="shared" si="115"/>
        <v>5</v>
      </c>
      <c r="AA83" s="25">
        <f t="shared" si="115"/>
        <v>916.66666666666674</v>
      </c>
      <c r="AB83" s="25">
        <f t="shared" si="115"/>
        <v>0</v>
      </c>
      <c r="AC83" s="25">
        <f t="shared" si="115"/>
        <v>0</v>
      </c>
      <c r="AD83" s="12">
        <f t="shared" si="115"/>
        <v>8748.6666666666679</v>
      </c>
      <c r="AE83" s="12">
        <f t="shared" si="115"/>
        <v>482834.66666666704</v>
      </c>
      <c r="AF83" s="12">
        <f t="shared" si="115"/>
        <v>403846.15384615347</v>
      </c>
      <c r="AG83" s="12">
        <f t="shared" si="115"/>
        <v>44423.076923076944</v>
      </c>
      <c r="AH83" s="12"/>
      <c r="AI83" s="12"/>
      <c r="AJ83" s="12">
        <f t="shared" ref="AJ83:AO83" si="116">SUM(AJ3:AJ82)</f>
        <v>4426.8205128205145</v>
      </c>
      <c r="AK83" s="12">
        <f t="shared" si="116"/>
        <v>241.41733333333363</v>
      </c>
      <c r="AL83" s="12">
        <f t="shared" si="116"/>
        <v>433743.35189743567</v>
      </c>
      <c r="AM83" s="12">
        <f t="shared" si="116"/>
        <v>0</v>
      </c>
      <c r="AN83" s="32">
        <f t="shared" si="116"/>
        <v>433743.35189743567</v>
      </c>
      <c r="AO83" s="12">
        <f t="shared" si="116"/>
        <v>75721.153846153829</v>
      </c>
      <c r="AP83" s="35"/>
      <c r="AQ83" s="32">
        <f>SUM(AQ3:AQ82)</f>
        <v>558555.82051282073</v>
      </c>
    </row>
    <row r="84" spans="1:43" x14ac:dyDescent="0.35">
      <c r="P84" s="2"/>
      <c r="AQ84" s="2"/>
    </row>
    <row r="85" spans="1:43" x14ac:dyDescent="0.35">
      <c r="P85" s="2"/>
      <c r="AP85" s="64" t="s">
        <v>373</v>
      </c>
      <c r="AQ85" s="2"/>
    </row>
    <row r="86" spans="1:43" ht="21" x14ac:dyDescent="0.35">
      <c r="A86" s="68" t="s">
        <v>27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</row>
    <row r="87" spans="1:43" x14ac:dyDescent="0.35">
      <c r="A87" s="37" t="s">
        <v>190</v>
      </c>
      <c r="B87" s="37" t="s">
        <v>371</v>
      </c>
      <c r="C87" s="50" t="s">
        <v>144</v>
      </c>
      <c r="D87" s="54" t="s">
        <v>47</v>
      </c>
      <c r="E87" s="56" t="s">
        <v>73</v>
      </c>
      <c r="F87" s="62" t="s">
        <v>216</v>
      </c>
      <c r="G87" s="58" t="s">
        <v>189</v>
      </c>
      <c r="H87" s="59">
        <v>4000</v>
      </c>
      <c r="I87" s="59">
        <v>3000</v>
      </c>
      <c r="J87" s="24"/>
      <c r="K87" s="60">
        <v>0.61</v>
      </c>
      <c r="L87" s="9">
        <f>+I87*K87</f>
        <v>1830</v>
      </c>
      <c r="M87" s="9">
        <v>0</v>
      </c>
      <c r="N87" s="9">
        <f>30-X87</f>
        <v>19</v>
      </c>
      <c r="O87" s="9">
        <f>M87*N87</f>
        <v>0</v>
      </c>
      <c r="P87" s="10">
        <f>H87/30</f>
        <v>133.33333333333334</v>
      </c>
      <c r="Q87" s="10">
        <f>L87/30</f>
        <v>61</v>
      </c>
      <c r="R87" s="10">
        <f>Q87+P87</f>
        <v>194.33333333333334</v>
      </c>
      <c r="S87" s="10">
        <f>+P87/8</f>
        <v>16.666666666666668</v>
      </c>
      <c r="T87" s="9">
        <v>16</v>
      </c>
      <c r="U87" s="9">
        <f>+S87*T87</f>
        <v>266.66666666666669</v>
      </c>
      <c r="V87" s="9">
        <v>0</v>
      </c>
      <c r="W87" s="15">
        <f>H87+L87+O87+U87+V87+J87</f>
        <v>6096.666666666667</v>
      </c>
      <c r="X87" s="23">
        <v>11</v>
      </c>
      <c r="Y87" s="23">
        <f>R87*X87</f>
        <v>2137.666666666667</v>
      </c>
      <c r="Z87" s="31">
        <v>0</v>
      </c>
      <c r="AA87" s="23">
        <f>P87*Z87</f>
        <v>0</v>
      </c>
      <c r="AB87" s="23">
        <v>0</v>
      </c>
      <c r="AC87" s="23">
        <f>Q87*AB87</f>
        <v>0</v>
      </c>
      <c r="AD87" s="11">
        <f>Y87+AA87+AC87</f>
        <v>2137.666666666667</v>
      </c>
      <c r="AE87" s="4">
        <f>W87-AD87</f>
        <v>3959</v>
      </c>
      <c r="AF87" s="3"/>
      <c r="AG87" s="3">
        <f>+AF87*0.11</f>
        <v>0</v>
      </c>
      <c r="AH87" s="1">
        <v>1666.6666666666667</v>
      </c>
      <c r="AI87" s="1">
        <f>(AE87-AG87-AH87)*12</f>
        <v>27507.999999999996</v>
      </c>
      <c r="AJ87" s="1">
        <f>IF(AND(AI87&gt;40000,AI87&lt;=55000),(AI87-40000)*10%,
IF(AND(AI87&gt;55000,AI87&lt;=70000),(AI87-55000)*15%+15000*10%,
IF(AND(AI87&gt;70000,AI87&lt;=200000),(AI87-70000)*20%+15000*10%+15000*15%,
IF(AND(AI87&gt;200000,AI87&lt;=400000),(AI87-200000)*22.5%+15000*10%+15000*15%+130000*20%,
IF(AND(AI87&gt;400000,AI87&lt;=600000),(AI87-400000)*25%+15000*10%+15000*15%+130000*20%+200000*22.5%,
IF(AND(AI87&gt;600000,AI87&lt;=700000),(AI87-400000)*25%+55000*10%+15000*15%+130000*20%+200000*22.5%,
IF(AND(AI87&gt;700000,AI87&lt;=800000),(AI87-400000)*25%+70000*15%+130000*20%+200000*22.5%,
IF(AND(AI87&gt;800000,AI87&lt;=900000),(AI87-400000)*25%+200000*20%+200000*22.5%,
IF(AND(AI87&gt;900000,AI87&lt;=1200000),(AI87-400000)*25%+400000*22.5%,
IF(AI87&gt;1200000,(AI87-1200000)*27.5%+1200000*25%))))))))))/12</f>
        <v>0</v>
      </c>
      <c r="AK87" s="3">
        <f>+AE87*0.0005</f>
        <v>1.9795</v>
      </c>
      <c r="AL87" s="4">
        <f>+AE87-AG87-AJ87-AK87</f>
        <v>3957.0205000000001</v>
      </c>
      <c r="AM87" s="3">
        <v>0</v>
      </c>
      <c r="AN87" s="4">
        <f>+AL87-AM87</f>
        <v>3957.0205000000001</v>
      </c>
      <c r="AO87" s="1">
        <f>+AF87*0.1875</f>
        <v>0</v>
      </c>
      <c r="AP87" s="34">
        <v>14</v>
      </c>
      <c r="AQ87" s="46">
        <f>AE87+AO87</f>
        <v>3959</v>
      </c>
    </row>
    <row r="88" spans="1:43" customFormat="1" x14ac:dyDescent="0.35">
      <c r="A88" s="37" t="s">
        <v>190</v>
      </c>
      <c r="B88" s="37" t="s">
        <v>372</v>
      </c>
      <c r="C88" s="53" t="s">
        <v>187</v>
      </c>
      <c r="D88" s="51" t="s">
        <v>37</v>
      </c>
      <c r="E88" s="55" t="s">
        <v>118</v>
      </c>
      <c r="F88" s="62" t="s">
        <v>261</v>
      </c>
      <c r="G88" s="58" t="s">
        <v>46</v>
      </c>
      <c r="H88" s="59">
        <v>5500</v>
      </c>
      <c r="I88" s="59">
        <v>0</v>
      </c>
      <c r="J88" s="24"/>
      <c r="K88" s="60">
        <v>0.61</v>
      </c>
      <c r="L88" s="9">
        <f>+I88*K88</f>
        <v>0</v>
      </c>
      <c r="M88" s="9">
        <v>0</v>
      </c>
      <c r="N88" s="9">
        <f>30-X88</f>
        <v>7</v>
      </c>
      <c r="O88" s="9">
        <f>M88*N88</f>
        <v>0</v>
      </c>
      <c r="P88" s="10">
        <f>H88/30</f>
        <v>183.33333333333334</v>
      </c>
      <c r="Q88" s="10">
        <f>L88/30</f>
        <v>0</v>
      </c>
      <c r="R88" s="10">
        <f>Q88+P88</f>
        <v>183.33333333333334</v>
      </c>
      <c r="S88" s="10">
        <f>+P88/8</f>
        <v>22.916666666666668</v>
      </c>
      <c r="T88" s="9">
        <v>16</v>
      </c>
      <c r="U88" s="9">
        <f>+S88*T88</f>
        <v>366.66666666666669</v>
      </c>
      <c r="V88" s="9">
        <v>0</v>
      </c>
      <c r="W88" s="15">
        <f>H88+L88+O88+U88+V88+J88</f>
        <v>5866.666666666667</v>
      </c>
      <c r="X88" s="23">
        <v>23</v>
      </c>
      <c r="Y88" s="23">
        <f>R88*X88</f>
        <v>4216.666666666667</v>
      </c>
      <c r="Z88" s="31">
        <v>4</v>
      </c>
      <c r="AA88" s="23">
        <f>P88*Z88</f>
        <v>733.33333333333337</v>
      </c>
      <c r="AB88" s="23">
        <v>0</v>
      </c>
      <c r="AC88" s="23">
        <f>Q88*AB88</f>
        <v>0</v>
      </c>
      <c r="AD88" s="11">
        <f>Y88+AA88+AC88</f>
        <v>4950</v>
      </c>
      <c r="AE88" s="4">
        <f>W88-AD88</f>
        <v>916.66666666666697</v>
      </c>
      <c r="AF88" s="3"/>
      <c r="AG88" s="3">
        <f>+AF88*0.11</f>
        <v>0</v>
      </c>
      <c r="AH88" s="1">
        <v>1666.6666666666667</v>
      </c>
      <c r="AI88" s="1">
        <f>(AE88-AG88-AH88)*12</f>
        <v>-8999.9999999999964</v>
      </c>
      <c r="AJ88" s="1">
        <f>IF(AND(AI88&gt;40000,AI88&lt;=55000),(AI88-40000)*10%,
IF(AND(AI88&gt;55000,AI88&lt;=70000),(AI88-55000)*15%+15000*10%,
IF(AND(AI88&gt;70000,AI88&lt;=200000),(AI88-70000)*20%+15000*10%+15000*15%,
IF(AND(AI88&gt;200000,AI88&lt;=400000),(AI88-200000)*22.5%+15000*10%+15000*15%+130000*20%,
IF(AND(AI88&gt;400000,AI88&lt;=600000),(AI88-400000)*25%+15000*10%+15000*15%+130000*20%+200000*22.5%,
IF(AND(AI88&gt;600000,AI88&lt;=700000),(AI88-400000)*25%+55000*10%+15000*15%+130000*20%+200000*22.5%,
IF(AND(AI88&gt;700000,AI88&lt;=800000),(AI88-400000)*25%+70000*15%+130000*20%+200000*22.5%,
IF(AND(AI88&gt;800000,AI88&lt;=900000),(AI88-400000)*25%+200000*20%+200000*22.5%,
IF(AND(AI88&gt;900000,AI88&lt;=1200000),(AI88-400000)*25%+400000*22.5%,
IF(AI88&gt;1200000,(AI88-1200000)*27.5%+1200000*25%))))))))))/12</f>
        <v>0</v>
      </c>
      <c r="AK88" s="3">
        <f>+AE88*0.0005</f>
        <v>0.45833333333333348</v>
      </c>
      <c r="AL88" s="4">
        <f>+AE88-AG88-AJ88-AK88</f>
        <v>916.2083333333336</v>
      </c>
      <c r="AM88" s="3">
        <v>0</v>
      </c>
      <c r="AN88" s="4">
        <f>+AL88-AM88</f>
        <v>916.2083333333336</v>
      </c>
      <c r="AO88" s="1">
        <f>+AF88*0.1875</f>
        <v>0</v>
      </c>
      <c r="AP88" s="34">
        <v>21</v>
      </c>
      <c r="AQ88" s="46">
        <f>AE88+AO88</f>
        <v>916.66666666666697</v>
      </c>
    </row>
    <row r="89" spans="1:43" ht="18.5" x14ac:dyDescent="0.35">
      <c r="P89" s="2"/>
      <c r="AE89" s="61"/>
      <c r="AN89" s="32">
        <f>SUM(AN87:AN88)</f>
        <v>4873.2288333333336</v>
      </c>
      <c r="AO89" s="12"/>
      <c r="AP89" s="35"/>
      <c r="AQ89" s="32">
        <f>SUM(AQ87:AQ88)</f>
        <v>4875.666666666667</v>
      </c>
    </row>
    <row r="90" spans="1:43" ht="16" thickBot="1" x14ac:dyDescent="0.4">
      <c r="P90" s="2"/>
    </row>
    <row r="91" spans="1:43" ht="19" thickBot="1" x14ac:dyDescent="0.4">
      <c r="A91" s="65" t="s">
        <v>38</v>
      </c>
      <c r="B91" s="66"/>
      <c r="C91" s="66"/>
      <c r="D91" s="67"/>
      <c r="E91" s="27">
        <f>AN83+AN89</f>
        <v>438616.58073076903</v>
      </c>
      <c r="P91" s="2"/>
    </row>
    <row r="92" spans="1:43" ht="19" thickBot="1" x14ac:dyDescent="0.4">
      <c r="A92" s="65" t="s">
        <v>45</v>
      </c>
      <c r="B92" s="66"/>
      <c r="C92" s="66"/>
      <c r="D92" s="67"/>
      <c r="E92" s="27">
        <f>AQ83+AQ89</f>
        <v>563431.48717948736</v>
      </c>
    </row>
    <row r="93" spans="1:43" s="13" customFormat="1" ht="18.5" x14ac:dyDescent="0.35">
      <c r="C93" s="21"/>
      <c r="D93" s="21"/>
      <c r="E93" s="28"/>
      <c r="K93" s="45"/>
      <c r="P93"/>
      <c r="AQ93"/>
    </row>
  </sheetData>
  <protectedRanges>
    <protectedRange sqref="C54 C45:C48" name="Range3_1_2_3"/>
    <protectedRange sqref="C54 C45:C48" name="Range2_1_2_3"/>
    <protectedRange sqref="C55:C56 C49:C53 C3:C25 C58:C66 C27:C44 C87" name="Range1_1_2_2"/>
    <protectedRange sqref="D3:D82 D87:D88" name="Range3_1_2_2_1"/>
    <protectedRange sqref="D3:D82 D87:D88" name="Range2_1_2_2_1"/>
    <protectedRange sqref="E65:E66" name="Range1_1_2_3"/>
    <protectedRange sqref="E46:E48 E4" name="Range3_1_2_1_1"/>
    <protectedRange algorithmName="SHA-512" hashValue="HPQuJwE1hjBfMtgPMPAUa0WVTR0E3BW6QvcTNwJIsBi6pugW6xHEJDiLUJUlHegYMO+QT6ifq5RF2/pG2dVZoQ==" saltValue="nhtcP3+XYiDsBG83UooSqw==" spinCount="100000" sqref="F60:F63 F65:F66" name="Range1_2"/>
    <protectedRange algorithmName="SHA-512" hashValue="HPQuJwE1hjBfMtgPMPAUa0WVTR0E3BW6QvcTNwJIsBi6pugW6xHEJDiLUJUlHegYMO+QT6ifq5RF2/pG2dVZoQ==" saltValue="nhtcP3+XYiDsBG83UooSqw==" spinCount="100000" sqref="F14:F47 F87" name="Range1_1_1"/>
    <protectedRange algorithmName="SHA-512" hashValue="HPQuJwE1hjBfMtgPMPAUa0WVTR0E3BW6QvcTNwJIsBi6pugW6xHEJDiLUJUlHegYMO+QT6ifq5RF2/pG2dVZoQ==" saltValue="nhtcP3+XYiDsBG83UooSqw==" spinCount="100000" sqref="F48:F58" name="Range1_3_1"/>
    <protectedRange algorithmName="SHA-512" hashValue="HPQuJwE1hjBfMtgPMPAUa0WVTR0E3BW6QvcTNwJIsBi6pugW6xHEJDiLUJUlHegYMO+QT6ifq5RF2/pG2dVZoQ==" saltValue="nhtcP3+XYiDsBG83UooSqw==" spinCount="100000" sqref="F59 F64" name="Range1_2_3_1"/>
  </protectedRanges>
  <autoFilter ref="A2:AP83">
    <sortState ref="A3:AP77">
      <sortCondition ref="E2:E77"/>
    </sortState>
  </autoFilter>
  <mergeCells count="5">
    <mergeCell ref="A92:D92"/>
    <mergeCell ref="A91:D91"/>
    <mergeCell ref="A86:AQ86"/>
    <mergeCell ref="A1:AQ1"/>
    <mergeCell ref="A83:E83"/>
  </mergeCells>
  <phoneticPr fontId="17" type="noConversion"/>
  <conditionalFormatting sqref="E4">
    <cfRule type="duplicateValues" dxfId="47" priority="89"/>
  </conditionalFormatting>
  <conditionalFormatting sqref="E6">
    <cfRule type="duplicateValues" dxfId="46" priority="86"/>
  </conditionalFormatting>
  <conditionalFormatting sqref="E7">
    <cfRule type="duplicateValues" dxfId="45" priority="85"/>
  </conditionalFormatting>
  <conditionalFormatting sqref="E12">
    <cfRule type="duplicateValues" dxfId="44" priority="84"/>
  </conditionalFormatting>
  <conditionalFormatting sqref="E17">
    <cfRule type="duplicateValues" dxfId="43" priority="83"/>
  </conditionalFormatting>
  <conditionalFormatting sqref="E22">
    <cfRule type="duplicateValues" dxfId="42" priority="82"/>
  </conditionalFormatting>
  <conditionalFormatting sqref="E25">
    <cfRule type="duplicateValues" dxfId="41" priority="80"/>
  </conditionalFormatting>
  <conditionalFormatting sqref="E26">
    <cfRule type="duplicateValues" dxfId="40" priority="81"/>
  </conditionalFormatting>
  <conditionalFormatting sqref="E29">
    <cfRule type="duplicateValues" dxfId="39" priority="79"/>
  </conditionalFormatting>
  <conditionalFormatting sqref="E36">
    <cfRule type="duplicateValues" dxfId="38" priority="78"/>
  </conditionalFormatting>
  <conditionalFormatting sqref="E40">
    <cfRule type="duplicateValues" dxfId="37" priority="77"/>
  </conditionalFormatting>
  <conditionalFormatting sqref="E46">
    <cfRule type="duplicateValues" dxfId="36" priority="90"/>
    <cfRule type="duplicateValues" dxfId="35" priority="91"/>
    <cfRule type="duplicateValues" dxfId="34" priority="92"/>
    <cfRule type="duplicateValues" dxfId="33" priority="93"/>
  </conditionalFormatting>
  <conditionalFormatting sqref="E47">
    <cfRule type="duplicateValues" dxfId="32" priority="95"/>
    <cfRule type="duplicateValues" dxfId="31" priority="96"/>
    <cfRule type="duplicateValues" dxfId="30" priority="97"/>
    <cfRule type="duplicateValues" dxfId="29" priority="98"/>
  </conditionalFormatting>
  <conditionalFormatting sqref="E48">
    <cfRule type="duplicateValues" dxfId="28" priority="94"/>
  </conditionalFormatting>
  <conditionalFormatting sqref="E49">
    <cfRule type="duplicateValues" dxfId="27" priority="99"/>
    <cfRule type="duplicateValues" dxfId="26" priority="100"/>
  </conditionalFormatting>
  <conditionalFormatting sqref="E60">
    <cfRule type="duplicateValues" dxfId="25" priority="88"/>
  </conditionalFormatting>
  <conditionalFormatting sqref="E61:E62 E64">
    <cfRule type="duplicateValues" dxfId="24" priority="87"/>
  </conditionalFormatting>
  <conditionalFormatting sqref="E63">
    <cfRule type="duplicateValues" dxfId="23" priority="76"/>
  </conditionalFormatting>
  <conditionalFormatting sqref="E69">
    <cfRule type="duplicateValues" dxfId="22" priority="74"/>
  </conditionalFormatting>
  <conditionalFormatting sqref="E70">
    <cfRule type="duplicateValues" dxfId="21" priority="64"/>
  </conditionalFormatting>
  <conditionalFormatting sqref="E71">
    <cfRule type="duplicateValues" dxfId="20" priority="60"/>
  </conditionalFormatting>
  <conditionalFormatting sqref="E88">
    <cfRule type="duplicateValues" dxfId="19" priority="58"/>
  </conditionalFormatting>
  <conditionalFormatting sqref="F88">
    <cfRule type="duplicateValues" dxfId="18" priority="57"/>
  </conditionalFormatting>
  <conditionalFormatting sqref="E72">
    <cfRule type="duplicateValues" dxfId="17" priority="56"/>
  </conditionalFormatting>
  <conditionalFormatting sqref="E67:E68">
    <cfRule type="duplicateValues" dxfId="16" priority="115"/>
  </conditionalFormatting>
  <conditionalFormatting sqref="F3">
    <cfRule type="cellIs" dxfId="15" priority="40" operator="equal">
      <formula>#REF!</formula>
    </cfRule>
  </conditionalFormatting>
  <conditionalFormatting sqref="F3">
    <cfRule type="cellIs" dxfId="14" priority="39" operator="equal">
      <formula>#REF!</formula>
    </cfRule>
  </conditionalFormatting>
  <conditionalFormatting sqref="E74">
    <cfRule type="duplicateValues" dxfId="13" priority="38"/>
  </conditionalFormatting>
  <conditionalFormatting sqref="E73">
    <cfRule type="duplicateValues" dxfId="12" priority="34"/>
  </conditionalFormatting>
  <conditionalFormatting sqref="E75">
    <cfRule type="duplicateValues" dxfId="11" priority="30"/>
  </conditionalFormatting>
  <conditionalFormatting sqref="E76">
    <cfRule type="duplicateValues" dxfId="10" priority="28"/>
  </conditionalFormatting>
  <conditionalFormatting sqref="E77">
    <cfRule type="duplicateValues" dxfId="9" priority="24"/>
  </conditionalFormatting>
  <conditionalFormatting sqref="E78">
    <cfRule type="duplicateValues" dxfId="8" priority="22"/>
  </conditionalFormatting>
  <conditionalFormatting sqref="E79">
    <cfRule type="duplicateValues" dxfId="7" priority="20"/>
  </conditionalFormatting>
  <conditionalFormatting sqref="E80">
    <cfRule type="duplicateValues" dxfId="6" priority="18"/>
  </conditionalFormatting>
  <conditionalFormatting sqref="E81">
    <cfRule type="duplicateValues" dxfId="5" priority="16"/>
  </conditionalFormatting>
  <conditionalFormatting sqref="E82">
    <cfRule type="duplicateValues" dxfId="4" priority="12"/>
  </conditionalFormatting>
  <conditionalFormatting sqref="F87">
    <cfRule type="duplicateValues" dxfId="3" priority="143"/>
  </conditionalFormatting>
  <conditionalFormatting sqref="E87 E49:E59 E3 E5 E8:E11 E13:E16 E18:E21 E23:E24 E27:E28 E30:E35 E37:E39 E41:E45">
    <cfRule type="duplicateValues" dxfId="2" priority="144"/>
  </conditionalFormatting>
  <conditionalFormatting sqref="F4:F82">
    <cfRule type="cellIs" dxfId="1" priority="2" operator="equal">
      <formula>#REF!</formula>
    </cfRule>
  </conditionalFormatting>
  <conditionalFormatting sqref="F4:F82">
    <cfRule type="cellIs" dxfId="0" priority="1" operator="equal">
      <formula>#REF!</formula>
    </cfRule>
  </conditionalFormatting>
  <dataValidations count="1">
    <dataValidation allowBlank="1" showInputMessage="1" sqref="J2 E65:E66 C87 C3:C66 P87:P1048576 P2:P82"/>
  </dataValidations>
  <pageMargins left="0.7" right="0.7" top="0.75" bottom="0.75" header="0.3" footer="0.3"/>
  <pageSetup orientation="portrait" r:id="rId1"/>
  <ignoredErrors>
    <ignoredError sqref="C3:C27 F3:F27 C28:C71 F28:F71 C72:C82 F72:F75 F87:F88 C87:C88 F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Ayman</cp:lastModifiedBy>
  <dcterms:created xsi:type="dcterms:W3CDTF">2015-06-05T18:17:20Z</dcterms:created>
  <dcterms:modified xsi:type="dcterms:W3CDTF">2026-02-28T19:19:18Z</dcterms:modified>
</cp:coreProperties>
</file>
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orad\Luxur\"/>
    </mc:Choice>
  </mc:AlternateContent>
  <bookViews>
    <workbookView xWindow="0" yWindow="0" windowWidth="20633" windowHeight="7780"/>
  </bookViews>
  <sheets>
    <sheet name="Luxor" sheetId="1" r:id="rId1"/>
  </sheets>
  <definedNames>
    <definedName name="_xlnm._FilterDatabase" localSheetId="0" hidden="1">Luxor!$A$2:$AK$29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27" i="1" l="1"/>
  <c r="AE27" i="1"/>
  <c r="P27" i="1"/>
  <c r="Q27" i="1" s="1"/>
  <c r="S27" i="1" s="1"/>
  <c r="M27" i="1"/>
  <c r="N27" i="1" s="1"/>
  <c r="K27" i="1"/>
  <c r="O27" i="1" s="1"/>
  <c r="AA27" i="1" s="1"/>
  <c r="Y27" i="1" l="1"/>
  <c r="W27" i="1"/>
  <c r="U27" i="1"/>
  <c r="AB27" i="1" l="1"/>
  <c r="AC27" i="1" s="1"/>
  <c r="AH27" i="1" s="1"/>
  <c r="AJ27" i="1" s="1"/>
  <c r="AK19" i="1" l="1"/>
  <c r="AE19" i="1"/>
  <c r="P19" i="1"/>
  <c r="Q19" i="1" s="1"/>
  <c r="S19" i="1" s="1"/>
  <c r="M19" i="1"/>
  <c r="N19" i="1" s="1"/>
  <c r="K19" i="1"/>
  <c r="U19" i="1" l="1"/>
  <c r="W19" i="1"/>
  <c r="Y19" i="1"/>
  <c r="O19" i="1"/>
  <c r="AA19" i="1" s="1"/>
  <c r="AB19" i="1" l="1"/>
  <c r="AC19" i="1" s="1"/>
  <c r="AH19" i="1" s="1"/>
  <c r="AJ19" i="1" s="1"/>
  <c r="AK26" i="1" l="1"/>
  <c r="AE26" i="1"/>
  <c r="P26" i="1"/>
  <c r="W26" i="1" s="1"/>
  <c r="M26" i="1"/>
  <c r="N26" i="1" s="1"/>
  <c r="K26" i="1"/>
  <c r="O26" i="1" s="1"/>
  <c r="AA26" i="1" s="1"/>
  <c r="Y26" i="1" l="1"/>
  <c r="AB26" i="1" s="1"/>
  <c r="Q26" i="1"/>
  <c r="S26" i="1" s="1"/>
  <c r="U26" i="1" s="1"/>
  <c r="K5" i="1"/>
  <c r="O5" i="1" s="1"/>
  <c r="AA5" i="1" s="1"/>
  <c r="M5" i="1"/>
  <c r="N5" i="1" s="1"/>
  <c r="P5" i="1"/>
  <c r="Q5" i="1" s="1"/>
  <c r="S5" i="1" s="1"/>
  <c r="AE5" i="1"/>
  <c r="AK5" i="1"/>
  <c r="AC26" i="1" l="1"/>
  <c r="AH26" i="1" s="1"/>
  <c r="AJ26" i="1" s="1"/>
  <c r="U5" i="1"/>
  <c r="Y5" i="1"/>
  <c r="W5" i="1"/>
  <c r="AB5" i="1" l="1"/>
  <c r="AC5" i="1" s="1"/>
  <c r="AH5" i="1" s="1"/>
  <c r="AJ5" i="1" s="1"/>
  <c r="AK21" i="1"/>
  <c r="AE21" i="1"/>
  <c r="M21" i="1"/>
  <c r="N21" i="1" s="1"/>
  <c r="K21" i="1"/>
  <c r="O21" i="1" s="1"/>
  <c r="AA21" i="1" s="1"/>
  <c r="P21" i="1"/>
  <c r="Q21" i="1" s="1"/>
  <c r="S21" i="1" s="1"/>
  <c r="U21" i="1" l="1"/>
  <c r="W21" i="1"/>
  <c r="Y21" i="1"/>
  <c r="V29" i="1"/>
  <c r="P6" i="1"/>
  <c r="Q6" i="1" s="1"/>
  <c r="AD29" i="1"/>
  <c r="AF29" i="1"/>
  <c r="AI29" i="1"/>
  <c r="H29" i="1"/>
  <c r="I29" i="1"/>
  <c r="R29" i="1"/>
  <c r="T29" i="1"/>
  <c r="X29" i="1"/>
  <c r="Z29" i="1"/>
  <c r="P9" i="1"/>
  <c r="P8" i="1"/>
  <c r="P7" i="1"/>
  <c r="P25" i="1"/>
  <c r="P24" i="1"/>
  <c r="P18" i="1"/>
  <c r="P14" i="1"/>
  <c r="P15" i="1"/>
  <c r="P13" i="1"/>
  <c r="P17" i="1"/>
  <c r="P16" i="1"/>
  <c r="P10" i="1"/>
  <c r="P4" i="1"/>
  <c r="P3" i="1"/>
  <c r="P23" i="1"/>
  <c r="P22" i="1"/>
  <c r="P28" i="1"/>
  <c r="P20" i="1"/>
  <c r="P11" i="1"/>
  <c r="P12" i="1"/>
  <c r="AB21" i="1" l="1"/>
  <c r="AC21" i="1" s="1"/>
  <c r="AH21" i="1" s="1"/>
  <c r="AJ21" i="1" s="1"/>
  <c r="AK9" i="1"/>
  <c r="AE9" i="1"/>
  <c r="Q9" i="1"/>
  <c r="S9" i="1" s="1"/>
  <c r="M9" i="1"/>
  <c r="N9" i="1" s="1"/>
  <c r="K9" i="1"/>
  <c r="AK4" i="1"/>
  <c r="AE4" i="1"/>
  <c r="W4" i="1"/>
  <c r="M4" i="1"/>
  <c r="N4" i="1" s="1"/>
  <c r="K4" i="1"/>
  <c r="AK13" i="1"/>
  <c r="AE13" i="1"/>
  <c r="Y13" i="1"/>
  <c r="M13" i="1"/>
  <c r="N13" i="1" s="1"/>
  <c r="K13" i="1"/>
  <c r="AK23" i="1"/>
  <c r="AE23" i="1"/>
  <c r="Y23" i="1"/>
  <c r="M23" i="1"/>
  <c r="N23" i="1" s="1"/>
  <c r="K23" i="1"/>
  <c r="AK16" i="1"/>
  <c r="AE16" i="1"/>
  <c r="Y16" i="1"/>
  <c r="M16" i="1"/>
  <c r="N16" i="1" s="1"/>
  <c r="K16" i="1"/>
  <c r="AK7" i="1"/>
  <c r="AE7" i="1"/>
  <c r="Y7" i="1"/>
  <c r="M7" i="1"/>
  <c r="N7" i="1" s="1"/>
  <c r="K7" i="1"/>
  <c r="AK24" i="1"/>
  <c r="AE24" i="1"/>
  <c r="Y24" i="1"/>
  <c r="M24" i="1"/>
  <c r="N24" i="1" s="1"/>
  <c r="K24" i="1"/>
  <c r="AK15" i="1"/>
  <c r="AE15" i="1"/>
  <c r="Y15" i="1"/>
  <c r="M15" i="1"/>
  <c r="N15" i="1" s="1"/>
  <c r="K15" i="1"/>
  <c r="AK17" i="1"/>
  <c r="AE17" i="1"/>
  <c r="Y17" i="1"/>
  <c r="M17" i="1"/>
  <c r="N17" i="1" s="1"/>
  <c r="K17" i="1"/>
  <c r="AK11" i="1"/>
  <c r="AE11" i="1"/>
  <c r="Y11" i="1"/>
  <c r="M11" i="1"/>
  <c r="N11" i="1" s="1"/>
  <c r="K11" i="1"/>
  <c r="AK18" i="1"/>
  <c r="AE18" i="1"/>
  <c r="W18" i="1"/>
  <c r="M18" i="1"/>
  <c r="N18" i="1" s="1"/>
  <c r="K18" i="1"/>
  <c r="AK20" i="1"/>
  <c r="AE20" i="1"/>
  <c r="M20" i="1"/>
  <c r="N20" i="1" s="1"/>
  <c r="K20" i="1"/>
  <c r="AK22" i="1"/>
  <c r="AE22" i="1"/>
  <c r="Q22" i="1"/>
  <c r="S22" i="1" s="1"/>
  <c r="M22" i="1"/>
  <c r="N22" i="1" s="1"/>
  <c r="K22" i="1"/>
  <c r="AK6" i="1"/>
  <c r="AE6" i="1"/>
  <c r="M6" i="1"/>
  <c r="N6" i="1" s="1"/>
  <c r="K6" i="1"/>
  <c r="AK25" i="1"/>
  <c r="AE25" i="1"/>
  <c r="Y25" i="1"/>
  <c r="M25" i="1"/>
  <c r="N25" i="1" s="1"/>
  <c r="K25" i="1"/>
  <c r="AK10" i="1"/>
  <c r="AE10" i="1"/>
  <c r="W10" i="1"/>
  <c r="M10" i="1"/>
  <c r="N10" i="1" s="1"/>
  <c r="K10" i="1"/>
  <c r="O10" i="1" s="1"/>
  <c r="AA10" i="1" s="1"/>
  <c r="AK14" i="1"/>
  <c r="AE14" i="1"/>
  <c r="Y14" i="1"/>
  <c r="M14" i="1"/>
  <c r="N14" i="1" s="1"/>
  <c r="K14" i="1"/>
  <c r="AK12" i="1"/>
  <c r="AE12" i="1"/>
  <c r="M12" i="1"/>
  <c r="N12" i="1" s="1"/>
  <c r="K12" i="1"/>
  <c r="O12" i="1" s="1"/>
  <c r="AA12" i="1" s="1"/>
  <c r="AK28" i="1"/>
  <c r="AE28" i="1"/>
  <c r="Y28" i="1"/>
  <c r="M28" i="1"/>
  <c r="N28" i="1" s="1"/>
  <c r="K28" i="1"/>
  <c r="AK3" i="1"/>
  <c r="AE3" i="1"/>
  <c r="W3" i="1"/>
  <c r="M3" i="1"/>
  <c r="N3" i="1" s="1"/>
  <c r="K3" i="1"/>
  <c r="AK8" i="1"/>
  <c r="AE8" i="1"/>
  <c r="Y8" i="1"/>
  <c r="M8" i="1"/>
  <c r="N8" i="1" s="1"/>
  <c r="K8" i="1"/>
  <c r="AE29" i="1" l="1"/>
  <c r="AK29" i="1"/>
  <c r="N29" i="1"/>
  <c r="K29" i="1"/>
  <c r="O6" i="1"/>
  <c r="AA6" i="1" s="1"/>
  <c r="Q18" i="1"/>
  <c r="S18" i="1" s="1"/>
  <c r="U18" i="1" s="1"/>
  <c r="Y18" i="1"/>
  <c r="W14" i="1"/>
  <c r="Q3" i="1"/>
  <c r="S3" i="1" s="1"/>
  <c r="U3" i="1" s="1"/>
  <c r="Q4" i="1"/>
  <c r="S4" i="1" s="1"/>
  <c r="U4" i="1" s="1"/>
  <c r="Q28" i="1"/>
  <c r="S28" i="1" s="1"/>
  <c r="U28" i="1" s="1"/>
  <c r="Q25" i="1"/>
  <c r="S25" i="1" s="1"/>
  <c r="U25" i="1" s="1"/>
  <c r="Q13" i="1"/>
  <c r="S13" i="1" s="1"/>
  <c r="U13" i="1" s="1"/>
  <c r="Y4" i="1"/>
  <c r="Y3" i="1"/>
  <c r="Q14" i="1"/>
  <c r="S14" i="1" s="1"/>
  <c r="U14" i="1" s="1"/>
  <c r="W13" i="1"/>
  <c r="W28" i="1"/>
  <c r="Y12" i="1"/>
  <c r="Q12" i="1"/>
  <c r="S12" i="1" s="1"/>
  <c r="U12" i="1" s="1"/>
  <c r="O14" i="1"/>
  <c r="AA14" i="1" s="1"/>
  <c r="W25" i="1"/>
  <c r="Y6" i="1"/>
  <c r="S6" i="1"/>
  <c r="W22" i="1"/>
  <c r="O20" i="1"/>
  <c r="AA20" i="1" s="1"/>
  <c r="O8" i="1"/>
  <c r="AA8" i="1" s="1"/>
  <c r="Y22" i="1"/>
  <c r="Y20" i="1"/>
  <c r="Q20" i="1"/>
  <c r="S20" i="1" s="1"/>
  <c r="U20" i="1" s="1"/>
  <c r="W8" i="1"/>
  <c r="O28" i="1"/>
  <c r="AA28" i="1" s="1"/>
  <c r="Y10" i="1"/>
  <c r="AB10" i="1" s="1"/>
  <c r="Q10" i="1"/>
  <c r="O25" i="1"/>
  <c r="AA25" i="1" s="1"/>
  <c r="U22" i="1"/>
  <c r="O22" i="1"/>
  <c r="AA22" i="1" s="1"/>
  <c r="Q8" i="1"/>
  <c r="S8" i="1" s="1"/>
  <c r="U8" i="1" s="1"/>
  <c r="O3" i="1"/>
  <c r="AA3" i="1" s="1"/>
  <c r="W12" i="1"/>
  <c r="W6" i="1"/>
  <c r="W20" i="1"/>
  <c r="W11" i="1"/>
  <c r="W17" i="1"/>
  <c r="W15" i="1"/>
  <c r="W7" i="1"/>
  <c r="W23" i="1"/>
  <c r="O13" i="1"/>
  <c r="AA13" i="1" s="1"/>
  <c r="U9" i="1"/>
  <c r="O9" i="1"/>
  <c r="AA9" i="1" s="1"/>
  <c r="W9" i="1"/>
  <c r="O18" i="1"/>
  <c r="AA18" i="1" s="1"/>
  <c r="Q11" i="1"/>
  <c r="S11" i="1" s="1"/>
  <c r="U11" i="1" s="1"/>
  <c r="Q17" i="1"/>
  <c r="S17" i="1" s="1"/>
  <c r="U17" i="1" s="1"/>
  <c r="Q15" i="1"/>
  <c r="S15" i="1" s="1"/>
  <c r="U15" i="1" s="1"/>
  <c r="O24" i="1"/>
  <c r="AA24" i="1" s="1"/>
  <c r="Q7" i="1"/>
  <c r="S7" i="1" s="1"/>
  <c r="U7" i="1" s="1"/>
  <c r="O16" i="1"/>
  <c r="AA16" i="1" s="1"/>
  <c r="Q23" i="1"/>
  <c r="S23" i="1" s="1"/>
  <c r="U23" i="1" s="1"/>
  <c r="Y9" i="1"/>
  <c r="W24" i="1"/>
  <c r="W16" i="1"/>
  <c r="O11" i="1"/>
  <c r="AA11" i="1" s="1"/>
  <c r="O17" i="1"/>
  <c r="AA17" i="1" s="1"/>
  <c r="O15" i="1"/>
  <c r="AA15" i="1" s="1"/>
  <c r="Q24" i="1"/>
  <c r="S24" i="1" s="1"/>
  <c r="U24" i="1" s="1"/>
  <c r="O7" i="1"/>
  <c r="AA7" i="1" s="1"/>
  <c r="Q16" i="1"/>
  <c r="S16" i="1" s="1"/>
  <c r="U16" i="1" s="1"/>
  <c r="O23" i="1"/>
  <c r="AA23" i="1" s="1"/>
  <c r="O4" i="1"/>
  <c r="AA4" i="1" s="1"/>
  <c r="Y29" i="1" l="1"/>
  <c r="AA29" i="1"/>
  <c r="W29" i="1"/>
  <c r="U6" i="1"/>
  <c r="S10" i="1"/>
  <c r="U10" i="1" s="1"/>
  <c r="AC10" i="1" s="1"/>
  <c r="AH10" i="1" s="1"/>
  <c r="AJ10" i="1" s="1"/>
  <c r="AB4" i="1"/>
  <c r="AC4" i="1" s="1"/>
  <c r="AB18" i="1"/>
  <c r="AC18" i="1" s="1"/>
  <c r="AH18" i="1" s="1"/>
  <c r="AJ18" i="1" s="1"/>
  <c r="AB8" i="1"/>
  <c r="AC8" i="1" s="1"/>
  <c r="AH8" i="1" s="1"/>
  <c r="AJ8" i="1" s="1"/>
  <c r="AB24" i="1"/>
  <c r="AC24" i="1" s="1"/>
  <c r="AH24" i="1" s="1"/>
  <c r="AJ24" i="1" s="1"/>
  <c r="AB3" i="1"/>
  <c r="AC3" i="1" s="1"/>
  <c r="AH3" i="1" s="1"/>
  <c r="AJ3" i="1" s="1"/>
  <c r="AB14" i="1"/>
  <c r="AC14" i="1" s="1"/>
  <c r="AB13" i="1"/>
  <c r="AC13" i="1" s="1"/>
  <c r="AH13" i="1" s="1"/>
  <c r="AJ13" i="1" s="1"/>
  <c r="AB16" i="1"/>
  <c r="AC16" i="1" s="1"/>
  <c r="AB6" i="1"/>
  <c r="AB12" i="1"/>
  <c r="AC12" i="1" s="1"/>
  <c r="AH12" i="1" s="1"/>
  <c r="AJ12" i="1" s="1"/>
  <c r="AB28" i="1"/>
  <c r="AC28" i="1" s="1"/>
  <c r="AB17" i="1"/>
  <c r="AC17" i="1" s="1"/>
  <c r="AH17" i="1" s="1"/>
  <c r="AJ17" i="1" s="1"/>
  <c r="AB23" i="1"/>
  <c r="AC23" i="1" s="1"/>
  <c r="AB22" i="1"/>
  <c r="AC22" i="1" s="1"/>
  <c r="AB9" i="1"/>
  <c r="AC9" i="1" s="1"/>
  <c r="AB15" i="1"/>
  <c r="AC15" i="1" s="1"/>
  <c r="AB11" i="1"/>
  <c r="AC11" i="1" s="1"/>
  <c r="AB7" i="1"/>
  <c r="AC7" i="1" s="1"/>
  <c r="AB20" i="1"/>
  <c r="AC20" i="1" s="1"/>
  <c r="AB25" i="1"/>
  <c r="AC25" i="1" s="1"/>
  <c r="S29" i="1" l="1"/>
  <c r="U29" i="1"/>
  <c r="AC6" i="1"/>
  <c r="AB29" i="1"/>
  <c r="AH16" i="1"/>
  <c r="AJ16" i="1" s="1"/>
  <c r="AH23" i="1"/>
  <c r="AJ23" i="1" s="1"/>
  <c r="AH15" i="1"/>
  <c r="AJ15" i="1" s="1"/>
  <c r="AH11" i="1"/>
  <c r="AJ11" i="1" s="1"/>
  <c r="AH20" i="1"/>
  <c r="AJ20" i="1" s="1"/>
  <c r="AH7" i="1"/>
  <c r="AJ7" i="1" s="1"/>
  <c r="AH25" i="1"/>
  <c r="AJ25" i="1" s="1"/>
  <c r="AH22" i="1"/>
  <c r="AJ22" i="1" s="1"/>
  <c r="AH9" i="1"/>
  <c r="AJ9" i="1" s="1"/>
  <c r="AH4" i="1"/>
  <c r="AJ4" i="1" s="1"/>
  <c r="AH14" i="1"/>
  <c r="AJ14" i="1" s="1"/>
  <c r="AH28" i="1"/>
  <c r="AJ28" i="1" s="1"/>
  <c r="AC29" i="1" l="1"/>
  <c r="AH6" i="1" l="1"/>
  <c r="AG29" i="1"/>
  <c r="AJ6" i="1" l="1"/>
  <c r="AH29" i="1"/>
  <c r="AJ29" i="1" l="1"/>
  <c r="E35" i="1" s="1"/>
</calcChain>
</file>

<file path=xl/sharedStrings.xml><?xml version="1.0" encoding="utf-8"?>
<sst xmlns="http://schemas.openxmlformats.org/spreadsheetml/2006/main" count="199" uniqueCount="126">
  <si>
    <t>Branch</t>
  </si>
  <si>
    <t>ID</t>
  </si>
  <si>
    <t>Transfer Account Number</t>
  </si>
  <si>
    <t>Transfer Account type</t>
  </si>
  <si>
    <t>Name</t>
  </si>
  <si>
    <t xml:space="preserve"> National ID</t>
  </si>
  <si>
    <t>Title</t>
  </si>
  <si>
    <t>Basic</t>
  </si>
  <si>
    <t>Target rate</t>
  </si>
  <si>
    <t>Target value</t>
  </si>
  <si>
    <t>Daily transfer value</t>
  </si>
  <si>
    <t>Transportation days</t>
  </si>
  <si>
    <t>Transportation</t>
  </si>
  <si>
    <t>Target wage</t>
  </si>
  <si>
    <t>Daily wage</t>
  </si>
  <si>
    <t>hourly wage rate</t>
  </si>
  <si>
    <t>Number of hours</t>
  </si>
  <si>
    <t>Overtime</t>
  </si>
  <si>
    <t>Bonus</t>
  </si>
  <si>
    <t>Gross</t>
  </si>
  <si>
    <t>Absence days</t>
  </si>
  <si>
    <t>Absence value</t>
  </si>
  <si>
    <t>Penalty Days</t>
  </si>
  <si>
    <t>Penalties value</t>
  </si>
  <si>
    <t>Target Days</t>
  </si>
  <si>
    <t>Total deducted</t>
  </si>
  <si>
    <t>Net</t>
  </si>
  <si>
    <t>Insurance salary</t>
  </si>
  <si>
    <t>Employee Insurance</t>
  </si>
  <si>
    <t>tax</t>
  </si>
  <si>
    <t>Martyrs</t>
  </si>
  <si>
    <t>Net salary</t>
  </si>
  <si>
    <t>Advance</t>
  </si>
  <si>
    <t>Company Insurance</t>
  </si>
  <si>
    <t>Wallet</t>
  </si>
  <si>
    <t xml:space="preserve">Operator </t>
  </si>
  <si>
    <t>Stop Salary</t>
  </si>
  <si>
    <t>Total Salaries</t>
  </si>
  <si>
    <t>Luxor</t>
  </si>
  <si>
    <t>01063970978</t>
  </si>
  <si>
    <t>01015466290</t>
  </si>
  <si>
    <t>01009288371</t>
  </si>
  <si>
    <t>01002486034</t>
  </si>
  <si>
    <t>01000798569</t>
  </si>
  <si>
    <t>01069782886</t>
  </si>
  <si>
    <t>01001601812</t>
  </si>
  <si>
    <t>01028888476</t>
  </si>
  <si>
    <t>01092302209</t>
  </si>
  <si>
    <t>01033551374</t>
  </si>
  <si>
    <t>01096522288</t>
  </si>
  <si>
    <t>01026461997</t>
  </si>
  <si>
    <t xml:space="preserve">Team Leader </t>
  </si>
  <si>
    <t>Dustman</t>
  </si>
  <si>
    <t>Salary Differences</t>
  </si>
  <si>
    <t>الإجمالي</t>
  </si>
  <si>
    <t>01063485050</t>
  </si>
  <si>
    <t>4117394149563800</t>
  </si>
  <si>
    <t>01025135183</t>
  </si>
  <si>
    <t>01008689328</t>
  </si>
  <si>
    <t>5078034813487639</t>
  </si>
  <si>
    <t>Meza</t>
  </si>
  <si>
    <t>5078035006046322</t>
  </si>
  <si>
    <t>01030906734</t>
  </si>
  <si>
    <t>01099305390</t>
  </si>
  <si>
    <t>Sundries</t>
  </si>
  <si>
    <t>Eslam Hamed Ahmed Abdel Rahim</t>
  </si>
  <si>
    <t>Hassan Salah Mohamed Ahmed</t>
  </si>
  <si>
    <t>Fatma Hamdy Atito Morsy</t>
  </si>
  <si>
    <t>Mai Mahmoud Abdallah Ghobashy</t>
  </si>
  <si>
    <t>Esraa Abdel Aziz Tayea Mohamadien</t>
  </si>
  <si>
    <t>Nourhan Hassaan Hassaan Tawfik</t>
  </si>
  <si>
    <t>Safaa Abdel Hamed Hasan Ahmed</t>
  </si>
  <si>
    <t>Rania Abdel Rahman Elkamel Eltaher</t>
  </si>
  <si>
    <t>Mahmoud Hassany Ahmed Eltaher</t>
  </si>
  <si>
    <t>Abdel Rady Mahdy Abdel Rady Ahmed</t>
  </si>
  <si>
    <t>SFEH-L002</t>
  </si>
  <si>
    <t>SFEH-L003</t>
  </si>
  <si>
    <t>SFEH-L004</t>
  </si>
  <si>
    <t>SFEH-L008</t>
  </si>
  <si>
    <t>SFEH-L009</t>
  </si>
  <si>
    <t>SFEH-L010</t>
  </si>
  <si>
    <t>SFEH-L011</t>
  </si>
  <si>
    <t>SFEH-L013</t>
  </si>
  <si>
    <t>SFEH-L014</t>
  </si>
  <si>
    <t>SFEH-L016</t>
  </si>
  <si>
    <t>SFEH-L017</t>
  </si>
  <si>
    <t>SFEH-L018</t>
  </si>
  <si>
    <t>SFEH-L019</t>
  </si>
  <si>
    <t>SFEH-L020</t>
  </si>
  <si>
    <t>SFEH-L023</t>
  </si>
  <si>
    <t>SFEH-L024</t>
  </si>
  <si>
    <t>SFEH-L026</t>
  </si>
  <si>
    <t>SFEH-L027</t>
  </si>
  <si>
    <t>SFEH-L029</t>
  </si>
  <si>
    <t>SFEH-L030</t>
  </si>
  <si>
    <t>SFEH-L032</t>
  </si>
  <si>
    <t>SFEH-L034</t>
  </si>
  <si>
    <t>01002268496</t>
  </si>
  <si>
    <t>Remining Salary</t>
  </si>
  <si>
    <t>01010007310</t>
  </si>
  <si>
    <t>4946074364274567</t>
  </si>
  <si>
    <t>01097713050</t>
  </si>
  <si>
    <t>Monthly Expenses Require Aproval</t>
  </si>
  <si>
    <t>Dopay</t>
  </si>
  <si>
    <t>Payment Amount</t>
  </si>
  <si>
    <t>Abdel Hamid Nagy Youssef Mohamed</t>
  </si>
  <si>
    <t>Abdel Rehim Ahmed Dawy Mohamed</t>
  </si>
  <si>
    <t>Ahmed Mahmoud Aly Abdel Sayad</t>
  </si>
  <si>
    <t>Eman Aly Mohamed Younis</t>
  </si>
  <si>
    <t>Eman Nagy Youssef Mohamed</t>
  </si>
  <si>
    <t>Hasnaa Ahmed Abdel Aaty Dawoud</t>
  </si>
  <si>
    <t>Marwa Fawzy Mohamed Aly</t>
  </si>
  <si>
    <t>Moamen Gamal Abdel Aziz Abdel Halim</t>
  </si>
  <si>
    <t>Mohamed Abdel Naser Mohamed Ahmed Ibrahim</t>
  </si>
  <si>
    <t>Omar Abdel Aziz Tayea Mohamadien</t>
  </si>
  <si>
    <t>Shams Ahmed Abdel Moneim Ibrahim</t>
  </si>
  <si>
    <t>Tarek Adly Mohamed Ramadan</t>
  </si>
  <si>
    <t>Yasmin Mostafa Labib Elnouby</t>
  </si>
  <si>
    <t>Yomna Gamal Ismail Ibrahim</t>
  </si>
  <si>
    <t>Zainab Abo Elhaggag Abdel Maksoud Abdel Aziz</t>
  </si>
  <si>
    <t>Ziad Mahmoud Hashem Abdallah</t>
  </si>
  <si>
    <t>SFEH-L001</t>
  </si>
  <si>
    <t>SFEH-L025</t>
  </si>
  <si>
    <t>SFEH-L028</t>
  </si>
  <si>
    <t>SFEH-L033</t>
  </si>
  <si>
    <t>01067718373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</si>
</sst>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(* #,##0_);_(* \(#,##0\);_(* &quot;-&quot;??_);_(@_)"/>
    <numFmt numFmtId="165" formatCode="_(&quot;EGP&quot;* #,##0_);_(&quot;EGP&quot;* \(#,##0\);_(&quot;EGP&quot;* &quot;-&quot;??_);_(@_)"/>
    <numFmt numFmtId="166" formatCode="0.0"/>
    <numFmt numFmtId="167" formatCode="mmmm\ yyyy;@"/>
    <numFmt numFmtId="168" formatCode="_([$EGP]\ * #,##0_);_([$EGP]\ * \(#,##0\);_([$EGP]\ * &quot;-&quot;_);_(@_)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name val="Arial"/>
      <family val="2"/>
    </font>
    <font>
      <sz val="12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BDC"/>
        <bgColor indexed="64"/>
      </patternFill>
    </fill>
    <fill>
      <patternFill patternType="solid">
        <fgColor rgb="FFFFFCD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>
      <protection locked="0"/>
    </xf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1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49" fontId="5" fillId="5" borderId="3" xfId="3" applyNumberFormat="1" applyFont="1" applyFill="1" applyBorder="1" applyAlignment="1">
      <alignment horizontal="center" vertical="center"/>
      <protection locked="0"/>
    </xf>
    <xf numFmtId="49" fontId="5" fillId="6" borderId="3" xfId="3" applyNumberFormat="1" applyFont="1" applyFill="1" applyBorder="1" applyAlignment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164" fontId="1" fillId="0" borderId="2" xfId="1" applyNumberFormat="1" applyFont="1" applyBorder="1" applyAlignment="1">
      <alignment horizontal="center" vertical="center"/>
    </xf>
    <xf numFmtId="9" fontId="1" fillId="7" borderId="2" xfId="2" applyFont="1" applyFill="1" applyBorder="1" applyAlignment="1">
      <alignment horizontal="center" vertical="center"/>
    </xf>
    <xf numFmtId="43" fontId="1" fillId="0" borderId="2" xfId="1" applyFont="1" applyBorder="1" applyAlignment="1">
      <alignment horizontal="center" vertical="center"/>
    </xf>
    <xf numFmtId="1" fontId="1" fillId="8" borderId="2" xfId="0" applyNumberFormat="1" applyFont="1" applyFill="1" applyBorder="1" applyAlignment="1">
      <alignment horizontal="center" vertical="center"/>
    </xf>
    <xf numFmtId="164" fontId="1" fillId="9" borderId="2" xfId="1" applyNumberFormat="1" applyFont="1" applyFill="1" applyBorder="1" applyAlignment="1">
      <alignment horizontal="center" vertical="center"/>
    </xf>
    <xf numFmtId="164" fontId="1" fillId="8" borderId="2" xfId="1" applyNumberFormat="1" applyFont="1" applyFill="1" applyBorder="1" applyAlignment="1">
      <alignment horizontal="center" vertical="center"/>
    </xf>
    <xf numFmtId="164" fontId="2" fillId="8" borderId="2" xfId="1" applyNumberFormat="1" applyFont="1" applyFill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43" fontId="2" fillId="0" borderId="2" xfId="1" applyFont="1" applyBorder="1" applyAlignment="1">
      <alignment horizontal="center" vertical="center"/>
    </xf>
    <xf numFmtId="1" fontId="1" fillId="5" borderId="3" xfId="0" applyNumberFormat="1" applyFont="1" applyFill="1" applyBorder="1" applyAlignment="1">
      <alignment horizontal="center" vertical="center"/>
    </xf>
    <xf numFmtId="1" fontId="1" fillId="5" borderId="2" xfId="0" applyNumberFormat="1" applyFont="1" applyFill="1" applyBorder="1" applyAlignment="1">
      <alignment horizontal="center" vertical="center"/>
    </xf>
    <xf numFmtId="164" fontId="6" fillId="11" borderId="2" xfId="1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5" fontId="9" fillId="0" borderId="10" xfId="0" applyNumberFormat="1" applyFon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6" fontId="1" fillId="9" borderId="2" xfId="1" applyNumberFormat="1" applyFont="1" applyFill="1" applyBorder="1" applyAlignment="1">
      <alignment horizontal="center" vertical="center"/>
    </xf>
    <xf numFmtId="1" fontId="6" fillId="11" borderId="2" xfId="1" applyNumberFormat="1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49" fontId="5" fillId="11" borderId="3" xfId="3" applyNumberFormat="1" applyFont="1" applyFill="1" applyBorder="1" applyAlignment="1">
      <alignment horizontal="center" vertical="center"/>
      <protection locked="0"/>
    </xf>
    <xf numFmtId="49" fontId="5" fillId="14" borderId="3" xfId="3" applyNumberFormat="1" applyFont="1" applyFill="1" applyBorder="1" applyAlignment="1">
      <alignment horizontal="center" vertical="center"/>
      <protection locked="0"/>
    </xf>
    <xf numFmtId="168" fontId="9" fillId="0" borderId="10" xfId="0" applyNumberFormat="1" applyFont="1" applyBorder="1" applyAlignment="1">
      <alignment horizontal="center" vertical="center"/>
    </xf>
    <xf numFmtId="167" fontId="3" fillId="2" borderId="1" xfId="0" applyNumberFormat="1" applyFont="1" applyFill="1" applyBorder="1" applyAlignment="1">
      <alignment vertical="center"/>
    </xf>
    <xf numFmtId="0" fontId="7" fillId="13" borderId="7" xfId="0" applyFont="1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 vertical="center"/>
    </xf>
    <xf numFmtId="0" fontId="7" fillId="13" borderId="9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/>
    <cellStyle name="Percent" xfId="2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"/>
  <sheetViews>
    <sheetView tabSelected="1" topLeftCell="A2" zoomScale="70" zoomScaleNormal="70" workbookViewId="0">
      <pane ySplit="1" topLeftCell="A3" activePane="bottomLeft" state="frozen"/>
      <selection activeCell="A2" sqref="A2"/>
      <selection pane="bottomLeft" activeCell="A2" sqref="A2"/>
    </sheetView>
  </sheetViews>
  <sheetFormatPr defaultColWidth="11.1796875" defaultRowHeight="15.6" x14ac:dyDescent="0.35"/>
  <cols>
    <col min="1" max="1" width="24.08984375" bestFit="1" customWidth="1"/>
    <col min="2" max="2" width="12.26953125" bestFit="1" customWidth="1"/>
    <col min="3" max="3" width="28.36328125" customWidth="1"/>
    <col min="4" max="4" width="25.26953125" customWidth="1"/>
    <col min="5" max="5" width="48.08984375" bestFit="1" customWidth="1"/>
    <col min="6" max="6" width="18.81640625" customWidth="1"/>
    <col min="7" max="7" width="13.36328125" customWidth="1"/>
    <col min="8" max="8" width="11.90625" customWidth="1"/>
    <col min="9" max="9" width="22" customWidth="1"/>
    <col min="10" max="10" width="16.90625" customWidth="1"/>
    <col min="11" max="11" width="17.7265625" customWidth="1"/>
    <col min="12" max="12" width="18.81640625" customWidth="1"/>
    <col min="13" max="13" width="23.7265625" customWidth="1"/>
    <col min="14" max="14" width="19.7265625" customWidth="1"/>
    <col min="15" max="15" width="17.81640625" customWidth="1"/>
    <col min="16" max="16" width="16.453125" customWidth="1"/>
    <col min="17" max="17" width="21.26953125" customWidth="1"/>
    <col min="18" max="18" width="21.08984375" customWidth="1"/>
    <col min="19" max="19" width="15.1796875" customWidth="1"/>
    <col min="20" max="20" width="12.6328125" customWidth="1"/>
    <col min="21" max="21" width="12.1796875" customWidth="1"/>
    <col min="22" max="22" width="18.1796875" bestFit="1" customWidth="1"/>
    <col min="23" max="23" width="19" bestFit="1" customWidth="1"/>
    <col min="24" max="24" width="17.81640625" bestFit="1" customWidth="1"/>
    <col min="25" max="25" width="19.7265625" bestFit="1" customWidth="1"/>
    <col min="26" max="26" width="17.26953125" bestFit="1" customWidth="1"/>
    <col min="27" max="27" width="17.7265625" bestFit="1" customWidth="1"/>
    <col min="28" max="28" width="19.81640625" bestFit="1" customWidth="1"/>
    <col min="29" max="29" width="10.7265625" bestFit="1" customWidth="1"/>
    <col min="30" max="30" width="20.7265625" bestFit="1" customWidth="1"/>
    <col min="31" max="31" width="15.90625" bestFit="1" customWidth="1"/>
    <col min="32" max="32" width="10.26953125" bestFit="1" customWidth="1"/>
    <col min="33" max="33" width="14.08984375" bestFit="1" customWidth="1"/>
    <col min="34" max="34" width="15.7265625" bestFit="1" customWidth="1"/>
    <col min="35" max="35" width="14.453125" bestFit="1" customWidth="1"/>
    <col min="36" max="36" width="25.26953125" bestFit="1" customWidth="1"/>
    <col min="37" max="37" width="15.453125" bestFit="1" customWidth="1"/>
  </cols>
  <sheetData>
    <row r="1" spans="1:37" ht="25.8" x14ac:dyDescent="0.35">
      <c r="A1" s="35">
        <v>45962</v>
      </c>
      <c r="B1" s="35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</row>
    <row r="2" spans="1:37" ht="31.2" x14ac:dyDescent="0.35">
      <c r="A2" s="2" t="s">
        <v>0</v>
      </c>
      <c r="B2" s="2" t="s">
        <v>1</v>
      </c>
      <c r="C2" s="3" t="s">
        <v>2</v>
      </c>
      <c r="D2" s="3" t="s">
        <v>3</v>
      </c>
      <c r="E2" s="2" t="s">
        <v>4</v>
      </c>
      <c r="F2" s="4" t="s">
        <v>5</v>
      </c>
      <c r="G2" s="30" t="s">
        <v>6</v>
      </c>
      <c r="H2" s="31" t="s">
        <v>7</v>
      </c>
      <c r="I2" s="30" t="s">
        <v>53</v>
      </c>
      <c r="J2" s="4" t="s">
        <v>8</v>
      </c>
      <c r="K2" s="6" t="s">
        <v>9</v>
      </c>
      <c r="L2" s="2" t="s">
        <v>10</v>
      </c>
      <c r="M2" s="2" t="s">
        <v>11</v>
      </c>
      <c r="N2" s="6" t="s">
        <v>12</v>
      </c>
      <c r="O2" s="4" t="s">
        <v>13</v>
      </c>
      <c r="P2" s="4" t="s">
        <v>14</v>
      </c>
      <c r="Q2" s="2" t="s">
        <v>15</v>
      </c>
      <c r="R2" s="2" t="s">
        <v>16</v>
      </c>
      <c r="S2" s="5" t="s">
        <v>17</v>
      </c>
      <c r="T2" s="5" t="s">
        <v>18</v>
      </c>
      <c r="U2" s="5" t="s">
        <v>19</v>
      </c>
      <c r="V2" s="2" t="s">
        <v>20</v>
      </c>
      <c r="W2" s="6" t="s">
        <v>21</v>
      </c>
      <c r="X2" s="2" t="s">
        <v>22</v>
      </c>
      <c r="Y2" s="6" t="s">
        <v>23</v>
      </c>
      <c r="Z2" s="28" t="s">
        <v>24</v>
      </c>
      <c r="AA2" s="29" t="s">
        <v>9</v>
      </c>
      <c r="AB2" s="29" t="s">
        <v>25</v>
      </c>
      <c r="AC2" s="6" t="s">
        <v>26</v>
      </c>
      <c r="AD2" s="6" t="s">
        <v>27</v>
      </c>
      <c r="AE2" s="6" t="s">
        <v>28</v>
      </c>
      <c r="AF2" s="6" t="s">
        <v>29</v>
      </c>
      <c r="AG2" s="6" t="s">
        <v>30</v>
      </c>
      <c r="AH2" s="6" t="s">
        <v>31</v>
      </c>
      <c r="AI2" s="5" t="s">
        <v>32</v>
      </c>
      <c r="AJ2" s="31" t="s">
        <v>104</v>
      </c>
      <c r="AK2" s="2" t="s">
        <v>33</v>
      </c>
    </row>
    <row r="3" spans="1:37" x14ac:dyDescent="0.35">
      <c r="A3" s="7" t="s">
        <v>38</v>
      </c>
      <c r="B3" s="27" t="s">
        <v>121</v>
      </c>
      <c r="C3" s="7" t="s">
        <v>39</v>
      </c>
      <c r="D3" s="33" t="s">
        <v>103</v>
      </c>
      <c r="E3" s="7" t="s">
        <v>105</v>
      </c>
      <c r="F3" s="19">
        <v>29805012706739</v>
      </c>
      <c r="G3" s="9" t="s">
        <v>35</v>
      </c>
      <c r="H3" s="10">
        <v>3500</v>
      </c>
      <c r="I3" s="10">
        <v>0</v>
      </c>
      <c r="J3" s="11">
        <v>1</v>
      </c>
      <c r="K3" s="10">
        <f t="shared" ref="K3:K28" si="0">+I3*J3</f>
        <v>0</v>
      </c>
      <c r="L3" s="10">
        <v>0</v>
      </c>
      <c r="M3" s="10">
        <f>30-V3</f>
        <v>30</v>
      </c>
      <c r="N3" s="10">
        <f t="shared" ref="N3:N28" si="1">L3*M3</f>
        <v>0</v>
      </c>
      <c r="O3" s="12">
        <f t="shared" ref="O3:O28" si="2">K3/30</f>
        <v>0</v>
      </c>
      <c r="P3" s="10">
        <f t="shared" ref="P3:P28" si="3">H3/30</f>
        <v>116.66666666666667</v>
      </c>
      <c r="Q3" s="12">
        <f t="shared" ref="Q3:Q28" si="4">+P3/8</f>
        <v>14.583333333333334</v>
      </c>
      <c r="R3" s="10">
        <v>58</v>
      </c>
      <c r="S3" s="10">
        <f t="shared" ref="S3:S28" si="5">+Q3*R3</f>
        <v>845.83333333333337</v>
      </c>
      <c r="T3" s="10">
        <v>0</v>
      </c>
      <c r="U3" s="13">
        <f t="shared" ref="U3:U28" si="6">H3+K3+N3+S3+T3</f>
        <v>4345.833333333333</v>
      </c>
      <c r="V3" s="25">
        <v>0</v>
      </c>
      <c r="W3" s="14">
        <f t="shared" ref="W3:W28" si="7">P3*V3</f>
        <v>0</v>
      </c>
      <c r="X3" s="14">
        <v>0</v>
      </c>
      <c r="Y3" s="14">
        <f t="shared" ref="Y3:Y28" si="8">P3*X3</f>
        <v>0</v>
      </c>
      <c r="Z3" s="14">
        <v>0</v>
      </c>
      <c r="AA3" s="14">
        <f t="shared" ref="AA3:AA28" si="9">O3*Z3</f>
        <v>0</v>
      </c>
      <c r="AB3" s="15">
        <f t="shared" ref="AB3:AB28" si="10">W3+Y3+AA3</f>
        <v>0</v>
      </c>
      <c r="AC3" s="16">
        <f t="shared" ref="AC3:AC28" si="11">U3-AB3</f>
        <v>4345.833333333333</v>
      </c>
      <c r="AD3" s="17"/>
      <c r="AE3" s="17">
        <f t="shared" ref="AE3:AE28" si="12">+AD3*0.11</f>
        <v>0</v>
      </c>
      <c r="AF3" s="17"/>
      <c r="AG3" s="17">
        <v>0</v>
      </c>
      <c r="AH3" s="16">
        <f t="shared" ref="AH3:AH28" si="13">+AC3-AE3-AF3-AG3</f>
        <v>4345.833333333333</v>
      </c>
      <c r="AI3" s="17">
        <v>0</v>
      </c>
      <c r="AJ3" s="16">
        <f t="shared" ref="AJ3:AJ28" si="14">+AH3-AI3</f>
        <v>4345.833333333333</v>
      </c>
      <c r="AK3" s="18">
        <f t="shared" ref="AK3:AK28" si="15">+AD3*0.1875</f>
        <v>0</v>
      </c>
    </row>
    <row r="4" spans="1:37" x14ac:dyDescent="0.35">
      <c r="A4" s="7" t="s">
        <v>38</v>
      </c>
      <c r="B4" s="27" t="s">
        <v>75</v>
      </c>
      <c r="C4" s="7" t="s">
        <v>50</v>
      </c>
      <c r="D4" s="33" t="s">
        <v>103</v>
      </c>
      <c r="E4" s="7" t="s">
        <v>74</v>
      </c>
      <c r="F4" s="20">
        <v>29608152700633</v>
      </c>
      <c r="G4" s="9" t="s">
        <v>35</v>
      </c>
      <c r="H4" s="10">
        <v>3000</v>
      </c>
      <c r="I4" s="10">
        <v>0</v>
      </c>
      <c r="J4" s="11">
        <v>1</v>
      </c>
      <c r="K4" s="10">
        <f t="shared" si="0"/>
        <v>0</v>
      </c>
      <c r="L4" s="10">
        <v>0</v>
      </c>
      <c r="M4" s="10">
        <f>30-V4</f>
        <v>30</v>
      </c>
      <c r="N4" s="10">
        <f t="shared" si="1"/>
        <v>0</v>
      </c>
      <c r="O4" s="12">
        <f t="shared" si="2"/>
        <v>0</v>
      </c>
      <c r="P4" s="10">
        <f t="shared" si="3"/>
        <v>100</v>
      </c>
      <c r="Q4" s="12">
        <f t="shared" si="4"/>
        <v>12.5</v>
      </c>
      <c r="R4" s="10">
        <v>0</v>
      </c>
      <c r="S4" s="10">
        <f t="shared" si="5"/>
        <v>0</v>
      </c>
      <c r="T4" s="10">
        <v>0</v>
      </c>
      <c r="U4" s="13">
        <f t="shared" si="6"/>
        <v>3000</v>
      </c>
      <c r="V4" s="25">
        <v>0</v>
      </c>
      <c r="W4" s="14">
        <f t="shared" si="7"/>
        <v>0</v>
      </c>
      <c r="X4" s="14">
        <v>0</v>
      </c>
      <c r="Y4" s="14">
        <f t="shared" si="8"/>
        <v>0</v>
      </c>
      <c r="Z4" s="14">
        <v>0</v>
      </c>
      <c r="AA4" s="14">
        <f t="shared" si="9"/>
        <v>0</v>
      </c>
      <c r="AB4" s="15">
        <f t="shared" si="10"/>
        <v>0</v>
      </c>
      <c r="AC4" s="16">
        <f t="shared" si="11"/>
        <v>3000</v>
      </c>
      <c r="AD4" s="17"/>
      <c r="AE4" s="17">
        <f t="shared" si="12"/>
        <v>0</v>
      </c>
      <c r="AF4" s="17"/>
      <c r="AG4" s="17">
        <v>0</v>
      </c>
      <c r="AH4" s="16">
        <f t="shared" si="13"/>
        <v>3000</v>
      </c>
      <c r="AI4" s="17">
        <v>0</v>
      </c>
      <c r="AJ4" s="16">
        <f t="shared" si="14"/>
        <v>3000</v>
      </c>
      <c r="AK4" s="18">
        <f t="shared" si="15"/>
        <v>0</v>
      </c>
    </row>
    <row r="5" spans="1:37" x14ac:dyDescent="0.35">
      <c r="A5" s="7" t="s">
        <v>38</v>
      </c>
      <c r="B5" s="27" t="s">
        <v>76</v>
      </c>
      <c r="C5" s="7" t="s">
        <v>55</v>
      </c>
      <c r="D5" s="8" t="s">
        <v>34</v>
      </c>
      <c r="E5" s="32" t="s">
        <v>106</v>
      </c>
      <c r="F5" s="20">
        <v>29312202700111</v>
      </c>
      <c r="G5" s="9" t="s">
        <v>52</v>
      </c>
      <c r="H5" s="10">
        <v>1000</v>
      </c>
      <c r="I5" s="10">
        <v>0</v>
      </c>
      <c r="J5" s="11">
        <v>1</v>
      </c>
      <c r="K5" s="10">
        <f t="shared" si="0"/>
        <v>0</v>
      </c>
      <c r="L5" s="10">
        <v>0</v>
      </c>
      <c r="M5" s="10">
        <f>30-V5</f>
        <v>30</v>
      </c>
      <c r="N5" s="10">
        <f t="shared" si="1"/>
        <v>0</v>
      </c>
      <c r="O5" s="12">
        <f t="shared" si="2"/>
        <v>0</v>
      </c>
      <c r="P5" s="10">
        <f t="shared" si="3"/>
        <v>33.333333333333336</v>
      </c>
      <c r="Q5" s="12">
        <f t="shared" si="4"/>
        <v>4.166666666666667</v>
      </c>
      <c r="R5" s="10">
        <v>0</v>
      </c>
      <c r="S5" s="10">
        <f t="shared" si="5"/>
        <v>0</v>
      </c>
      <c r="T5" s="10">
        <v>0</v>
      </c>
      <c r="U5" s="13">
        <f t="shared" si="6"/>
        <v>1000</v>
      </c>
      <c r="V5" s="25">
        <v>0</v>
      </c>
      <c r="W5" s="14">
        <f t="shared" si="7"/>
        <v>0</v>
      </c>
      <c r="X5" s="14">
        <v>0</v>
      </c>
      <c r="Y5" s="14">
        <f t="shared" si="8"/>
        <v>0</v>
      </c>
      <c r="Z5" s="14">
        <v>0</v>
      </c>
      <c r="AA5" s="14">
        <f t="shared" si="9"/>
        <v>0</v>
      </c>
      <c r="AB5" s="15">
        <f t="shared" si="10"/>
        <v>0</v>
      </c>
      <c r="AC5" s="16">
        <f t="shared" si="11"/>
        <v>1000</v>
      </c>
      <c r="AD5" s="17"/>
      <c r="AE5" s="17">
        <f t="shared" si="12"/>
        <v>0</v>
      </c>
      <c r="AF5" s="17"/>
      <c r="AG5" s="17">
        <v>0</v>
      </c>
      <c r="AH5" s="16">
        <f t="shared" si="13"/>
        <v>1000</v>
      </c>
      <c r="AI5" s="17">
        <v>0</v>
      </c>
      <c r="AJ5" s="16">
        <f t="shared" si="14"/>
        <v>1000</v>
      </c>
      <c r="AK5" s="18">
        <f t="shared" si="15"/>
        <v>0</v>
      </c>
    </row>
    <row r="6" spans="1:37" x14ac:dyDescent="0.35">
      <c r="A6" s="7" t="s">
        <v>38</v>
      </c>
      <c r="B6" s="27" t="s">
        <v>77</v>
      </c>
      <c r="C6" s="7" t="s">
        <v>41</v>
      </c>
      <c r="D6" s="33" t="s">
        <v>103</v>
      </c>
      <c r="E6" s="7" t="s">
        <v>107</v>
      </c>
      <c r="F6" s="20">
        <v>29907012705373</v>
      </c>
      <c r="G6" s="9" t="s">
        <v>35</v>
      </c>
      <c r="H6" s="10">
        <v>3500</v>
      </c>
      <c r="I6" s="10">
        <v>0</v>
      </c>
      <c r="J6" s="11">
        <v>1</v>
      </c>
      <c r="K6" s="10">
        <f t="shared" si="0"/>
        <v>0</v>
      </c>
      <c r="L6" s="10">
        <v>0</v>
      </c>
      <c r="M6" s="10">
        <f>30-V6</f>
        <v>30</v>
      </c>
      <c r="N6" s="10">
        <f t="shared" si="1"/>
        <v>0</v>
      </c>
      <c r="O6" s="12">
        <f t="shared" si="2"/>
        <v>0</v>
      </c>
      <c r="P6" s="10">
        <f t="shared" si="3"/>
        <v>116.66666666666667</v>
      </c>
      <c r="Q6" s="12">
        <f t="shared" si="4"/>
        <v>14.583333333333334</v>
      </c>
      <c r="R6" s="10">
        <v>10</v>
      </c>
      <c r="S6" s="10">
        <f t="shared" si="5"/>
        <v>145.83333333333334</v>
      </c>
      <c r="T6" s="10">
        <v>0</v>
      </c>
      <c r="U6" s="13">
        <f t="shared" si="6"/>
        <v>3645.8333333333335</v>
      </c>
      <c r="V6" s="25">
        <v>0</v>
      </c>
      <c r="W6" s="14">
        <f t="shared" si="7"/>
        <v>0</v>
      </c>
      <c r="X6" s="14">
        <v>0</v>
      </c>
      <c r="Y6" s="14">
        <f t="shared" si="8"/>
        <v>0</v>
      </c>
      <c r="Z6" s="14">
        <v>0</v>
      </c>
      <c r="AA6" s="14">
        <f t="shared" si="9"/>
        <v>0</v>
      </c>
      <c r="AB6" s="15">
        <f t="shared" si="10"/>
        <v>0</v>
      </c>
      <c r="AC6" s="16">
        <f t="shared" si="11"/>
        <v>3645.8333333333335</v>
      </c>
      <c r="AD6" s="17"/>
      <c r="AE6" s="17">
        <f t="shared" si="12"/>
        <v>0</v>
      </c>
      <c r="AF6" s="17"/>
      <c r="AG6" s="17">
        <v>0</v>
      </c>
      <c r="AH6" s="16">
        <f t="shared" si="13"/>
        <v>3645.8333333333335</v>
      </c>
      <c r="AI6" s="17">
        <v>0</v>
      </c>
      <c r="AJ6" s="16">
        <f t="shared" si="14"/>
        <v>3645.8333333333335</v>
      </c>
      <c r="AK6" s="18">
        <f t="shared" si="15"/>
        <v>0</v>
      </c>
    </row>
    <row r="7" spans="1:37" x14ac:dyDescent="0.35">
      <c r="A7" s="7" t="s">
        <v>38</v>
      </c>
      <c r="B7" s="27" t="s">
        <v>78</v>
      </c>
      <c r="C7" s="7" t="s">
        <v>63</v>
      </c>
      <c r="D7" s="33" t="s">
        <v>103</v>
      </c>
      <c r="E7" s="7" t="s">
        <v>109</v>
      </c>
      <c r="F7" s="20">
        <v>30009012708949</v>
      </c>
      <c r="G7" s="9" t="s">
        <v>35</v>
      </c>
      <c r="H7" s="10">
        <v>3000</v>
      </c>
      <c r="I7" s="10">
        <v>0</v>
      </c>
      <c r="J7" s="11">
        <v>1</v>
      </c>
      <c r="K7" s="10">
        <f t="shared" si="0"/>
        <v>0</v>
      </c>
      <c r="L7" s="10">
        <v>0</v>
      </c>
      <c r="M7" s="10">
        <f t="shared" ref="M7:M28" si="16">30-V7</f>
        <v>29</v>
      </c>
      <c r="N7" s="10">
        <f t="shared" si="1"/>
        <v>0</v>
      </c>
      <c r="O7" s="12">
        <f t="shared" si="2"/>
        <v>0</v>
      </c>
      <c r="P7" s="10">
        <f t="shared" si="3"/>
        <v>100</v>
      </c>
      <c r="Q7" s="12">
        <f t="shared" si="4"/>
        <v>12.5</v>
      </c>
      <c r="R7" s="10">
        <v>69</v>
      </c>
      <c r="S7" s="10">
        <f t="shared" si="5"/>
        <v>862.5</v>
      </c>
      <c r="T7" s="10">
        <v>0</v>
      </c>
      <c r="U7" s="13">
        <f t="shared" si="6"/>
        <v>3862.5</v>
      </c>
      <c r="V7" s="25">
        <v>1</v>
      </c>
      <c r="W7" s="14">
        <f t="shared" si="7"/>
        <v>100</v>
      </c>
      <c r="X7" s="14">
        <v>0</v>
      </c>
      <c r="Y7" s="14">
        <f t="shared" si="8"/>
        <v>0</v>
      </c>
      <c r="Z7" s="14">
        <v>0</v>
      </c>
      <c r="AA7" s="14">
        <f t="shared" si="9"/>
        <v>0</v>
      </c>
      <c r="AB7" s="15">
        <f t="shared" si="10"/>
        <v>100</v>
      </c>
      <c r="AC7" s="16">
        <f t="shared" si="11"/>
        <v>3762.5</v>
      </c>
      <c r="AD7" s="17"/>
      <c r="AE7" s="17">
        <f t="shared" si="12"/>
        <v>0</v>
      </c>
      <c r="AF7" s="17"/>
      <c r="AG7" s="17">
        <v>0</v>
      </c>
      <c r="AH7" s="16">
        <f t="shared" si="13"/>
        <v>3762.5</v>
      </c>
      <c r="AI7" s="17">
        <v>0</v>
      </c>
      <c r="AJ7" s="16">
        <f t="shared" si="14"/>
        <v>3762.5</v>
      </c>
      <c r="AK7" s="18">
        <f t="shared" si="15"/>
        <v>0</v>
      </c>
    </row>
    <row r="8" spans="1:37" x14ac:dyDescent="0.35">
      <c r="A8" s="7" t="s">
        <v>38</v>
      </c>
      <c r="B8" s="27" t="s">
        <v>79</v>
      </c>
      <c r="C8" s="7" t="s">
        <v>101</v>
      </c>
      <c r="D8" s="8" t="s">
        <v>34</v>
      </c>
      <c r="E8" s="32" t="s">
        <v>65</v>
      </c>
      <c r="F8" s="20">
        <v>29404012701911</v>
      </c>
      <c r="G8" s="9" t="s">
        <v>51</v>
      </c>
      <c r="H8" s="10">
        <v>6000</v>
      </c>
      <c r="I8" s="10">
        <v>0</v>
      </c>
      <c r="J8" s="11">
        <v>1</v>
      </c>
      <c r="K8" s="10">
        <f t="shared" si="0"/>
        <v>0</v>
      </c>
      <c r="L8" s="10">
        <v>0</v>
      </c>
      <c r="M8" s="10">
        <f t="shared" si="16"/>
        <v>29</v>
      </c>
      <c r="N8" s="10">
        <f t="shared" si="1"/>
        <v>0</v>
      </c>
      <c r="O8" s="12">
        <f t="shared" si="2"/>
        <v>0</v>
      </c>
      <c r="P8" s="10">
        <f t="shared" si="3"/>
        <v>200</v>
      </c>
      <c r="Q8" s="12">
        <f t="shared" si="4"/>
        <v>25</v>
      </c>
      <c r="R8" s="10">
        <v>160</v>
      </c>
      <c r="S8" s="10">
        <f t="shared" si="5"/>
        <v>4000</v>
      </c>
      <c r="T8" s="10">
        <v>0</v>
      </c>
      <c r="U8" s="13">
        <f t="shared" si="6"/>
        <v>10000</v>
      </c>
      <c r="V8" s="25">
        <v>1</v>
      </c>
      <c r="W8" s="14">
        <f t="shared" si="7"/>
        <v>200</v>
      </c>
      <c r="X8" s="14">
        <v>0</v>
      </c>
      <c r="Y8" s="14">
        <f t="shared" si="8"/>
        <v>0</v>
      </c>
      <c r="Z8" s="14">
        <v>0</v>
      </c>
      <c r="AA8" s="14">
        <f t="shared" si="9"/>
        <v>0</v>
      </c>
      <c r="AB8" s="15">
        <f t="shared" si="10"/>
        <v>200</v>
      </c>
      <c r="AC8" s="16">
        <f t="shared" si="11"/>
        <v>9800</v>
      </c>
      <c r="AD8" s="17"/>
      <c r="AE8" s="17">
        <f t="shared" si="12"/>
        <v>0</v>
      </c>
      <c r="AF8" s="17"/>
      <c r="AG8" s="17">
        <v>0</v>
      </c>
      <c r="AH8" s="16">
        <f t="shared" si="13"/>
        <v>9800</v>
      </c>
      <c r="AI8" s="17">
        <v>0</v>
      </c>
      <c r="AJ8" s="16">
        <f t="shared" si="14"/>
        <v>9800</v>
      </c>
      <c r="AK8" s="18">
        <f t="shared" si="15"/>
        <v>0</v>
      </c>
    </row>
    <row r="9" spans="1:37" x14ac:dyDescent="0.35">
      <c r="A9" s="7" t="s">
        <v>38</v>
      </c>
      <c r="B9" s="27" t="s">
        <v>80</v>
      </c>
      <c r="C9" s="7" t="s">
        <v>100</v>
      </c>
      <c r="D9" s="33" t="s">
        <v>103</v>
      </c>
      <c r="E9" s="7" t="s">
        <v>69</v>
      </c>
      <c r="F9" s="20">
        <v>29001202703807</v>
      </c>
      <c r="G9" s="9" t="s">
        <v>35</v>
      </c>
      <c r="H9" s="10">
        <v>5000</v>
      </c>
      <c r="I9" s="10">
        <v>0</v>
      </c>
      <c r="J9" s="11">
        <v>1</v>
      </c>
      <c r="K9" s="10">
        <f t="shared" si="0"/>
        <v>0</v>
      </c>
      <c r="L9" s="10">
        <v>0</v>
      </c>
      <c r="M9" s="10">
        <f t="shared" si="16"/>
        <v>30</v>
      </c>
      <c r="N9" s="10">
        <f t="shared" si="1"/>
        <v>0</v>
      </c>
      <c r="O9" s="12">
        <f t="shared" si="2"/>
        <v>0</v>
      </c>
      <c r="P9" s="10">
        <f t="shared" si="3"/>
        <v>166.66666666666666</v>
      </c>
      <c r="Q9" s="12">
        <f t="shared" si="4"/>
        <v>20.833333333333332</v>
      </c>
      <c r="R9" s="10">
        <v>16</v>
      </c>
      <c r="S9" s="10">
        <f t="shared" si="5"/>
        <v>333.33333333333331</v>
      </c>
      <c r="T9" s="10">
        <v>0</v>
      </c>
      <c r="U9" s="13">
        <f t="shared" si="6"/>
        <v>5333.333333333333</v>
      </c>
      <c r="V9" s="25">
        <v>0</v>
      </c>
      <c r="W9" s="14">
        <f t="shared" si="7"/>
        <v>0</v>
      </c>
      <c r="X9" s="14">
        <v>0</v>
      </c>
      <c r="Y9" s="14">
        <f t="shared" si="8"/>
        <v>0</v>
      </c>
      <c r="Z9" s="14">
        <v>0</v>
      </c>
      <c r="AA9" s="14">
        <f t="shared" si="9"/>
        <v>0</v>
      </c>
      <c r="AB9" s="15">
        <f t="shared" si="10"/>
        <v>0</v>
      </c>
      <c r="AC9" s="16">
        <f t="shared" si="11"/>
        <v>5333.333333333333</v>
      </c>
      <c r="AD9" s="17"/>
      <c r="AE9" s="17">
        <f t="shared" si="12"/>
        <v>0</v>
      </c>
      <c r="AF9" s="17"/>
      <c r="AG9" s="17">
        <v>0</v>
      </c>
      <c r="AH9" s="16">
        <f t="shared" si="13"/>
        <v>5333.333333333333</v>
      </c>
      <c r="AI9" s="17">
        <v>0</v>
      </c>
      <c r="AJ9" s="16">
        <f t="shared" si="14"/>
        <v>5333.333333333333</v>
      </c>
      <c r="AK9" s="18">
        <f t="shared" si="15"/>
        <v>0</v>
      </c>
    </row>
    <row r="10" spans="1:37" x14ac:dyDescent="0.35">
      <c r="A10" s="7" t="s">
        <v>38</v>
      </c>
      <c r="B10" s="27" t="s">
        <v>81</v>
      </c>
      <c r="C10" s="7" t="s">
        <v>61</v>
      </c>
      <c r="D10" s="33" t="s">
        <v>103</v>
      </c>
      <c r="E10" s="7" t="s">
        <v>67</v>
      </c>
      <c r="F10" s="20">
        <v>30106052703422</v>
      </c>
      <c r="G10" s="9" t="s">
        <v>35</v>
      </c>
      <c r="H10" s="10">
        <v>3500</v>
      </c>
      <c r="I10" s="10">
        <v>0</v>
      </c>
      <c r="J10" s="11">
        <v>1</v>
      </c>
      <c r="K10" s="10">
        <f t="shared" si="0"/>
        <v>0</v>
      </c>
      <c r="L10" s="10">
        <v>0</v>
      </c>
      <c r="M10" s="10">
        <f t="shared" si="16"/>
        <v>30</v>
      </c>
      <c r="N10" s="10">
        <f t="shared" si="1"/>
        <v>0</v>
      </c>
      <c r="O10" s="12">
        <f t="shared" si="2"/>
        <v>0</v>
      </c>
      <c r="P10" s="10">
        <f t="shared" si="3"/>
        <v>116.66666666666667</v>
      </c>
      <c r="Q10" s="12">
        <f t="shared" si="4"/>
        <v>14.583333333333334</v>
      </c>
      <c r="R10" s="10">
        <v>52</v>
      </c>
      <c r="S10" s="10">
        <f t="shared" si="5"/>
        <v>758.33333333333337</v>
      </c>
      <c r="T10" s="10">
        <v>0</v>
      </c>
      <c r="U10" s="13">
        <f t="shared" si="6"/>
        <v>4258.333333333333</v>
      </c>
      <c r="V10" s="25">
        <v>0</v>
      </c>
      <c r="W10" s="14">
        <f t="shared" si="7"/>
        <v>0</v>
      </c>
      <c r="X10" s="14">
        <v>0</v>
      </c>
      <c r="Y10" s="14">
        <f t="shared" si="8"/>
        <v>0</v>
      </c>
      <c r="Z10" s="14">
        <v>0</v>
      </c>
      <c r="AA10" s="14">
        <f t="shared" si="9"/>
        <v>0</v>
      </c>
      <c r="AB10" s="15">
        <f t="shared" si="10"/>
        <v>0</v>
      </c>
      <c r="AC10" s="16">
        <f t="shared" si="11"/>
        <v>4258.333333333333</v>
      </c>
      <c r="AD10" s="17"/>
      <c r="AE10" s="17">
        <f t="shared" si="12"/>
        <v>0</v>
      </c>
      <c r="AF10" s="17"/>
      <c r="AG10" s="17">
        <v>0</v>
      </c>
      <c r="AH10" s="16">
        <f t="shared" si="13"/>
        <v>4258.333333333333</v>
      </c>
      <c r="AI10" s="17">
        <v>0</v>
      </c>
      <c r="AJ10" s="16">
        <f t="shared" si="14"/>
        <v>4258.333333333333</v>
      </c>
      <c r="AK10" s="18">
        <f t="shared" si="15"/>
        <v>0</v>
      </c>
    </row>
    <row r="11" spans="1:37" x14ac:dyDescent="0.35">
      <c r="A11" s="7" t="s">
        <v>38</v>
      </c>
      <c r="B11" s="27" t="s">
        <v>82</v>
      </c>
      <c r="C11" s="7" t="s">
        <v>45</v>
      </c>
      <c r="D11" s="33" t="s">
        <v>103</v>
      </c>
      <c r="E11" s="7" t="s">
        <v>110</v>
      </c>
      <c r="F11" s="20">
        <v>30102012712245</v>
      </c>
      <c r="G11" s="9" t="s">
        <v>35</v>
      </c>
      <c r="H11" s="10">
        <v>4000</v>
      </c>
      <c r="I11" s="10">
        <v>0</v>
      </c>
      <c r="J11" s="11">
        <v>1</v>
      </c>
      <c r="K11" s="10">
        <f t="shared" si="0"/>
        <v>0</v>
      </c>
      <c r="L11" s="10">
        <v>0</v>
      </c>
      <c r="M11" s="10">
        <f t="shared" si="16"/>
        <v>11</v>
      </c>
      <c r="N11" s="10">
        <f t="shared" si="1"/>
        <v>0</v>
      </c>
      <c r="O11" s="12">
        <f t="shared" si="2"/>
        <v>0</v>
      </c>
      <c r="P11" s="10">
        <f t="shared" si="3"/>
        <v>133.33333333333334</v>
      </c>
      <c r="Q11" s="12">
        <f t="shared" si="4"/>
        <v>16.666666666666668</v>
      </c>
      <c r="R11" s="10">
        <v>36</v>
      </c>
      <c r="S11" s="10">
        <f t="shared" si="5"/>
        <v>600</v>
      </c>
      <c r="T11" s="10">
        <v>0</v>
      </c>
      <c r="U11" s="13">
        <f t="shared" si="6"/>
        <v>4600</v>
      </c>
      <c r="V11" s="25">
        <v>19</v>
      </c>
      <c r="W11" s="14">
        <f t="shared" si="7"/>
        <v>2533.3333333333335</v>
      </c>
      <c r="X11" s="14">
        <v>0</v>
      </c>
      <c r="Y11" s="14">
        <f t="shared" si="8"/>
        <v>0</v>
      </c>
      <c r="Z11" s="14">
        <v>0</v>
      </c>
      <c r="AA11" s="14">
        <f t="shared" si="9"/>
        <v>0</v>
      </c>
      <c r="AB11" s="15">
        <f t="shared" si="10"/>
        <v>2533.3333333333335</v>
      </c>
      <c r="AC11" s="16">
        <f t="shared" si="11"/>
        <v>2066.6666666666665</v>
      </c>
      <c r="AD11" s="17"/>
      <c r="AE11" s="17">
        <f t="shared" si="12"/>
        <v>0</v>
      </c>
      <c r="AF11" s="17"/>
      <c r="AG11" s="17">
        <v>0</v>
      </c>
      <c r="AH11" s="16">
        <f t="shared" si="13"/>
        <v>2066.6666666666665</v>
      </c>
      <c r="AI11" s="17">
        <v>0</v>
      </c>
      <c r="AJ11" s="16">
        <f t="shared" si="14"/>
        <v>2066.6666666666665</v>
      </c>
      <c r="AK11" s="18">
        <f t="shared" si="15"/>
        <v>0</v>
      </c>
    </row>
    <row r="12" spans="1:37" x14ac:dyDescent="0.35">
      <c r="A12" s="7" t="s">
        <v>38</v>
      </c>
      <c r="B12" s="27" t="s">
        <v>83</v>
      </c>
      <c r="C12" s="7" t="s">
        <v>40</v>
      </c>
      <c r="D12" s="33" t="s">
        <v>103</v>
      </c>
      <c r="E12" s="32" t="s">
        <v>66</v>
      </c>
      <c r="F12" s="20">
        <v>29503012700912</v>
      </c>
      <c r="G12" s="9" t="s">
        <v>35</v>
      </c>
      <c r="H12" s="10">
        <v>4000</v>
      </c>
      <c r="I12" s="10">
        <v>0</v>
      </c>
      <c r="J12" s="11">
        <v>1</v>
      </c>
      <c r="K12" s="10">
        <f t="shared" si="0"/>
        <v>0</v>
      </c>
      <c r="L12" s="10">
        <v>0</v>
      </c>
      <c r="M12" s="10">
        <f t="shared" si="16"/>
        <v>29</v>
      </c>
      <c r="N12" s="10">
        <f t="shared" si="1"/>
        <v>0</v>
      </c>
      <c r="O12" s="12">
        <f t="shared" si="2"/>
        <v>0</v>
      </c>
      <c r="P12" s="10">
        <f t="shared" si="3"/>
        <v>133.33333333333334</v>
      </c>
      <c r="Q12" s="12">
        <f t="shared" si="4"/>
        <v>16.666666666666668</v>
      </c>
      <c r="R12" s="10"/>
      <c r="S12" s="10">
        <f t="shared" si="5"/>
        <v>0</v>
      </c>
      <c r="T12" s="10">
        <v>0</v>
      </c>
      <c r="U12" s="13">
        <f t="shared" si="6"/>
        <v>4000</v>
      </c>
      <c r="V12" s="25">
        <v>1</v>
      </c>
      <c r="W12" s="14">
        <f t="shared" si="7"/>
        <v>133.33333333333334</v>
      </c>
      <c r="X12" s="14">
        <v>0</v>
      </c>
      <c r="Y12" s="14">
        <f t="shared" si="8"/>
        <v>0</v>
      </c>
      <c r="Z12" s="14">
        <v>0</v>
      </c>
      <c r="AA12" s="14">
        <f t="shared" si="9"/>
        <v>0</v>
      </c>
      <c r="AB12" s="15">
        <f t="shared" si="10"/>
        <v>133.33333333333334</v>
      </c>
      <c r="AC12" s="16">
        <f t="shared" si="11"/>
        <v>3866.6666666666665</v>
      </c>
      <c r="AD12" s="17"/>
      <c r="AE12" s="17">
        <f t="shared" si="12"/>
        <v>0</v>
      </c>
      <c r="AF12" s="17"/>
      <c r="AG12" s="17">
        <v>0</v>
      </c>
      <c r="AH12" s="16">
        <f t="shared" si="13"/>
        <v>3866.6666666666665</v>
      </c>
      <c r="AI12" s="17">
        <v>0</v>
      </c>
      <c r="AJ12" s="16">
        <f t="shared" si="14"/>
        <v>3866.6666666666665</v>
      </c>
      <c r="AK12" s="18">
        <f t="shared" si="15"/>
        <v>0</v>
      </c>
    </row>
    <row r="13" spans="1:37" x14ac:dyDescent="0.35">
      <c r="A13" s="7" t="s">
        <v>38</v>
      </c>
      <c r="B13" s="27" t="s">
        <v>84</v>
      </c>
      <c r="C13" s="7" t="s">
        <v>49</v>
      </c>
      <c r="D13" s="33" t="s">
        <v>103</v>
      </c>
      <c r="E13" s="7" t="s">
        <v>73</v>
      </c>
      <c r="F13" s="20">
        <v>29411012701798</v>
      </c>
      <c r="G13" s="9" t="s">
        <v>35</v>
      </c>
      <c r="H13" s="10">
        <v>3500</v>
      </c>
      <c r="I13" s="10">
        <v>0</v>
      </c>
      <c r="J13" s="11">
        <v>1</v>
      </c>
      <c r="K13" s="10">
        <f t="shared" si="0"/>
        <v>0</v>
      </c>
      <c r="L13" s="10">
        <v>0</v>
      </c>
      <c r="M13" s="10">
        <f t="shared" si="16"/>
        <v>30</v>
      </c>
      <c r="N13" s="10">
        <f t="shared" si="1"/>
        <v>0</v>
      </c>
      <c r="O13" s="12">
        <f t="shared" si="2"/>
        <v>0</v>
      </c>
      <c r="P13" s="10">
        <f t="shared" si="3"/>
        <v>116.66666666666667</v>
      </c>
      <c r="Q13" s="12">
        <f t="shared" si="4"/>
        <v>14.583333333333334</v>
      </c>
      <c r="R13" s="10">
        <v>48</v>
      </c>
      <c r="S13" s="10">
        <f t="shared" si="5"/>
        <v>700</v>
      </c>
      <c r="T13" s="10">
        <v>0</v>
      </c>
      <c r="U13" s="13">
        <f t="shared" si="6"/>
        <v>4200</v>
      </c>
      <c r="V13" s="25">
        <v>0</v>
      </c>
      <c r="W13" s="14">
        <f t="shared" si="7"/>
        <v>0</v>
      </c>
      <c r="X13" s="14">
        <v>0</v>
      </c>
      <c r="Y13" s="14">
        <f t="shared" si="8"/>
        <v>0</v>
      </c>
      <c r="Z13" s="14">
        <v>0</v>
      </c>
      <c r="AA13" s="14">
        <f t="shared" si="9"/>
        <v>0</v>
      </c>
      <c r="AB13" s="15">
        <f t="shared" si="10"/>
        <v>0</v>
      </c>
      <c r="AC13" s="16">
        <f t="shared" si="11"/>
        <v>4200</v>
      </c>
      <c r="AD13" s="17"/>
      <c r="AE13" s="17">
        <f t="shared" si="12"/>
        <v>0</v>
      </c>
      <c r="AF13" s="17"/>
      <c r="AG13" s="17">
        <v>0</v>
      </c>
      <c r="AH13" s="16">
        <f t="shared" si="13"/>
        <v>4200</v>
      </c>
      <c r="AI13" s="17">
        <v>0</v>
      </c>
      <c r="AJ13" s="16">
        <f t="shared" si="14"/>
        <v>4200</v>
      </c>
      <c r="AK13" s="18">
        <f t="shared" si="15"/>
        <v>0</v>
      </c>
    </row>
    <row r="14" spans="1:37" x14ac:dyDescent="0.35">
      <c r="A14" s="7" t="s">
        <v>38</v>
      </c>
      <c r="B14" s="27" t="s">
        <v>85</v>
      </c>
      <c r="C14" s="7" t="s">
        <v>56</v>
      </c>
      <c r="D14" s="33" t="s">
        <v>103</v>
      </c>
      <c r="E14" s="32" t="s">
        <v>68</v>
      </c>
      <c r="F14" s="20">
        <v>29906052701846</v>
      </c>
      <c r="G14" s="9" t="s">
        <v>35</v>
      </c>
      <c r="H14" s="10">
        <v>4000</v>
      </c>
      <c r="I14" s="10">
        <v>0</v>
      </c>
      <c r="J14" s="11">
        <v>1</v>
      </c>
      <c r="K14" s="10">
        <f t="shared" si="0"/>
        <v>0</v>
      </c>
      <c r="L14" s="10">
        <v>0</v>
      </c>
      <c r="M14" s="10">
        <f t="shared" si="16"/>
        <v>30</v>
      </c>
      <c r="N14" s="10">
        <f t="shared" si="1"/>
        <v>0</v>
      </c>
      <c r="O14" s="12">
        <f t="shared" si="2"/>
        <v>0</v>
      </c>
      <c r="P14" s="10">
        <f t="shared" si="3"/>
        <v>133.33333333333334</v>
      </c>
      <c r="Q14" s="12">
        <f t="shared" si="4"/>
        <v>16.666666666666668</v>
      </c>
      <c r="R14" s="10">
        <v>56</v>
      </c>
      <c r="S14" s="10">
        <f t="shared" si="5"/>
        <v>933.33333333333337</v>
      </c>
      <c r="T14" s="10">
        <v>0</v>
      </c>
      <c r="U14" s="13">
        <f t="shared" si="6"/>
        <v>4933.333333333333</v>
      </c>
      <c r="V14" s="25">
        <v>0</v>
      </c>
      <c r="W14" s="14">
        <f t="shared" si="7"/>
        <v>0</v>
      </c>
      <c r="X14" s="14">
        <v>0</v>
      </c>
      <c r="Y14" s="14">
        <f t="shared" si="8"/>
        <v>0</v>
      </c>
      <c r="Z14" s="14">
        <v>0</v>
      </c>
      <c r="AA14" s="14">
        <f t="shared" si="9"/>
        <v>0</v>
      </c>
      <c r="AB14" s="15">
        <f t="shared" si="10"/>
        <v>0</v>
      </c>
      <c r="AC14" s="16">
        <f t="shared" si="11"/>
        <v>4933.333333333333</v>
      </c>
      <c r="AD14" s="17"/>
      <c r="AE14" s="17">
        <f t="shared" si="12"/>
        <v>0</v>
      </c>
      <c r="AF14" s="17"/>
      <c r="AG14" s="17">
        <v>0</v>
      </c>
      <c r="AH14" s="16">
        <f t="shared" si="13"/>
        <v>4933.333333333333</v>
      </c>
      <c r="AI14" s="17">
        <v>0</v>
      </c>
      <c r="AJ14" s="16">
        <f t="shared" si="14"/>
        <v>4933.333333333333</v>
      </c>
      <c r="AK14" s="18">
        <f t="shared" si="15"/>
        <v>0</v>
      </c>
    </row>
    <row r="15" spans="1:37" x14ac:dyDescent="0.35">
      <c r="A15" s="7" t="s">
        <v>38</v>
      </c>
      <c r="B15" s="27" t="s">
        <v>86</v>
      </c>
      <c r="C15" s="7" t="s">
        <v>45</v>
      </c>
      <c r="D15" s="33" t="s">
        <v>103</v>
      </c>
      <c r="E15" s="7" t="s">
        <v>111</v>
      </c>
      <c r="F15" s="20">
        <v>27803252801003</v>
      </c>
      <c r="G15" s="9" t="s">
        <v>35</v>
      </c>
      <c r="H15" s="10">
        <v>3000</v>
      </c>
      <c r="I15" s="10">
        <v>0</v>
      </c>
      <c r="J15" s="11">
        <v>1</v>
      </c>
      <c r="K15" s="10">
        <f t="shared" si="0"/>
        <v>0</v>
      </c>
      <c r="L15" s="10">
        <v>0</v>
      </c>
      <c r="M15" s="10">
        <f t="shared" si="16"/>
        <v>30</v>
      </c>
      <c r="N15" s="10">
        <f t="shared" si="1"/>
        <v>0</v>
      </c>
      <c r="O15" s="12">
        <f t="shared" si="2"/>
        <v>0</v>
      </c>
      <c r="P15" s="10">
        <f t="shared" si="3"/>
        <v>100</v>
      </c>
      <c r="Q15" s="12">
        <f t="shared" si="4"/>
        <v>12.5</v>
      </c>
      <c r="R15" s="10">
        <v>25</v>
      </c>
      <c r="S15" s="10">
        <f t="shared" si="5"/>
        <v>312.5</v>
      </c>
      <c r="T15" s="10">
        <v>0</v>
      </c>
      <c r="U15" s="13">
        <f t="shared" si="6"/>
        <v>3312.5</v>
      </c>
      <c r="V15" s="25">
        <v>0</v>
      </c>
      <c r="W15" s="14">
        <f t="shared" si="7"/>
        <v>0</v>
      </c>
      <c r="X15" s="14">
        <v>0</v>
      </c>
      <c r="Y15" s="14">
        <f t="shared" si="8"/>
        <v>0</v>
      </c>
      <c r="Z15" s="14">
        <v>0</v>
      </c>
      <c r="AA15" s="14">
        <f t="shared" si="9"/>
        <v>0</v>
      </c>
      <c r="AB15" s="15">
        <f t="shared" si="10"/>
        <v>0</v>
      </c>
      <c r="AC15" s="16">
        <f t="shared" si="11"/>
        <v>3312.5</v>
      </c>
      <c r="AD15" s="17"/>
      <c r="AE15" s="17">
        <f t="shared" si="12"/>
        <v>0</v>
      </c>
      <c r="AF15" s="17"/>
      <c r="AG15" s="17">
        <v>0</v>
      </c>
      <c r="AH15" s="16">
        <f t="shared" si="13"/>
        <v>3312.5</v>
      </c>
      <c r="AI15" s="17">
        <v>0</v>
      </c>
      <c r="AJ15" s="16">
        <f t="shared" si="14"/>
        <v>3312.5</v>
      </c>
      <c r="AK15" s="18">
        <f t="shared" si="15"/>
        <v>0</v>
      </c>
    </row>
    <row r="16" spans="1:37" x14ac:dyDescent="0.35">
      <c r="A16" s="7" t="s">
        <v>38</v>
      </c>
      <c r="B16" s="27" t="s">
        <v>87</v>
      </c>
      <c r="C16" s="7" t="s">
        <v>58</v>
      </c>
      <c r="D16" s="33" t="s">
        <v>103</v>
      </c>
      <c r="E16" s="7" t="s">
        <v>112</v>
      </c>
      <c r="F16" s="20">
        <v>30405092701691</v>
      </c>
      <c r="G16" s="9" t="s">
        <v>35</v>
      </c>
      <c r="H16" s="10">
        <v>4000</v>
      </c>
      <c r="I16" s="10">
        <v>0</v>
      </c>
      <c r="J16" s="11">
        <v>1</v>
      </c>
      <c r="K16" s="10">
        <f t="shared" si="0"/>
        <v>0</v>
      </c>
      <c r="L16" s="10">
        <v>0</v>
      </c>
      <c r="M16" s="10">
        <f t="shared" si="16"/>
        <v>30</v>
      </c>
      <c r="N16" s="10">
        <f t="shared" si="1"/>
        <v>0</v>
      </c>
      <c r="O16" s="12">
        <f t="shared" si="2"/>
        <v>0</v>
      </c>
      <c r="P16" s="10">
        <f t="shared" si="3"/>
        <v>133.33333333333334</v>
      </c>
      <c r="Q16" s="12">
        <f t="shared" si="4"/>
        <v>16.666666666666668</v>
      </c>
      <c r="R16" s="10"/>
      <c r="S16" s="10">
        <f t="shared" si="5"/>
        <v>0</v>
      </c>
      <c r="T16" s="10">
        <v>0</v>
      </c>
      <c r="U16" s="13">
        <f t="shared" si="6"/>
        <v>4000</v>
      </c>
      <c r="V16" s="25">
        <v>0</v>
      </c>
      <c r="W16" s="14">
        <f t="shared" si="7"/>
        <v>0</v>
      </c>
      <c r="X16" s="14">
        <v>0</v>
      </c>
      <c r="Y16" s="14">
        <f t="shared" si="8"/>
        <v>0</v>
      </c>
      <c r="Z16" s="14">
        <v>0</v>
      </c>
      <c r="AA16" s="14">
        <f t="shared" si="9"/>
        <v>0</v>
      </c>
      <c r="AB16" s="15">
        <f t="shared" si="10"/>
        <v>0</v>
      </c>
      <c r="AC16" s="16">
        <f t="shared" si="11"/>
        <v>4000</v>
      </c>
      <c r="AD16" s="17"/>
      <c r="AE16" s="17">
        <f t="shared" si="12"/>
        <v>0</v>
      </c>
      <c r="AF16" s="17"/>
      <c r="AG16" s="17">
        <v>0</v>
      </c>
      <c r="AH16" s="16">
        <f t="shared" si="13"/>
        <v>4000</v>
      </c>
      <c r="AI16" s="17">
        <v>0</v>
      </c>
      <c r="AJ16" s="16">
        <f t="shared" si="14"/>
        <v>4000</v>
      </c>
      <c r="AK16" s="18">
        <f t="shared" si="15"/>
        <v>0</v>
      </c>
    </row>
    <row r="17" spans="1:37" x14ac:dyDescent="0.35">
      <c r="A17" s="7" t="s">
        <v>38</v>
      </c>
      <c r="B17" s="27" t="s">
        <v>88</v>
      </c>
      <c r="C17" s="7" t="s">
        <v>46</v>
      </c>
      <c r="D17" s="33" t="s">
        <v>103</v>
      </c>
      <c r="E17" s="7" t="s">
        <v>113</v>
      </c>
      <c r="F17" s="20">
        <v>28608012702471</v>
      </c>
      <c r="G17" s="9" t="s">
        <v>35</v>
      </c>
      <c r="H17" s="10">
        <v>3500</v>
      </c>
      <c r="I17" s="10">
        <v>0</v>
      </c>
      <c r="J17" s="11">
        <v>1</v>
      </c>
      <c r="K17" s="10">
        <f t="shared" si="0"/>
        <v>0</v>
      </c>
      <c r="L17" s="10">
        <v>0</v>
      </c>
      <c r="M17" s="10">
        <f t="shared" si="16"/>
        <v>28</v>
      </c>
      <c r="N17" s="10">
        <f t="shared" si="1"/>
        <v>0</v>
      </c>
      <c r="O17" s="12">
        <f t="shared" si="2"/>
        <v>0</v>
      </c>
      <c r="P17" s="10">
        <f t="shared" si="3"/>
        <v>116.66666666666667</v>
      </c>
      <c r="Q17" s="12">
        <f t="shared" si="4"/>
        <v>14.583333333333334</v>
      </c>
      <c r="R17" s="10">
        <v>22</v>
      </c>
      <c r="S17" s="10">
        <f t="shared" si="5"/>
        <v>320.83333333333337</v>
      </c>
      <c r="T17" s="10">
        <v>0</v>
      </c>
      <c r="U17" s="13">
        <f t="shared" si="6"/>
        <v>3820.8333333333335</v>
      </c>
      <c r="V17" s="25">
        <v>2</v>
      </c>
      <c r="W17" s="14">
        <f t="shared" si="7"/>
        <v>233.33333333333334</v>
      </c>
      <c r="X17" s="14">
        <v>0</v>
      </c>
      <c r="Y17" s="14">
        <f t="shared" si="8"/>
        <v>0</v>
      </c>
      <c r="Z17" s="14">
        <v>0</v>
      </c>
      <c r="AA17" s="14">
        <f t="shared" si="9"/>
        <v>0</v>
      </c>
      <c r="AB17" s="15">
        <f t="shared" si="10"/>
        <v>233.33333333333334</v>
      </c>
      <c r="AC17" s="16">
        <f t="shared" si="11"/>
        <v>3587.5</v>
      </c>
      <c r="AD17" s="17"/>
      <c r="AE17" s="17">
        <f t="shared" si="12"/>
        <v>0</v>
      </c>
      <c r="AF17" s="17"/>
      <c r="AG17" s="17">
        <v>0</v>
      </c>
      <c r="AH17" s="16">
        <f t="shared" si="13"/>
        <v>3587.5</v>
      </c>
      <c r="AI17" s="17">
        <v>0</v>
      </c>
      <c r="AJ17" s="16">
        <f t="shared" si="14"/>
        <v>3587.5</v>
      </c>
      <c r="AK17" s="18">
        <f t="shared" si="15"/>
        <v>0</v>
      </c>
    </row>
    <row r="18" spans="1:37" x14ac:dyDescent="0.35">
      <c r="A18" s="7" t="s">
        <v>38</v>
      </c>
      <c r="B18" s="27" t="s">
        <v>89</v>
      </c>
      <c r="C18" s="7" t="s">
        <v>44</v>
      </c>
      <c r="D18" s="33" t="s">
        <v>103</v>
      </c>
      <c r="E18" s="7" t="s">
        <v>70</v>
      </c>
      <c r="F18" s="20">
        <v>30203212700048</v>
      </c>
      <c r="G18" s="9" t="s">
        <v>35</v>
      </c>
      <c r="H18" s="10">
        <v>3500</v>
      </c>
      <c r="I18" s="10">
        <v>0</v>
      </c>
      <c r="J18" s="11">
        <v>1</v>
      </c>
      <c r="K18" s="10">
        <f t="shared" si="0"/>
        <v>0</v>
      </c>
      <c r="L18" s="10">
        <v>0</v>
      </c>
      <c r="M18" s="10">
        <f t="shared" si="16"/>
        <v>22</v>
      </c>
      <c r="N18" s="10">
        <f t="shared" si="1"/>
        <v>0</v>
      </c>
      <c r="O18" s="12">
        <f t="shared" si="2"/>
        <v>0</v>
      </c>
      <c r="P18" s="10">
        <f t="shared" si="3"/>
        <v>116.66666666666667</v>
      </c>
      <c r="Q18" s="12">
        <f t="shared" si="4"/>
        <v>14.583333333333334</v>
      </c>
      <c r="R18" s="10">
        <v>49</v>
      </c>
      <c r="S18" s="10">
        <f t="shared" si="5"/>
        <v>714.58333333333337</v>
      </c>
      <c r="T18" s="10">
        <v>0</v>
      </c>
      <c r="U18" s="13">
        <f t="shared" si="6"/>
        <v>4214.583333333333</v>
      </c>
      <c r="V18" s="25">
        <v>8</v>
      </c>
      <c r="W18" s="14">
        <f t="shared" si="7"/>
        <v>933.33333333333337</v>
      </c>
      <c r="X18" s="14">
        <v>0</v>
      </c>
      <c r="Y18" s="14">
        <f t="shared" si="8"/>
        <v>0</v>
      </c>
      <c r="Z18" s="14">
        <v>0</v>
      </c>
      <c r="AA18" s="14">
        <f t="shared" si="9"/>
        <v>0</v>
      </c>
      <c r="AB18" s="15">
        <f t="shared" si="10"/>
        <v>933.33333333333337</v>
      </c>
      <c r="AC18" s="16">
        <f t="shared" si="11"/>
        <v>3281.2499999999995</v>
      </c>
      <c r="AD18" s="17"/>
      <c r="AE18" s="17">
        <f t="shared" si="12"/>
        <v>0</v>
      </c>
      <c r="AF18" s="17"/>
      <c r="AG18" s="17">
        <v>0</v>
      </c>
      <c r="AH18" s="16">
        <f t="shared" si="13"/>
        <v>3281.2499999999995</v>
      </c>
      <c r="AI18" s="17">
        <v>0</v>
      </c>
      <c r="AJ18" s="16">
        <f t="shared" si="14"/>
        <v>3281.2499999999995</v>
      </c>
      <c r="AK18" s="18">
        <f t="shared" si="15"/>
        <v>0</v>
      </c>
    </row>
    <row r="19" spans="1:37" x14ac:dyDescent="0.35">
      <c r="A19" s="7" t="s">
        <v>38</v>
      </c>
      <c r="B19" s="27" t="s">
        <v>90</v>
      </c>
      <c r="C19" s="7" t="s">
        <v>125</v>
      </c>
      <c r="D19" s="8" t="s">
        <v>34</v>
      </c>
      <c r="E19" s="32" t="s">
        <v>114</v>
      </c>
      <c r="F19" s="20">
        <v>30610012732098</v>
      </c>
      <c r="G19" s="9" t="s">
        <v>35</v>
      </c>
      <c r="H19" s="10">
        <v>3500</v>
      </c>
      <c r="I19" s="10">
        <v>0</v>
      </c>
      <c r="J19" s="11">
        <v>1</v>
      </c>
      <c r="K19" s="10">
        <f t="shared" si="0"/>
        <v>0</v>
      </c>
      <c r="L19" s="10">
        <v>0</v>
      </c>
      <c r="M19" s="10">
        <f t="shared" si="16"/>
        <v>30</v>
      </c>
      <c r="N19" s="10">
        <f t="shared" si="1"/>
        <v>0</v>
      </c>
      <c r="O19" s="12">
        <f t="shared" si="2"/>
        <v>0</v>
      </c>
      <c r="P19" s="10">
        <f t="shared" si="3"/>
        <v>116.66666666666667</v>
      </c>
      <c r="Q19" s="12">
        <f t="shared" si="4"/>
        <v>14.583333333333334</v>
      </c>
      <c r="R19" s="10">
        <v>48</v>
      </c>
      <c r="S19" s="10">
        <f t="shared" si="5"/>
        <v>700</v>
      </c>
      <c r="T19" s="10">
        <v>0</v>
      </c>
      <c r="U19" s="13">
        <f t="shared" si="6"/>
        <v>4200</v>
      </c>
      <c r="V19" s="25">
        <v>0</v>
      </c>
      <c r="W19" s="14">
        <f t="shared" si="7"/>
        <v>0</v>
      </c>
      <c r="X19" s="14">
        <v>0</v>
      </c>
      <c r="Y19" s="14">
        <f t="shared" si="8"/>
        <v>0</v>
      </c>
      <c r="Z19" s="14">
        <v>0</v>
      </c>
      <c r="AA19" s="14">
        <f t="shared" si="9"/>
        <v>0</v>
      </c>
      <c r="AB19" s="15">
        <f t="shared" si="10"/>
        <v>0</v>
      </c>
      <c r="AC19" s="16">
        <f t="shared" si="11"/>
        <v>4200</v>
      </c>
      <c r="AD19" s="17"/>
      <c r="AE19" s="17">
        <f t="shared" si="12"/>
        <v>0</v>
      </c>
      <c r="AF19" s="17"/>
      <c r="AG19" s="17">
        <v>0</v>
      </c>
      <c r="AH19" s="16">
        <f t="shared" si="13"/>
        <v>4200</v>
      </c>
      <c r="AI19" s="17">
        <v>0</v>
      </c>
      <c r="AJ19" s="16">
        <f t="shared" si="14"/>
        <v>4200</v>
      </c>
      <c r="AK19" s="18">
        <f t="shared" si="15"/>
        <v>0</v>
      </c>
    </row>
    <row r="20" spans="1:37" x14ac:dyDescent="0.35">
      <c r="A20" s="7" t="s">
        <v>38</v>
      </c>
      <c r="B20" s="27" t="s">
        <v>122</v>
      </c>
      <c r="C20" s="7" t="s">
        <v>43</v>
      </c>
      <c r="D20" s="33" t="s">
        <v>103</v>
      </c>
      <c r="E20" s="7" t="s">
        <v>72</v>
      </c>
      <c r="F20" s="20">
        <v>29708152700603</v>
      </c>
      <c r="G20" s="9" t="s">
        <v>35</v>
      </c>
      <c r="H20" s="10">
        <v>3500</v>
      </c>
      <c r="I20" s="10">
        <v>0</v>
      </c>
      <c r="J20" s="11">
        <v>1</v>
      </c>
      <c r="K20" s="10">
        <f t="shared" si="0"/>
        <v>0</v>
      </c>
      <c r="L20" s="10">
        <v>0</v>
      </c>
      <c r="M20" s="10">
        <f t="shared" si="16"/>
        <v>28</v>
      </c>
      <c r="N20" s="10">
        <f t="shared" si="1"/>
        <v>0</v>
      </c>
      <c r="O20" s="12">
        <f t="shared" si="2"/>
        <v>0</v>
      </c>
      <c r="P20" s="10">
        <f t="shared" si="3"/>
        <v>116.66666666666667</v>
      </c>
      <c r="Q20" s="12">
        <f t="shared" si="4"/>
        <v>14.583333333333334</v>
      </c>
      <c r="R20" s="10">
        <v>48</v>
      </c>
      <c r="S20" s="10">
        <f t="shared" si="5"/>
        <v>700</v>
      </c>
      <c r="T20" s="10">
        <v>0</v>
      </c>
      <c r="U20" s="13">
        <f t="shared" si="6"/>
        <v>4200</v>
      </c>
      <c r="V20" s="25">
        <v>2</v>
      </c>
      <c r="W20" s="14">
        <f t="shared" si="7"/>
        <v>233.33333333333334</v>
      </c>
      <c r="X20" s="14">
        <v>0</v>
      </c>
      <c r="Y20" s="14">
        <f t="shared" si="8"/>
        <v>0</v>
      </c>
      <c r="Z20" s="14">
        <v>0</v>
      </c>
      <c r="AA20" s="14">
        <f t="shared" si="9"/>
        <v>0</v>
      </c>
      <c r="AB20" s="15">
        <f t="shared" si="10"/>
        <v>233.33333333333334</v>
      </c>
      <c r="AC20" s="16">
        <f t="shared" si="11"/>
        <v>3966.6666666666665</v>
      </c>
      <c r="AD20" s="17"/>
      <c r="AE20" s="17">
        <f t="shared" si="12"/>
        <v>0</v>
      </c>
      <c r="AF20" s="17"/>
      <c r="AG20" s="17">
        <v>0</v>
      </c>
      <c r="AH20" s="16">
        <f t="shared" si="13"/>
        <v>3966.6666666666665</v>
      </c>
      <c r="AI20" s="17">
        <v>0</v>
      </c>
      <c r="AJ20" s="16">
        <f t="shared" si="14"/>
        <v>3966.6666666666665</v>
      </c>
      <c r="AK20" s="18">
        <f t="shared" si="15"/>
        <v>0</v>
      </c>
    </row>
    <row r="21" spans="1:37" x14ac:dyDescent="0.35">
      <c r="A21" s="7" t="s">
        <v>38</v>
      </c>
      <c r="B21" s="27" t="s">
        <v>91</v>
      </c>
      <c r="C21" s="7" t="s">
        <v>59</v>
      </c>
      <c r="D21" s="8" t="s">
        <v>60</v>
      </c>
      <c r="E21" s="7" t="s">
        <v>71</v>
      </c>
      <c r="F21" s="20">
        <v>27306098800187</v>
      </c>
      <c r="G21" s="9" t="s">
        <v>35</v>
      </c>
      <c r="H21" s="10">
        <v>3000</v>
      </c>
      <c r="I21" s="10">
        <v>0</v>
      </c>
      <c r="J21" s="11">
        <v>1</v>
      </c>
      <c r="K21" s="10">
        <f t="shared" si="0"/>
        <v>0</v>
      </c>
      <c r="L21" s="10">
        <v>0</v>
      </c>
      <c r="M21" s="10">
        <f t="shared" si="16"/>
        <v>30</v>
      </c>
      <c r="N21" s="10">
        <f t="shared" si="1"/>
        <v>0</v>
      </c>
      <c r="O21" s="12">
        <f t="shared" si="2"/>
        <v>0</v>
      </c>
      <c r="P21" s="10">
        <f t="shared" si="3"/>
        <v>100</v>
      </c>
      <c r="Q21" s="12">
        <f t="shared" si="4"/>
        <v>12.5</v>
      </c>
      <c r="R21" s="10">
        <v>57</v>
      </c>
      <c r="S21" s="10">
        <f t="shared" si="5"/>
        <v>712.5</v>
      </c>
      <c r="T21" s="10">
        <v>0</v>
      </c>
      <c r="U21" s="13">
        <f t="shared" si="6"/>
        <v>3712.5</v>
      </c>
      <c r="V21" s="25">
        <v>0</v>
      </c>
      <c r="W21" s="14">
        <f t="shared" si="7"/>
        <v>0</v>
      </c>
      <c r="X21" s="14">
        <v>0</v>
      </c>
      <c r="Y21" s="14">
        <f t="shared" si="8"/>
        <v>0</v>
      </c>
      <c r="Z21" s="14">
        <v>0</v>
      </c>
      <c r="AA21" s="14">
        <f t="shared" si="9"/>
        <v>0</v>
      </c>
      <c r="AB21" s="15">
        <f t="shared" si="10"/>
        <v>0</v>
      </c>
      <c r="AC21" s="16">
        <f t="shared" si="11"/>
        <v>3712.5</v>
      </c>
      <c r="AD21" s="17"/>
      <c r="AE21" s="17">
        <f t="shared" si="12"/>
        <v>0</v>
      </c>
      <c r="AF21" s="17"/>
      <c r="AG21" s="17">
        <v>0</v>
      </c>
      <c r="AH21" s="16">
        <f t="shared" si="13"/>
        <v>3712.5</v>
      </c>
      <c r="AI21" s="17">
        <v>0</v>
      </c>
      <c r="AJ21" s="16">
        <f t="shared" si="14"/>
        <v>3712.5</v>
      </c>
      <c r="AK21" s="18">
        <f t="shared" si="15"/>
        <v>0</v>
      </c>
    </row>
    <row r="22" spans="1:37" x14ac:dyDescent="0.35">
      <c r="A22" s="7" t="s">
        <v>38</v>
      </c>
      <c r="B22" s="27" t="s">
        <v>92</v>
      </c>
      <c r="C22" s="7" t="s">
        <v>42</v>
      </c>
      <c r="D22" s="33" t="s">
        <v>103</v>
      </c>
      <c r="E22" s="7" t="s">
        <v>115</v>
      </c>
      <c r="F22" s="20">
        <v>30104202700947</v>
      </c>
      <c r="G22" s="9" t="s">
        <v>35</v>
      </c>
      <c r="H22" s="10">
        <v>3500</v>
      </c>
      <c r="I22" s="10">
        <v>0</v>
      </c>
      <c r="J22" s="11">
        <v>1</v>
      </c>
      <c r="K22" s="10">
        <f t="shared" si="0"/>
        <v>0</v>
      </c>
      <c r="L22" s="10">
        <v>0</v>
      </c>
      <c r="M22" s="10">
        <f t="shared" si="16"/>
        <v>29</v>
      </c>
      <c r="N22" s="10">
        <f t="shared" si="1"/>
        <v>0</v>
      </c>
      <c r="O22" s="12">
        <f t="shared" si="2"/>
        <v>0</v>
      </c>
      <c r="P22" s="10">
        <f t="shared" si="3"/>
        <v>116.66666666666667</v>
      </c>
      <c r="Q22" s="12">
        <f t="shared" si="4"/>
        <v>14.583333333333334</v>
      </c>
      <c r="R22" s="10">
        <v>32</v>
      </c>
      <c r="S22" s="10">
        <f t="shared" si="5"/>
        <v>466.66666666666669</v>
      </c>
      <c r="T22" s="10">
        <v>0</v>
      </c>
      <c r="U22" s="13">
        <f t="shared" si="6"/>
        <v>3966.6666666666665</v>
      </c>
      <c r="V22" s="25">
        <v>1</v>
      </c>
      <c r="W22" s="14">
        <f t="shared" si="7"/>
        <v>116.66666666666667</v>
      </c>
      <c r="X22" s="14">
        <v>0</v>
      </c>
      <c r="Y22" s="14">
        <f t="shared" si="8"/>
        <v>0</v>
      </c>
      <c r="Z22" s="14">
        <v>0</v>
      </c>
      <c r="AA22" s="14">
        <f t="shared" si="9"/>
        <v>0</v>
      </c>
      <c r="AB22" s="15">
        <f t="shared" si="10"/>
        <v>116.66666666666667</v>
      </c>
      <c r="AC22" s="16">
        <f t="shared" si="11"/>
        <v>3850</v>
      </c>
      <c r="AD22" s="17"/>
      <c r="AE22" s="17">
        <f t="shared" si="12"/>
        <v>0</v>
      </c>
      <c r="AF22" s="17"/>
      <c r="AG22" s="17">
        <v>0</v>
      </c>
      <c r="AH22" s="16">
        <f t="shared" si="13"/>
        <v>3850</v>
      </c>
      <c r="AI22" s="17">
        <v>0</v>
      </c>
      <c r="AJ22" s="16">
        <f t="shared" si="14"/>
        <v>3850</v>
      </c>
      <c r="AK22" s="18">
        <f t="shared" si="15"/>
        <v>0</v>
      </c>
    </row>
    <row r="23" spans="1:37" x14ac:dyDescent="0.35">
      <c r="A23" s="7" t="s">
        <v>38</v>
      </c>
      <c r="B23" s="27" t="s">
        <v>123</v>
      </c>
      <c r="C23" s="7" t="s">
        <v>62</v>
      </c>
      <c r="D23" s="33" t="s">
        <v>103</v>
      </c>
      <c r="E23" s="7" t="s">
        <v>116</v>
      </c>
      <c r="F23" s="20">
        <v>28909092704771</v>
      </c>
      <c r="G23" s="9" t="s">
        <v>35</v>
      </c>
      <c r="H23" s="10">
        <v>3000</v>
      </c>
      <c r="I23" s="10">
        <v>0</v>
      </c>
      <c r="J23" s="11">
        <v>1</v>
      </c>
      <c r="K23" s="10">
        <f t="shared" si="0"/>
        <v>0</v>
      </c>
      <c r="L23" s="10">
        <v>0</v>
      </c>
      <c r="M23" s="10">
        <f t="shared" si="16"/>
        <v>30</v>
      </c>
      <c r="N23" s="10">
        <f t="shared" si="1"/>
        <v>0</v>
      </c>
      <c r="O23" s="12">
        <f t="shared" si="2"/>
        <v>0</v>
      </c>
      <c r="P23" s="10">
        <f t="shared" si="3"/>
        <v>100</v>
      </c>
      <c r="Q23" s="12">
        <f t="shared" si="4"/>
        <v>12.5</v>
      </c>
      <c r="R23" s="10">
        <v>0</v>
      </c>
      <c r="S23" s="10">
        <f t="shared" si="5"/>
        <v>0</v>
      </c>
      <c r="T23" s="10">
        <v>0</v>
      </c>
      <c r="U23" s="13">
        <f t="shared" si="6"/>
        <v>3000</v>
      </c>
      <c r="V23" s="25">
        <v>0</v>
      </c>
      <c r="W23" s="14">
        <f t="shared" si="7"/>
        <v>0</v>
      </c>
      <c r="X23" s="14">
        <v>0</v>
      </c>
      <c r="Y23" s="14">
        <f t="shared" si="8"/>
        <v>0</v>
      </c>
      <c r="Z23" s="14">
        <v>0</v>
      </c>
      <c r="AA23" s="14">
        <f t="shared" si="9"/>
        <v>0</v>
      </c>
      <c r="AB23" s="15">
        <f t="shared" si="10"/>
        <v>0</v>
      </c>
      <c r="AC23" s="16">
        <f t="shared" si="11"/>
        <v>3000</v>
      </c>
      <c r="AD23" s="17"/>
      <c r="AE23" s="17">
        <f t="shared" si="12"/>
        <v>0</v>
      </c>
      <c r="AF23" s="17"/>
      <c r="AG23" s="17">
        <v>0</v>
      </c>
      <c r="AH23" s="16">
        <f t="shared" si="13"/>
        <v>3000</v>
      </c>
      <c r="AI23" s="17">
        <v>0</v>
      </c>
      <c r="AJ23" s="16">
        <f t="shared" si="14"/>
        <v>3000</v>
      </c>
      <c r="AK23" s="18">
        <f t="shared" si="15"/>
        <v>0</v>
      </c>
    </row>
    <row r="24" spans="1:37" x14ac:dyDescent="0.35">
      <c r="A24" s="7" t="s">
        <v>38</v>
      </c>
      <c r="B24" s="27" t="s">
        <v>93</v>
      </c>
      <c r="C24" s="7" t="s">
        <v>48</v>
      </c>
      <c r="D24" s="33" t="s">
        <v>103</v>
      </c>
      <c r="E24" s="7" t="s">
        <v>117</v>
      </c>
      <c r="F24" s="20">
        <v>30101102704067</v>
      </c>
      <c r="G24" s="9" t="s">
        <v>35</v>
      </c>
      <c r="H24" s="10">
        <v>3000</v>
      </c>
      <c r="I24" s="10">
        <v>0</v>
      </c>
      <c r="J24" s="11">
        <v>1</v>
      </c>
      <c r="K24" s="10">
        <f t="shared" si="0"/>
        <v>0</v>
      </c>
      <c r="L24" s="10">
        <v>0</v>
      </c>
      <c r="M24" s="10">
        <f t="shared" si="16"/>
        <v>23</v>
      </c>
      <c r="N24" s="10">
        <f t="shared" si="1"/>
        <v>0</v>
      </c>
      <c r="O24" s="12">
        <f t="shared" si="2"/>
        <v>0</v>
      </c>
      <c r="P24" s="10">
        <f t="shared" si="3"/>
        <v>100</v>
      </c>
      <c r="Q24" s="12">
        <f t="shared" si="4"/>
        <v>12.5</v>
      </c>
      <c r="R24" s="10">
        <v>72</v>
      </c>
      <c r="S24" s="10">
        <f t="shared" si="5"/>
        <v>900</v>
      </c>
      <c r="T24" s="10">
        <v>0</v>
      </c>
      <c r="U24" s="13">
        <f t="shared" si="6"/>
        <v>3900</v>
      </c>
      <c r="V24" s="25">
        <v>7</v>
      </c>
      <c r="W24" s="14">
        <f t="shared" si="7"/>
        <v>700</v>
      </c>
      <c r="X24" s="14">
        <v>0</v>
      </c>
      <c r="Y24" s="14">
        <f t="shared" si="8"/>
        <v>0</v>
      </c>
      <c r="Z24" s="14">
        <v>0</v>
      </c>
      <c r="AA24" s="14">
        <f t="shared" si="9"/>
        <v>0</v>
      </c>
      <c r="AB24" s="15">
        <f t="shared" si="10"/>
        <v>700</v>
      </c>
      <c r="AC24" s="16">
        <f t="shared" si="11"/>
        <v>3200</v>
      </c>
      <c r="AD24" s="17"/>
      <c r="AE24" s="17">
        <f t="shared" si="12"/>
        <v>0</v>
      </c>
      <c r="AF24" s="17"/>
      <c r="AG24" s="17">
        <v>0</v>
      </c>
      <c r="AH24" s="16">
        <f t="shared" si="13"/>
        <v>3200</v>
      </c>
      <c r="AI24" s="17">
        <v>0</v>
      </c>
      <c r="AJ24" s="16">
        <f t="shared" si="14"/>
        <v>3200</v>
      </c>
      <c r="AK24" s="18">
        <f t="shared" si="15"/>
        <v>0</v>
      </c>
    </row>
    <row r="25" spans="1:37" x14ac:dyDescent="0.35">
      <c r="A25" s="7" t="s">
        <v>38</v>
      </c>
      <c r="B25" s="27" t="s">
        <v>94</v>
      </c>
      <c r="C25" s="7" t="s">
        <v>57</v>
      </c>
      <c r="D25" s="33" t="s">
        <v>103</v>
      </c>
      <c r="E25" s="7" t="s">
        <v>118</v>
      </c>
      <c r="F25" s="20">
        <v>30109152705286</v>
      </c>
      <c r="G25" s="9" t="s">
        <v>35</v>
      </c>
      <c r="H25" s="10">
        <v>3500</v>
      </c>
      <c r="I25" s="10">
        <v>0</v>
      </c>
      <c r="J25" s="11">
        <v>1</v>
      </c>
      <c r="K25" s="10">
        <f t="shared" si="0"/>
        <v>0</v>
      </c>
      <c r="L25" s="10">
        <v>0</v>
      </c>
      <c r="M25" s="10">
        <f t="shared" si="16"/>
        <v>28</v>
      </c>
      <c r="N25" s="10">
        <f t="shared" si="1"/>
        <v>0</v>
      </c>
      <c r="O25" s="12">
        <f t="shared" si="2"/>
        <v>0</v>
      </c>
      <c r="P25" s="10">
        <f t="shared" si="3"/>
        <v>116.66666666666667</v>
      </c>
      <c r="Q25" s="12">
        <f t="shared" si="4"/>
        <v>14.583333333333334</v>
      </c>
      <c r="R25" s="10">
        <v>57</v>
      </c>
      <c r="S25" s="10">
        <f t="shared" si="5"/>
        <v>831.25</v>
      </c>
      <c r="T25" s="10">
        <v>0</v>
      </c>
      <c r="U25" s="13">
        <f t="shared" si="6"/>
        <v>4331.25</v>
      </c>
      <c r="V25" s="25">
        <v>2</v>
      </c>
      <c r="W25" s="14">
        <f t="shared" si="7"/>
        <v>233.33333333333334</v>
      </c>
      <c r="X25" s="14">
        <v>0</v>
      </c>
      <c r="Y25" s="14">
        <f t="shared" si="8"/>
        <v>0</v>
      </c>
      <c r="Z25" s="14">
        <v>0</v>
      </c>
      <c r="AA25" s="14">
        <f t="shared" si="9"/>
        <v>0</v>
      </c>
      <c r="AB25" s="15">
        <f t="shared" si="10"/>
        <v>233.33333333333334</v>
      </c>
      <c r="AC25" s="16">
        <f t="shared" si="11"/>
        <v>4097.916666666667</v>
      </c>
      <c r="AD25" s="17"/>
      <c r="AE25" s="17">
        <f t="shared" si="12"/>
        <v>0</v>
      </c>
      <c r="AF25" s="17"/>
      <c r="AG25" s="17">
        <v>0</v>
      </c>
      <c r="AH25" s="16">
        <f t="shared" si="13"/>
        <v>4097.916666666667</v>
      </c>
      <c r="AI25" s="17">
        <v>0</v>
      </c>
      <c r="AJ25" s="16">
        <f t="shared" si="14"/>
        <v>4097.916666666667</v>
      </c>
      <c r="AK25" s="18">
        <f t="shared" si="15"/>
        <v>0</v>
      </c>
    </row>
    <row r="26" spans="1:37" x14ac:dyDescent="0.35">
      <c r="A26" s="7" t="s">
        <v>38</v>
      </c>
      <c r="B26" s="27" t="s">
        <v>95</v>
      </c>
      <c r="C26" s="7" t="s">
        <v>99</v>
      </c>
      <c r="D26" s="33" t="s">
        <v>103</v>
      </c>
      <c r="E26" s="7" t="s">
        <v>119</v>
      </c>
      <c r="F26" s="20">
        <v>30211132700147</v>
      </c>
      <c r="G26" s="9" t="s">
        <v>35</v>
      </c>
      <c r="H26" s="10">
        <v>3000</v>
      </c>
      <c r="I26" s="10">
        <v>0</v>
      </c>
      <c r="J26" s="11">
        <v>1</v>
      </c>
      <c r="K26" s="10">
        <f t="shared" si="0"/>
        <v>0</v>
      </c>
      <c r="L26" s="10">
        <v>0</v>
      </c>
      <c r="M26" s="10">
        <f t="shared" si="16"/>
        <v>30</v>
      </c>
      <c r="N26" s="10">
        <f t="shared" si="1"/>
        <v>0</v>
      </c>
      <c r="O26" s="12">
        <f t="shared" si="2"/>
        <v>0</v>
      </c>
      <c r="P26" s="10">
        <f t="shared" si="3"/>
        <v>100</v>
      </c>
      <c r="Q26" s="12">
        <f t="shared" si="4"/>
        <v>12.5</v>
      </c>
      <c r="R26" s="10">
        <v>64</v>
      </c>
      <c r="S26" s="10">
        <f t="shared" si="5"/>
        <v>800</v>
      </c>
      <c r="T26" s="10">
        <v>0</v>
      </c>
      <c r="U26" s="13">
        <f t="shared" si="6"/>
        <v>3800</v>
      </c>
      <c r="V26" s="25">
        <v>0</v>
      </c>
      <c r="W26" s="14">
        <f t="shared" si="7"/>
        <v>0</v>
      </c>
      <c r="X26" s="14">
        <v>0</v>
      </c>
      <c r="Y26" s="14">
        <f t="shared" si="8"/>
        <v>0</v>
      </c>
      <c r="Z26" s="14">
        <v>0</v>
      </c>
      <c r="AA26" s="14">
        <f t="shared" si="9"/>
        <v>0</v>
      </c>
      <c r="AB26" s="15">
        <f t="shared" si="10"/>
        <v>0</v>
      </c>
      <c r="AC26" s="16">
        <f t="shared" si="11"/>
        <v>3800</v>
      </c>
      <c r="AD26" s="17"/>
      <c r="AE26" s="17">
        <f t="shared" si="12"/>
        <v>0</v>
      </c>
      <c r="AF26" s="17"/>
      <c r="AG26" s="17">
        <v>0</v>
      </c>
      <c r="AH26" s="16">
        <f t="shared" si="13"/>
        <v>3800</v>
      </c>
      <c r="AI26" s="17">
        <v>0</v>
      </c>
      <c r="AJ26" s="16">
        <f t="shared" si="14"/>
        <v>3800</v>
      </c>
      <c r="AK26" s="18">
        <f t="shared" si="15"/>
        <v>0</v>
      </c>
    </row>
    <row r="27" spans="1:37" x14ac:dyDescent="0.35">
      <c r="A27" s="7" t="s">
        <v>38</v>
      </c>
      <c r="B27" s="27" t="s">
        <v>124</v>
      </c>
      <c r="C27" s="7" t="s">
        <v>97</v>
      </c>
      <c r="D27" s="33" t="s">
        <v>103</v>
      </c>
      <c r="E27" s="32" t="s">
        <v>120</v>
      </c>
      <c r="F27" s="20">
        <v>30508042700051</v>
      </c>
      <c r="G27" s="9" t="s">
        <v>35</v>
      </c>
      <c r="H27" s="10">
        <v>4000</v>
      </c>
      <c r="I27" s="10">
        <v>0</v>
      </c>
      <c r="J27" s="11">
        <v>1</v>
      </c>
      <c r="K27" s="10">
        <f t="shared" ref="K27" si="17">+I27*J27</f>
        <v>0</v>
      </c>
      <c r="L27" s="10">
        <v>0</v>
      </c>
      <c r="M27" s="10">
        <f t="shared" ref="M27" si="18">30-V27</f>
        <v>29</v>
      </c>
      <c r="N27" s="10">
        <f t="shared" ref="N27" si="19">L27*M27</f>
        <v>0</v>
      </c>
      <c r="O27" s="12">
        <f t="shared" ref="O27" si="20">K27/30</f>
        <v>0</v>
      </c>
      <c r="P27" s="10">
        <f t="shared" ref="P27" si="21">H27/30</f>
        <v>133.33333333333334</v>
      </c>
      <c r="Q27" s="12">
        <f t="shared" ref="Q27" si="22">+P27/8</f>
        <v>16.666666666666668</v>
      </c>
      <c r="R27" s="10">
        <v>24</v>
      </c>
      <c r="S27" s="10">
        <f t="shared" ref="S27" si="23">+Q27*R27</f>
        <v>400</v>
      </c>
      <c r="T27" s="10">
        <v>0</v>
      </c>
      <c r="U27" s="13">
        <f t="shared" ref="U27" si="24">H27+K27+N27+S27+T27</f>
        <v>4400</v>
      </c>
      <c r="V27" s="25">
        <v>1</v>
      </c>
      <c r="W27" s="14">
        <f t="shared" ref="W27" si="25">P27*V27</f>
        <v>133.33333333333334</v>
      </c>
      <c r="X27" s="14">
        <v>0</v>
      </c>
      <c r="Y27" s="14">
        <f t="shared" ref="Y27" si="26">P27*X27</f>
        <v>0</v>
      </c>
      <c r="Z27" s="14">
        <v>0</v>
      </c>
      <c r="AA27" s="14">
        <f t="shared" ref="AA27" si="27">O27*Z27</f>
        <v>0</v>
      </c>
      <c r="AB27" s="15">
        <f t="shared" ref="AB27" si="28">W27+Y27+AA27</f>
        <v>133.33333333333334</v>
      </c>
      <c r="AC27" s="16">
        <f t="shared" ref="AC27" si="29">U27-AB27</f>
        <v>4266.666666666667</v>
      </c>
      <c r="AD27" s="17"/>
      <c r="AE27" s="17">
        <f t="shared" ref="AE27" si="30">+AD27*0.11</f>
        <v>0</v>
      </c>
      <c r="AF27" s="17"/>
      <c r="AG27" s="17">
        <v>0</v>
      </c>
      <c r="AH27" s="16">
        <f t="shared" ref="AH27" si="31">+AC27-AE27-AF27-AG27</f>
        <v>4266.666666666667</v>
      </c>
      <c r="AI27" s="17">
        <v>0</v>
      </c>
      <c r="AJ27" s="16">
        <f t="shared" ref="AJ27" si="32">+AH27-AI27</f>
        <v>4266.666666666667</v>
      </c>
      <c r="AK27" s="18">
        <f t="shared" ref="AK27" si="33">+AD27*0.1875</f>
        <v>0</v>
      </c>
    </row>
    <row r="28" spans="1:37" x14ac:dyDescent="0.35">
      <c r="A28" s="7" t="s">
        <v>38</v>
      </c>
      <c r="B28" s="27" t="s">
        <v>96</v>
      </c>
      <c r="C28" s="7" t="s">
        <v>47</v>
      </c>
      <c r="D28" s="33" t="s">
        <v>103</v>
      </c>
      <c r="E28" s="7" t="s">
        <v>108</v>
      </c>
      <c r="F28" s="20">
        <v>29906012707361</v>
      </c>
      <c r="G28" s="9" t="s">
        <v>35</v>
      </c>
      <c r="H28" s="10">
        <v>3000</v>
      </c>
      <c r="I28" s="10">
        <v>0</v>
      </c>
      <c r="J28" s="11">
        <v>1</v>
      </c>
      <c r="K28" s="10">
        <f t="shared" si="0"/>
        <v>0</v>
      </c>
      <c r="L28" s="10">
        <v>0</v>
      </c>
      <c r="M28" s="10">
        <f t="shared" si="16"/>
        <v>30</v>
      </c>
      <c r="N28" s="10">
        <f t="shared" si="1"/>
        <v>0</v>
      </c>
      <c r="O28" s="12">
        <f t="shared" si="2"/>
        <v>0</v>
      </c>
      <c r="P28" s="10">
        <f t="shared" si="3"/>
        <v>100</v>
      </c>
      <c r="Q28" s="12">
        <f t="shared" si="4"/>
        <v>12.5</v>
      </c>
      <c r="R28" s="10">
        <v>64</v>
      </c>
      <c r="S28" s="10">
        <f t="shared" si="5"/>
        <v>800</v>
      </c>
      <c r="T28" s="10">
        <v>0</v>
      </c>
      <c r="U28" s="13">
        <f t="shared" si="6"/>
        <v>3800</v>
      </c>
      <c r="V28" s="25">
        <v>0</v>
      </c>
      <c r="W28" s="14">
        <f t="shared" si="7"/>
        <v>0</v>
      </c>
      <c r="X28" s="14">
        <v>0</v>
      </c>
      <c r="Y28" s="14">
        <f t="shared" si="8"/>
        <v>0</v>
      </c>
      <c r="Z28" s="14">
        <v>0</v>
      </c>
      <c r="AA28" s="14">
        <f t="shared" si="9"/>
        <v>0</v>
      </c>
      <c r="AB28" s="15">
        <f t="shared" si="10"/>
        <v>0</v>
      </c>
      <c r="AC28" s="16">
        <f t="shared" si="11"/>
        <v>3800</v>
      </c>
      <c r="AD28" s="17"/>
      <c r="AE28" s="17">
        <f t="shared" si="12"/>
        <v>0</v>
      </c>
      <c r="AF28" s="17"/>
      <c r="AG28" s="17">
        <v>0</v>
      </c>
      <c r="AH28" s="16">
        <f t="shared" si="13"/>
        <v>3800</v>
      </c>
      <c r="AI28" s="17">
        <v>0</v>
      </c>
      <c r="AJ28" s="16">
        <f t="shared" si="14"/>
        <v>3800</v>
      </c>
      <c r="AK28" s="18">
        <f t="shared" si="15"/>
        <v>0</v>
      </c>
    </row>
    <row r="29" spans="1:37" ht="18.3" x14ac:dyDescent="0.35">
      <c r="A29" s="41" t="s">
        <v>54</v>
      </c>
      <c r="B29" s="42"/>
      <c r="C29" s="42"/>
      <c r="D29" s="42"/>
      <c r="E29" s="42"/>
      <c r="F29" s="42"/>
      <c r="G29" s="43"/>
      <c r="H29" s="21">
        <f>SUM(H3:H28)</f>
        <v>91000</v>
      </c>
      <c r="I29" s="21">
        <f>SUM(I3:I28)</f>
        <v>0</v>
      </c>
      <c r="J29" s="21"/>
      <c r="K29" s="21">
        <f>SUM(K3:K28)</f>
        <v>0</v>
      </c>
      <c r="L29" s="21"/>
      <c r="M29" s="21"/>
      <c r="N29" s="21">
        <f>SUM(N3:N28)</f>
        <v>0</v>
      </c>
      <c r="O29" s="21"/>
      <c r="P29" s="21"/>
      <c r="Q29" s="21"/>
      <c r="R29" s="21">
        <f t="shared" ref="R29:AK29" si="34">SUM(R3:R28)</f>
        <v>1067</v>
      </c>
      <c r="S29" s="21">
        <f t="shared" si="34"/>
        <v>16837.5</v>
      </c>
      <c r="T29" s="21">
        <f t="shared" si="34"/>
        <v>0</v>
      </c>
      <c r="U29" s="21">
        <f t="shared" si="34"/>
        <v>107837.5</v>
      </c>
      <c r="V29" s="26">
        <f t="shared" si="34"/>
        <v>45</v>
      </c>
      <c r="W29" s="21">
        <f t="shared" si="34"/>
        <v>5550</v>
      </c>
      <c r="X29" s="21">
        <f t="shared" si="34"/>
        <v>0</v>
      </c>
      <c r="Y29" s="21">
        <f t="shared" si="34"/>
        <v>0</v>
      </c>
      <c r="Z29" s="21">
        <f t="shared" si="34"/>
        <v>0</v>
      </c>
      <c r="AA29" s="21">
        <f t="shared" si="34"/>
        <v>0</v>
      </c>
      <c r="AB29" s="21">
        <f t="shared" si="34"/>
        <v>5550</v>
      </c>
      <c r="AC29" s="21">
        <f t="shared" si="34"/>
        <v>102287.50000000001</v>
      </c>
      <c r="AD29" s="21">
        <f t="shared" si="34"/>
        <v>0</v>
      </c>
      <c r="AE29" s="21">
        <f t="shared" si="34"/>
        <v>0</v>
      </c>
      <c r="AF29" s="21">
        <f t="shared" si="34"/>
        <v>0</v>
      </c>
      <c r="AG29" s="21">
        <f t="shared" si="34"/>
        <v>0</v>
      </c>
      <c r="AH29" s="21">
        <f t="shared" si="34"/>
        <v>102287.50000000001</v>
      </c>
      <c r="AI29" s="21">
        <f t="shared" si="34"/>
        <v>0</v>
      </c>
      <c r="AJ29" s="21">
        <f t="shared" si="34"/>
        <v>102287.50000000001</v>
      </c>
      <c r="AK29" s="21">
        <f t="shared" si="34"/>
        <v>0</v>
      </c>
    </row>
    <row r="30" spans="1:37" x14ac:dyDescent="0.35">
      <c r="A30" s="1"/>
      <c r="B30" s="1"/>
      <c r="C30" s="2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35">
      <c r="A31" s="1"/>
      <c r="B31" s="1"/>
      <c r="C31" s="2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20.95" x14ac:dyDescent="0.35">
      <c r="A32" s="39" t="s">
        <v>36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 t="s">
        <v>98</v>
      </c>
      <c r="AK32" s="39"/>
    </row>
    <row r="34" spans="1:6" ht="16.149999999999999" thickBot="1" x14ac:dyDescent="0.4"/>
    <row r="35" spans="1:6" ht="18.8" thickBot="1" x14ac:dyDescent="0.4">
      <c r="A35" s="36" t="s">
        <v>37</v>
      </c>
      <c r="B35" s="37"/>
      <c r="C35" s="37"/>
      <c r="D35" s="38"/>
      <c r="E35" s="34">
        <f>AJ29</f>
        <v>102287.50000000001</v>
      </c>
      <c r="F35" s="24"/>
    </row>
    <row r="36" spans="1:6" ht="18.8" thickBot="1" x14ac:dyDescent="0.4">
      <c r="A36" s="36" t="s">
        <v>64</v>
      </c>
      <c r="B36" s="37"/>
      <c r="C36" s="37"/>
      <c r="D36" s="38"/>
      <c r="E36" s="23"/>
    </row>
    <row r="37" spans="1:6" ht="18.8" thickBot="1" x14ac:dyDescent="0.4">
      <c r="A37" s="36" t="s">
        <v>102</v>
      </c>
      <c r="B37" s="37"/>
      <c r="C37" s="37"/>
      <c r="D37" s="38"/>
      <c r="E37" s="23"/>
    </row>
  </sheetData>
  <protectedRanges>
    <protectedRange sqref="A3:A28 C3:C28 E3:E28" name="Range3_1_2"/>
    <protectedRange sqref="A3:A28 C3:C28 E3:E28" name="Range2_1_2"/>
    <protectedRange sqref="F3:F28" name="Range1_2_2"/>
    <protectedRange sqref="D3:D28" name="Range3_1_2_3"/>
    <protectedRange sqref="D3:D28" name="Range2_1_2_3"/>
  </protectedRanges>
  <autoFilter ref="A2:AK29">
    <sortState ref="A3:AK41">
      <sortCondition ref="E2:E41"/>
    </sortState>
  </autoFilter>
  <mergeCells count="7">
    <mergeCell ref="A37:D37"/>
    <mergeCell ref="A35:D35"/>
    <mergeCell ref="A36:D36"/>
    <mergeCell ref="AJ32:AK32"/>
    <mergeCell ref="C1:AK1"/>
    <mergeCell ref="A29:G29"/>
    <mergeCell ref="A32:AI32"/>
  </mergeCells>
  <phoneticPr fontId="10" type="noConversion"/>
  <conditionalFormatting sqref="C3 E3">
    <cfRule type="duplicateValues" dxfId="14" priority="24"/>
  </conditionalFormatting>
  <conditionalFormatting sqref="F3">
    <cfRule type="duplicateValues" dxfId="13" priority="23"/>
  </conditionalFormatting>
  <conditionalFormatting sqref="C17">
    <cfRule type="duplicateValues" dxfId="12" priority="17"/>
  </conditionalFormatting>
  <conditionalFormatting sqref="E8">
    <cfRule type="duplicateValues" dxfId="11" priority="11"/>
  </conditionalFormatting>
  <conditionalFormatting sqref="F8">
    <cfRule type="duplicateValues" dxfId="10" priority="12"/>
  </conditionalFormatting>
  <conditionalFormatting sqref="C8">
    <cfRule type="duplicateValues" dxfId="9" priority="13"/>
  </conditionalFormatting>
  <conditionalFormatting sqref="E19">
    <cfRule type="duplicateValues" dxfId="8" priority="8"/>
  </conditionalFormatting>
  <conditionalFormatting sqref="F19">
    <cfRule type="duplicateValues" dxfId="7" priority="9"/>
  </conditionalFormatting>
  <conditionalFormatting sqref="C19">
    <cfRule type="duplicateValues" dxfId="6" priority="10"/>
  </conditionalFormatting>
  <conditionalFormatting sqref="E27">
    <cfRule type="duplicateValues" dxfId="5" priority="2"/>
  </conditionalFormatting>
  <conditionalFormatting sqref="F27">
    <cfRule type="duplicateValues" dxfId="4" priority="3"/>
  </conditionalFormatting>
  <conditionalFormatting sqref="C27">
    <cfRule type="duplicateValues" dxfId="3" priority="4"/>
  </conditionalFormatting>
  <conditionalFormatting sqref="E20:E26 E4:E7 E9:E18 E28">
    <cfRule type="duplicateValues" dxfId="2" priority="145"/>
  </conditionalFormatting>
  <conditionalFormatting sqref="F20:F26 F4:F7 F9:F18 F28">
    <cfRule type="duplicateValues" dxfId="1" priority="149"/>
  </conditionalFormatting>
  <conditionalFormatting sqref="C20:C26 C18 C4:C7 C9:C16 C28">
    <cfRule type="duplicateValues" dxfId="0" priority="153"/>
  </conditionalFormatting>
  <pageMargins left="0.7" right="0.7" top="0.75" bottom="0.75" header="0.3" footer="0.3"/>
  <pageSetup orientation="portrait" r:id="rId1"/>
  <ignoredErrors>
    <ignoredError sqref="C3:C6 C20:C25 C7:C10 C11:C12 C13:C17 C18:C19 C26:C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Luxor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 11</cp:lastModifiedBy>
  <dcterms:created xsi:type="dcterms:W3CDTF">2025-06-24T14:39:31Z</dcterms:created>
  <dcterms:modified xsi:type="dcterms:W3CDTF">2026-02-26T01:52:13Z</dcterms:modified>
</cp:coreProperties>
</file>
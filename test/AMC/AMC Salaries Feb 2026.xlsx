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0fa8e7dbc72964d/Desktop/"/>
    </mc:Choice>
  </mc:AlternateContent>
  <xr:revisionPtr revIDLastSave="27" documentId="13_ncr:1_{08128147-8C2C-4A1D-BEAE-CDAB53BEC086}" xr6:coauthVersionLast="47" xr6:coauthVersionMax="47" xr10:uidLastSave="{7B120A81-191D-4A8E-8624-011559DD98B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Sheet1!$A$2:$AR$32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" l="1"/>
  <c r="AP32" i="2"/>
  <c r="AM32" i="2"/>
  <c r="AH32" i="2"/>
  <c r="AB32" i="2"/>
  <c r="Z32" i="2"/>
  <c r="X32" i="2"/>
  <c r="V32" i="2"/>
  <c r="T32" i="2"/>
  <c r="O32" i="2"/>
  <c r="M32" i="2"/>
  <c r="K32" i="2"/>
  <c r="J32" i="2"/>
  <c r="I32" i="2"/>
  <c r="H32" i="2"/>
  <c r="AO31" i="2"/>
  <c r="AG31" i="2"/>
  <c r="Y31" i="2"/>
  <c r="R31" i="2"/>
  <c r="P31" i="2"/>
  <c r="AA31" i="2" s="1"/>
  <c r="N31" i="2"/>
  <c r="L31" i="2"/>
  <c r="Q31" i="2" s="1"/>
  <c r="AC31" i="2" s="1"/>
  <c r="AF30" i="2"/>
  <c r="AO30" i="2" s="1"/>
  <c r="Y30" i="2"/>
  <c r="S30" i="2"/>
  <c r="U30" i="2" s="1"/>
  <c r="R30" i="2"/>
  <c r="P30" i="2"/>
  <c r="AA30" i="2" s="1"/>
  <c r="N30" i="2"/>
  <c r="L30" i="2"/>
  <c r="W30" i="2" s="1"/>
  <c r="AO29" i="2"/>
  <c r="AG29" i="2"/>
  <c r="Y29" i="2"/>
  <c r="R29" i="2"/>
  <c r="Q29" i="2"/>
  <c r="AC29" i="2" s="1"/>
  <c r="P29" i="2"/>
  <c r="S29" i="2" s="1"/>
  <c r="U29" i="2" s="1"/>
  <c r="N29" i="2"/>
  <c r="L29" i="2"/>
  <c r="AO28" i="2"/>
  <c r="AG28" i="2"/>
  <c r="S28" i="2"/>
  <c r="U28" i="2" s="1"/>
  <c r="R28" i="2"/>
  <c r="P28" i="2"/>
  <c r="AA28" i="2" s="1"/>
  <c r="N28" i="2"/>
  <c r="L28" i="2"/>
  <c r="Q28" i="2" s="1"/>
  <c r="AC28" i="2" s="1"/>
  <c r="AO27" i="2"/>
  <c r="AG27" i="2"/>
  <c r="R27" i="2"/>
  <c r="P27" i="2"/>
  <c r="AA27" i="2" s="1"/>
  <c r="N27" i="2"/>
  <c r="L27" i="2"/>
  <c r="Q27" i="2" s="1"/>
  <c r="AC27" i="2" s="1"/>
  <c r="AG26" i="2"/>
  <c r="AF26" i="2"/>
  <c r="AO26" i="2" s="1"/>
  <c r="R26" i="2"/>
  <c r="P26" i="2"/>
  <c r="AA26" i="2" s="1"/>
  <c r="N26" i="2"/>
  <c r="L26" i="2"/>
  <c r="AO25" i="2"/>
  <c r="AG25" i="2"/>
  <c r="AA25" i="2"/>
  <c r="U25" i="2"/>
  <c r="S25" i="2"/>
  <c r="R25" i="2"/>
  <c r="P25" i="2"/>
  <c r="Y25" i="2" s="1"/>
  <c r="N25" i="2"/>
  <c r="L25" i="2"/>
  <c r="W25" i="2" s="1"/>
  <c r="AO24" i="2"/>
  <c r="AG24" i="2"/>
  <c r="Y24" i="2"/>
  <c r="AD24" i="2" s="1"/>
  <c r="R24" i="2"/>
  <c r="P24" i="2"/>
  <c r="AA24" i="2" s="1"/>
  <c r="N24" i="2"/>
  <c r="L24" i="2"/>
  <c r="Q24" i="2" s="1"/>
  <c r="AC24" i="2" s="1"/>
  <c r="AF23" i="2"/>
  <c r="AG23" i="2" s="1"/>
  <c r="AA23" i="2"/>
  <c r="Y23" i="2"/>
  <c r="U23" i="2"/>
  <c r="S23" i="2"/>
  <c r="R23" i="2"/>
  <c r="P23" i="2"/>
  <c r="N23" i="2"/>
  <c r="L23" i="2"/>
  <c r="W23" i="2" s="1"/>
  <c r="AO22" i="2"/>
  <c r="AG22" i="2"/>
  <c r="Y22" i="2"/>
  <c r="R22" i="2"/>
  <c r="P22" i="2"/>
  <c r="AA22" i="2" s="1"/>
  <c r="N22" i="2"/>
  <c r="L22" i="2"/>
  <c r="Q22" i="2" s="1"/>
  <c r="AC22" i="2" s="1"/>
  <c r="AF21" i="2"/>
  <c r="AO21" i="2" s="1"/>
  <c r="Y21" i="2"/>
  <c r="S21" i="2"/>
  <c r="U21" i="2" s="1"/>
  <c r="R21" i="2"/>
  <c r="P21" i="2"/>
  <c r="AA21" i="2" s="1"/>
  <c r="N21" i="2"/>
  <c r="L21" i="2"/>
  <c r="AF20" i="2"/>
  <c r="AG20" i="2" s="1"/>
  <c r="AA20" i="2"/>
  <c r="U20" i="2"/>
  <c r="S20" i="2"/>
  <c r="R20" i="2"/>
  <c r="P20" i="2"/>
  <c r="Y20" i="2" s="1"/>
  <c r="N20" i="2"/>
  <c r="L20" i="2"/>
  <c r="W20" i="2" s="1"/>
  <c r="AF19" i="2"/>
  <c r="AG19" i="2" s="1"/>
  <c r="R19" i="2"/>
  <c r="P19" i="2"/>
  <c r="S19" i="2" s="1"/>
  <c r="U19" i="2" s="1"/>
  <c r="W19" i="2" s="1"/>
  <c r="N19" i="2"/>
  <c r="L19" i="2"/>
  <c r="Q19" i="2" s="1"/>
  <c r="AC19" i="2" s="1"/>
  <c r="AG18" i="2"/>
  <c r="AF18" i="2"/>
  <c r="AO18" i="2" s="1"/>
  <c r="S18" i="2"/>
  <c r="U18" i="2" s="1"/>
  <c r="R18" i="2"/>
  <c r="P18" i="2"/>
  <c r="AA18" i="2" s="1"/>
  <c r="N18" i="2"/>
  <c r="L18" i="2"/>
  <c r="Q18" i="2" s="1"/>
  <c r="AC18" i="2" s="1"/>
  <c r="AO17" i="2"/>
  <c r="AG17" i="2"/>
  <c r="AF17" i="2"/>
  <c r="AA17" i="2"/>
  <c r="Y17" i="2"/>
  <c r="S17" i="2"/>
  <c r="U17" i="2" s="1"/>
  <c r="R17" i="2"/>
  <c r="P17" i="2"/>
  <c r="N17" i="2"/>
  <c r="L17" i="2"/>
  <c r="W17" i="2" s="1"/>
  <c r="AF16" i="2"/>
  <c r="AO16" i="2" s="1"/>
  <c r="Y16" i="2"/>
  <c r="R16" i="2"/>
  <c r="P16" i="2"/>
  <c r="AA16" i="2" s="1"/>
  <c r="N16" i="2"/>
  <c r="L16" i="2"/>
  <c r="Q16" i="2" s="1"/>
  <c r="AC16" i="2" s="1"/>
  <c r="AF15" i="2"/>
  <c r="AO15" i="2" s="1"/>
  <c r="Y15" i="2"/>
  <c r="S15" i="2"/>
  <c r="U15" i="2" s="1"/>
  <c r="R15" i="2"/>
  <c r="P15" i="2"/>
  <c r="AA15" i="2" s="1"/>
  <c r="N15" i="2"/>
  <c r="L15" i="2"/>
  <c r="AF14" i="2"/>
  <c r="AG14" i="2" s="1"/>
  <c r="AA14" i="2"/>
  <c r="U14" i="2"/>
  <c r="S14" i="2"/>
  <c r="R14" i="2"/>
  <c r="P14" i="2"/>
  <c r="Y14" i="2" s="1"/>
  <c r="N14" i="2"/>
  <c r="L14" i="2"/>
  <c r="W14" i="2" s="1"/>
  <c r="AO13" i="2"/>
  <c r="AG13" i="2"/>
  <c r="Y13" i="2"/>
  <c r="R13" i="2"/>
  <c r="P13" i="2"/>
  <c r="AA13" i="2" s="1"/>
  <c r="N13" i="2"/>
  <c r="L13" i="2"/>
  <c r="AO12" i="2"/>
  <c r="AG12" i="2"/>
  <c r="AA12" i="2"/>
  <c r="Y12" i="2"/>
  <c r="S12" i="2"/>
  <c r="U12" i="2" s="1"/>
  <c r="R12" i="2"/>
  <c r="P12" i="2"/>
  <c r="N12" i="2"/>
  <c r="L12" i="2"/>
  <c r="Q12" i="2" s="1"/>
  <c r="AC12" i="2" s="1"/>
  <c r="AO11" i="2"/>
  <c r="AG11" i="2"/>
  <c r="R11" i="2"/>
  <c r="P11" i="2"/>
  <c r="Y11" i="2" s="1"/>
  <c r="N11" i="2"/>
  <c r="L11" i="2"/>
  <c r="AO10" i="2"/>
  <c r="AG10" i="2"/>
  <c r="AA10" i="2"/>
  <c r="U10" i="2"/>
  <c r="S10" i="2"/>
  <c r="R10" i="2"/>
  <c r="P10" i="2"/>
  <c r="Y10" i="2" s="1"/>
  <c r="N10" i="2"/>
  <c r="L10" i="2"/>
  <c r="W10" i="2" s="1"/>
  <c r="AO9" i="2"/>
  <c r="AG9" i="2"/>
  <c r="Y9" i="2"/>
  <c r="R9" i="2"/>
  <c r="P9" i="2"/>
  <c r="AA9" i="2" s="1"/>
  <c r="N9" i="2"/>
  <c r="L9" i="2"/>
  <c r="AF8" i="2"/>
  <c r="AG8" i="2" s="1"/>
  <c r="AA8" i="2"/>
  <c r="Y8" i="2"/>
  <c r="U8" i="2"/>
  <c r="S8" i="2"/>
  <c r="R8" i="2"/>
  <c r="P8" i="2"/>
  <c r="N8" i="2"/>
  <c r="L8" i="2"/>
  <c r="W8" i="2" s="1"/>
  <c r="AO7" i="2"/>
  <c r="AG7" i="2"/>
  <c r="AF7" i="2"/>
  <c r="R7" i="2"/>
  <c r="P7" i="2"/>
  <c r="AA7" i="2" s="1"/>
  <c r="N7" i="2"/>
  <c r="L7" i="2"/>
  <c r="Q7" i="2" s="1"/>
  <c r="AC7" i="2" s="1"/>
  <c r="AG6" i="2"/>
  <c r="AF6" i="2"/>
  <c r="AO6" i="2" s="1"/>
  <c r="R6" i="2"/>
  <c r="P6" i="2"/>
  <c r="Y6" i="2" s="1"/>
  <c r="N6" i="2"/>
  <c r="L6" i="2"/>
  <c r="AG5" i="2"/>
  <c r="AF5" i="2"/>
  <c r="AO5" i="2" s="1"/>
  <c r="S5" i="2"/>
  <c r="U5" i="2" s="1"/>
  <c r="R5" i="2"/>
  <c r="P5" i="2"/>
  <c r="Y5" i="2" s="1"/>
  <c r="N5" i="2"/>
  <c r="L5" i="2"/>
  <c r="AO4" i="2"/>
  <c r="AG4" i="2"/>
  <c r="AF4" i="2"/>
  <c r="Y4" i="2"/>
  <c r="R4" i="2"/>
  <c r="R32" i="2" s="1"/>
  <c r="P4" i="2"/>
  <c r="S4" i="2" s="1"/>
  <c r="U4" i="2" s="1"/>
  <c r="N4" i="2"/>
  <c r="L4" i="2"/>
  <c r="W4" i="2" s="1"/>
  <c r="AF3" i="2"/>
  <c r="AF32" i="2" s="1"/>
  <c r="Y3" i="2"/>
  <c r="R3" i="2"/>
  <c r="P3" i="2"/>
  <c r="P32" i="2" s="1"/>
  <c r="N3" i="2"/>
  <c r="N32" i="2" s="1"/>
  <c r="L3" i="2"/>
  <c r="I32" i="1"/>
  <c r="J32" i="1"/>
  <c r="K32" i="1"/>
  <c r="M32" i="1"/>
  <c r="O32" i="1"/>
  <c r="P32" i="1"/>
  <c r="R32" i="1"/>
  <c r="S32" i="1"/>
  <c r="T32" i="1"/>
  <c r="V32" i="1"/>
  <c r="X32" i="1"/>
  <c r="Z32" i="1"/>
  <c r="AB32" i="1"/>
  <c r="AF32" i="1"/>
  <c r="AG32" i="1"/>
  <c r="AH32" i="1"/>
  <c r="AM32" i="1"/>
  <c r="AO32" i="1"/>
  <c r="AP32" i="1"/>
  <c r="H32" i="1"/>
  <c r="AO31" i="1"/>
  <c r="AG31" i="1"/>
  <c r="AD31" i="1"/>
  <c r="AC31" i="1"/>
  <c r="AA31" i="1"/>
  <c r="Y31" i="1"/>
  <c r="W31" i="1"/>
  <c r="AE31" i="1" s="1"/>
  <c r="U31" i="1"/>
  <c r="S31" i="1"/>
  <c r="R31" i="1"/>
  <c r="L31" i="1"/>
  <c r="Q31" i="1" s="1"/>
  <c r="P31" i="1"/>
  <c r="N31" i="1"/>
  <c r="E61" i="1"/>
  <c r="AD12" i="2" l="1"/>
  <c r="Q17" i="2"/>
  <c r="AC17" i="2" s="1"/>
  <c r="Q20" i="2"/>
  <c r="AC20" i="2" s="1"/>
  <c r="AD20" i="2" s="1"/>
  <c r="AE20" i="2" s="1"/>
  <c r="Q14" i="2"/>
  <c r="AC14" i="2" s="1"/>
  <c r="AD14" i="2" s="1"/>
  <c r="AE14" i="2" s="1"/>
  <c r="Q10" i="2"/>
  <c r="AC10" i="2" s="1"/>
  <c r="AD10" i="2" s="1"/>
  <c r="AE10" i="2" s="1"/>
  <c r="AD17" i="2"/>
  <c r="AE17" i="2" s="1"/>
  <c r="Q25" i="2"/>
  <c r="AC25" i="2" s="1"/>
  <c r="AD25" i="2" s="1"/>
  <c r="AE25" i="2" s="1"/>
  <c r="Q4" i="2"/>
  <c r="AC4" i="2" s="1"/>
  <c r="W11" i="2"/>
  <c r="AD29" i="2"/>
  <c r="W5" i="2"/>
  <c r="AD31" i="2"/>
  <c r="W21" i="2"/>
  <c r="AD22" i="2"/>
  <c r="W6" i="2"/>
  <c r="W15" i="2"/>
  <c r="AD16" i="2"/>
  <c r="W29" i="2"/>
  <c r="W12" i="2"/>
  <c r="AE12" i="2" s="1"/>
  <c r="AD30" i="2"/>
  <c r="AE30" i="2" s="1"/>
  <c r="Q3" i="2"/>
  <c r="AA6" i="2"/>
  <c r="Q9" i="2"/>
  <c r="AC9" i="2" s="1"/>
  <c r="AD9" i="2" s="1"/>
  <c r="AA11" i="2"/>
  <c r="AD11" i="2" s="1"/>
  <c r="Q13" i="2"/>
  <c r="AC13" i="2" s="1"/>
  <c r="AD13" i="2" s="1"/>
  <c r="S3" i="2"/>
  <c r="AA5" i="2"/>
  <c r="Q8" i="2"/>
  <c r="AC8" i="2" s="1"/>
  <c r="AD8" i="2" s="1"/>
  <c r="AE8" i="2" s="1"/>
  <c r="S9" i="2"/>
  <c r="U9" i="2" s="1"/>
  <c r="W9" i="2" s="1"/>
  <c r="AE9" i="2" s="1"/>
  <c r="S13" i="2"/>
  <c r="U13" i="2" s="1"/>
  <c r="W13" i="2" s="1"/>
  <c r="AO14" i="2"/>
  <c r="AO20" i="2"/>
  <c r="Q23" i="2"/>
  <c r="AC23" i="2" s="1"/>
  <c r="AD23" i="2" s="1"/>
  <c r="AE23" i="2" s="1"/>
  <c r="S24" i="2"/>
  <c r="U24" i="2" s="1"/>
  <c r="W24" i="2" s="1"/>
  <c r="AE24" i="2" s="1"/>
  <c r="AG16" i="2"/>
  <c r="Y19" i="2"/>
  <c r="AD19" i="2" s="1"/>
  <c r="AE19" i="2" s="1"/>
  <c r="AO19" i="2"/>
  <c r="AA29" i="2"/>
  <c r="AA19" i="2"/>
  <c r="W28" i="2"/>
  <c r="AO3" i="2"/>
  <c r="W18" i="2"/>
  <c r="AE18" i="2" s="1"/>
  <c r="AA3" i="2"/>
  <c r="Q6" i="2"/>
  <c r="AC6" i="2" s="1"/>
  <c r="S7" i="2"/>
  <c r="U7" i="2" s="1"/>
  <c r="W7" i="2" s="1"/>
  <c r="Q11" i="2"/>
  <c r="AC11" i="2" s="1"/>
  <c r="AG15" i="2"/>
  <c r="Y18" i="2"/>
  <c r="AD18" i="2" s="1"/>
  <c r="AG21" i="2"/>
  <c r="Q26" i="2"/>
  <c r="AC26" i="2" s="1"/>
  <c r="S27" i="2"/>
  <c r="U27" i="2" s="1"/>
  <c r="W27" i="2" s="1"/>
  <c r="Y28" i="2"/>
  <c r="AD28" i="2" s="1"/>
  <c r="AG30" i="2"/>
  <c r="AA4" i="2"/>
  <c r="AD4" i="2" s="1"/>
  <c r="AE4" i="2" s="1"/>
  <c r="AO8" i="2"/>
  <c r="Q15" i="2"/>
  <c r="AC15" i="2" s="1"/>
  <c r="AD15" i="2" s="1"/>
  <c r="S16" i="2"/>
  <c r="U16" i="2" s="1"/>
  <c r="W16" i="2" s="1"/>
  <c r="AE16" i="2" s="1"/>
  <c r="Q21" i="2"/>
  <c r="AC21" i="2" s="1"/>
  <c r="AD21" i="2" s="1"/>
  <c r="S22" i="2"/>
  <c r="U22" i="2" s="1"/>
  <c r="W22" i="2" s="1"/>
  <c r="AO23" i="2"/>
  <c r="Q30" i="2"/>
  <c r="AC30" i="2" s="1"/>
  <c r="S31" i="2"/>
  <c r="U31" i="2" s="1"/>
  <c r="W31" i="2" s="1"/>
  <c r="AE31" i="2" s="1"/>
  <c r="L32" i="2"/>
  <c r="Q5" i="2"/>
  <c r="AC5" i="2" s="1"/>
  <c r="AD5" i="2" s="1"/>
  <c r="S6" i="2"/>
  <c r="U6" i="2" s="1"/>
  <c r="S11" i="2"/>
  <c r="U11" i="2" s="1"/>
  <c r="S26" i="2"/>
  <c r="U26" i="2" s="1"/>
  <c r="W26" i="2" s="1"/>
  <c r="Y27" i="2"/>
  <c r="AD27" i="2" s="1"/>
  <c r="Y7" i="2"/>
  <c r="AD7" i="2" s="1"/>
  <c r="AG3" i="2"/>
  <c r="AG32" i="2" s="1"/>
  <c r="Y26" i="2"/>
  <c r="AK31" i="1"/>
  <c r="AI31" i="1"/>
  <c r="AJ31" i="1" s="1"/>
  <c r="AL31" i="1" s="1"/>
  <c r="AN31" i="1" s="1"/>
  <c r="AQ31" i="1"/>
  <c r="L25" i="1"/>
  <c r="Q25" i="1" s="1"/>
  <c r="AC25" i="1" s="1"/>
  <c r="N25" i="1"/>
  <c r="P25" i="1"/>
  <c r="R25" i="1"/>
  <c r="AG25" i="1"/>
  <c r="L26" i="1"/>
  <c r="Q26" i="1" s="1"/>
  <c r="AC26" i="1" s="1"/>
  <c r="N26" i="1"/>
  <c r="P26" i="1"/>
  <c r="R26" i="1"/>
  <c r="AF26" i="1"/>
  <c r="L27" i="1"/>
  <c r="N27" i="1"/>
  <c r="P27" i="1"/>
  <c r="R27" i="1"/>
  <c r="AO27" i="1"/>
  <c r="L28" i="1"/>
  <c r="Q28" i="1" s="1"/>
  <c r="AC28" i="1" s="1"/>
  <c r="N28" i="1"/>
  <c r="P28" i="1"/>
  <c r="R28" i="1"/>
  <c r="AO28" i="1"/>
  <c r="L29" i="1"/>
  <c r="Q29" i="1" s="1"/>
  <c r="AC29" i="1" s="1"/>
  <c r="N29" i="1"/>
  <c r="P29" i="1"/>
  <c r="R29" i="1"/>
  <c r="AO29" i="1"/>
  <c r="L30" i="1"/>
  <c r="N30" i="1"/>
  <c r="P30" i="1"/>
  <c r="R30" i="1"/>
  <c r="AF30" i="1"/>
  <c r="AG30" i="1" s="1"/>
  <c r="AO24" i="1"/>
  <c r="R24" i="1"/>
  <c r="P24" i="1"/>
  <c r="N24" i="1"/>
  <c r="L24" i="1"/>
  <c r="AF23" i="1"/>
  <c r="AO23" i="1" s="1"/>
  <c r="R23" i="1"/>
  <c r="P23" i="1"/>
  <c r="N23" i="1"/>
  <c r="N32" i="1" s="1"/>
  <c r="L23" i="1"/>
  <c r="AG22" i="1"/>
  <c r="R22" i="1"/>
  <c r="P22" i="1"/>
  <c r="N22" i="1"/>
  <c r="L22" i="1"/>
  <c r="Q22" i="1" s="1"/>
  <c r="AC22" i="1" s="1"/>
  <c r="AF21" i="1"/>
  <c r="AO21" i="1" s="1"/>
  <c r="R21" i="1"/>
  <c r="P21" i="1"/>
  <c r="N21" i="1"/>
  <c r="L21" i="1"/>
  <c r="Q21" i="1" s="1"/>
  <c r="AC21" i="1" s="1"/>
  <c r="AF20" i="1"/>
  <c r="AO20" i="1" s="1"/>
  <c r="R20" i="1"/>
  <c r="P20" i="1"/>
  <c r="N20" i="1"/>
  <c r="L20" i="1"/>
  <c r="Q20" i="1" s="1"/>
  <c r="AC20" i="1" s="1"/>
  <c r="AF19" i="1"/>
  <c r="AO19" i="1" s="1"/>
  <c r="R19" i="1"/>
  <c r="P19" i="1"/>
  <c r="N19" i="1"/>
  <c r="L19" i="1"/>
  <c r="Q19" i="1" s="1"/>
  <c r="AC19" i="1" s="1"/>
  <c r="AF18" i="1"/>
  <c r="AO18" i="1" s="1"/>
  <c r="R18" i="1"/>
  <c r="P18" i="1"/>
  <c r="N18" i="1"/>
  <c r="L18" i="1"/>
  <c r="AF17" i="1"/>
  <c r="AO17" i="1" s="1"/>
  <c r="R17" i="1"/>
  <c r="P17" i="1"/>
  <c r="N17" i="1"/>
  <c r="L17" i="1"/>
  <c r="Q17" i="1" s="1"/>
  <c r="AC17" i="1" s="1"/>
  <c r="AF16" i="1"/>
  <c r="AG16" i="1" s="1"/>
  <c r="R16" i="1"/>
  <c r="P16" i="1"/>
  <c r="N16" i="1"/>
  <c r="L16" i="1"/>
  <c r="Q16" i="1" s="1"/>
  <c r="AC16" i="1" s="1"/>
  <c r="AF15" i="1"/>
  <c r="AO15" i="1" s="1"/>
  <c r="R15" i="1"/>
  <c r="P15" i="1"/>
  <c r="N15" i="1"/>
  <c r="L15" i="1"/>
  <c r="Q15" i="1" s="1"/>
  <c r="AC15" i="1" s="1"/>
  <c r="AF14" i="1"/>
  <c r="AO14" i="1" s="1"/>
  <c r="R14" i="1"/>
  <c r="P14" i="1"/>
  <c r="N14" i="1"/>
  <c r="L14" i="1"/>
  <c r="Q14" i="1" s="1"/>
  <c r="AC14" i="1" s="1"/>
  <c r="AO13" i="1"/>
  <c r="R13" i="1"/>
  <c r="P13" i="1"/>
  <c r="N13" i="1"/>
  <c r="L13" i="1"/>
  <c r="Q13" i="1" s="1"/>
  <c r="AC13" i="1" s="1"/>
  <c r="AO12" i="1"/>
  <c r="R12" i="1"/>
  <c r="P12" i="1"/>
  <c r="N12" i="1"/>
  <c r="L12" i="1"/>
  <c r="AO11" i="1"/>
  <c r="R11" i="1"/>
  <c r="P11" i="1"/>
  <c r="N11" i="1"/>
  <c r="L11" i="1"/>
  <c r="Q11" i="1" s="1"/>
  <c r="AC11" i="1" s="1"/>
  <c r="AG10" i="1"/>
  <c r="R10" i="1"/>
  <c r="P10" i="1"/>
  <c r="N10" i="1"/>
  <c r="L10" i="1"/>
  <c r="Q10" i="1" s="1"/>
  <c r="AC10" i="1" s="1"/>
  <c r="AO9" i="1"/>
  <c r="R9" i="1"/>
  <c r="P9" i="1"/>
  <c r="N9" i="1"/>
  <c r="L9" i="1"/>
  <c r="Q9" i="1" s="1"/>
  <c r="AC9" i="1" s="1"/>
  <c r="AF8" i="1"/>
  <c r="AO8" i="1" s="1"/>
  <c r="R8" i="1"/>
  <c r="P8" i="1"/>
  <c r="N8" i="1"/>
  <c r="L8" i="1"/>
  <c r="Q8" i="1" s="1"/>
  <c r="AC8" i="1" s="1"/>
  <c r="AF7" i="1"/>
  <c r="AO7" i="1" s="1"/>
  <c r="R7" i="1"/>
  <c r="P7" i="1"/>
  <c r="N7" i="1"/>
  <c r="L7" i="1"/>
  <c r="AF6" i="1"/>
  <c r="AO6" i="1" s="1"/>
  <c r="R6" i="1"/>
  <c r="P6" i="1"/>
  <c r="N6" i="1"/>
  <c r="L6" i="1"/>
  <c r="AF5" i="1"/>
  <c r="AO5" i="1" s="1"/>
  <c r="R5" i="1"/>
  <c r="P5" i="1"/>
  <c r="N5" i="1"/>
  <c r="L5" i="1"/>
  <c r="Q5" i="1" s="1"/>
  <c r="AC5" i="1" s="1"/>
  <c r="AF4" i="1"/>
  <c r="AG4" i="1" s="1"/>
  <c r="R4" i="1"/>
  <c r="P4" i="1"/>
  <c r="N4" i="1"/>
  <c r="L4" i="1"/>
  <c r="Q4" i="1" s="1"/>
  <c r="AC4" i="1" s="1"/>
  <c r="AF3" i="1"/>
  <c r="AO3" i="1" s="1"/>
  <c r="R3" i="1"/>
  <c r="P3" i="1"/>
  <c r="N3" i="1"/>
  <c r="L3" i="1"/>
  <c r="AQ17" i="2" l="1"/>
  <c r="AI17" i="2"/>
  <c r="AJ17" i="2" s="1"/>
  <c r="AK17" i="2"/>
  <c r="AI14" i="2"/>
  <c r="AJ14" i="2" s="1"/>
  <c r="AL14" i="2" s="1"/>
  <c r="AN14" i="2" s="1"/>
  <c r="AQ14" i="2"/>
  <c r="AK14" i="2"/>
  <c r="AE7" i="2"/>
  <c r="AE13" i="2"/>
  <c r="AE28" i="2"/>
  <c r="AK28" i="2" s="1"/>
  <c r="AL28" i="2" s="1"/>
  <c r="AN28" i="2" s="1"/>
  <c r="AE27" i="2"/>
  <c r="AQ27" i="2" s="1"/>
  <c r="AE26" i="2"/>
  <c r="AQ26" i="2" s="1"/>
  <c r="AD26" i="2"/>
  <c r="AE22" i="2"/>
  <c r="AD6" i="2"/>
  <c r="AQ23" i="2"/>
  <c r="AK23" i="2"/>
  <c r="AI23" i="2"/>
  <c r="AJ23" i="2" s="1"/>
  <c r="AL23" i="2" s="1"/>
  <c r="AN23" i="2" s="1"/>
  <c r="AK10" i="2"/>
  <c r="AI10" i="2"/>
  <c r="AJ10" i="2" s="1"/>
  <c r="AL10" i="2" s="1"/>
  <c r="AN10" i="2" s="1"/>
  <c r="AQ10" i="2"/>
  <c r="AK13" i="2"/>
  <c r="AI13" i="2"/>
  <c r="AJ13" i="2" s="1"/>
  <c r="AL13" i="2" s="1"/>
  <c r="AN13" i="2" s="1"/>
  <c r="AQ13" i="2"/>
  <c r="AQ8" i="2"/>
  <c r="AK8" i="2"/>
  <c r="AI8" i="2"/>
  <c r="AJ8" i="2" s="1"/>
  <c r="AL8" i="2" s="1"/>
  <c r="AN8" i="2" s="1"/>
  <c r="AK9" i="2"/>
  <c r="AI9" i="2"/>
  <c r="AJ9" i="2" s="1"/>
  <c r="AL9" i="2" s="1"/>
  <c r="AN9" i="2" s="1"/>
  <c r="AQ9" i="2"/>
  <c r="AQ30" i="2"/>
  <c r="AK30" i="2"/>
  <c r="AI30" i="2"/>
  <c r="AJ30" i="2" s="1"/>
  <c r="AI4" i="2"/>
  <c r="AJ4" i="2" s="1"/>
  <c r="AQ4" i="2"/>
  <c r="AK4" i="2"/>
  <c r="AK19" i="2"/>
  <c r="AI19" i="2"/>
  <c r="AJ19" i="2" s="1"/>
  <c r="AL19" i="2" s="1"/>
  <c r="AN19" i="2" s="1"/>
  <c r="AQ19" i="2"/>
  <c r="AK24" i="2"/>
  <c r="AI24" i="2"/>
  <c r="AJ24" i="2" s="1"/>
  <c r="AQ24" i="2"/>
  <c r="AL24" i="2"/>
  <c r="AN24" i="2" s="1"/>
  <c r="AE11" i="2"/>
  <c r="AK22" i="2"/>
  <c r="AI22" i="2"/>
  <c r="AJ22" i="2" s="1"/>
  <c r="AQ22" i="2"/>
  <c r="AE6" i="2"/>
  <c r="AK25" i="2"/>
  <c r="AL25" i="2" s="1"/>
  <c r="AN25" i="2" s="1"/>
  <c r="AI25" i="2"/>
  <c r="AJ25" i="2" s="1"/>
  <c r="AQ25" i="2"/>
  <c r="AA32" i="2"/>
  <c r="Q32" i="2"/>
  <c r="AC3" i="2"/>
  <c r="AC32" i="2" s="1"/>
  <c r="AQ16" i="2"/>
  <c r="AI16" i="2"/>
  <c r="AJ16" i="2" s="1"/>
  <c r="AL16" i="2" s="1"/>
  <c r="AN16" i="2" s="1"/>
  <c r="AK16" i="2"/>
  <c r="AE21" i="2"/>
  <c r="AK20" i="2"/>
  <c r="AI20" i="2"/>
  <c r="AJ20" i="2" s="1"/>
  <c r="AL20" i="2" s="1"/>
  <c r="AN20" i="2" s="1"/>
  <c r="AQ20" i="2"/>
  <c r="AQ7" i="2"/>
  <c r="AK7" i="2"/>
  <c r="AI7" i="2"/>
  <c r="AJ7" i="2" s="1"/>
  <c r="AL7" i="2" s="1"/>
  <c r="AN7" i="2" s="1"/>
  <c r="AI18" i="2"/>
  <c r="AJ18" i="2" s="1"/>
  <c r="AL18" i="2" s="1"/>
  <c r="AN18" i="2" s="1"/>
  <c r="AQ18" i="2"/>
  <c r="AK18" i="2"/>
  <c r="AO32" i="2"/>
  <c r="AI28" i="2"/>
  <c r="AJ28" i="2" s="1"/>
  <c r="AQ28" i="2"/>
  <c r="AE5" i="2"/>
  <c r="AE15" i="2"/>
  <c r="AK27" i="2"/>
  <c r="AI27" i="2"/>
  <c r="AJ27" i="2" s="1"/>
  <c r="AL27" i="2" s="1"/>
  <c r="AN27" i="2" s="1"/>
  <c r="Y32" i="2"/>
  <c r="AQ12" i="2"/>
  <c r="AK12" i="2"/>
  <c r="AI12" i="2"/>
  <c r="AJ12" i="2" s="1"/>
  <c r="AQ31" i="2"/>
  <c r="AK31" i="2"/>
  <c r="AI31" i="2"/>
  <c r="AJ31" i="2" s="1"/>
  <c r="S32" i="2"/>
  <c r="U3" i="2"/>
  <c r="AE29" i="2"/>
  <c r="Q30" i="1"/>
  <c r="L32" i="1"/>
  <c r="AA19" i="1"/>
  <c r="Y19" i="1"/>
  <c r="AA12" i="1"/>
  <c r="Y12" i="1"/>
  <c r="AA24" i="1"/>
  <c r="Y24" i="1"/>
  <c r="S17" i="1"/>
  <c r="U17" i="1" s="1"/>
  <c r="W17" i="1" s="1"/>
  <c r="Y17" i="1"/>
  <c r="S10" i="1"/>
  <c r="U10" i="1" s="1"/>
  <c r="W10" i="1" s="1"/>
  <c r="Y10" i="1"/>
  <c r="AA22" i="1"/>
  <c r="AA32" i="1" s="1"/>
  <c r="Y22" i="1"/>
  <c r="AA3" i="1"/>
  <c r="Y3" i="1"/>
  <c r="AA15" i="1"/>
  <c r="Y15" i="1"/>
  <c r="AA8" i="1"/>
  <c r="Y8" i="1"/>
  <c r="AD8" i="1" s="1"/>
  <c r="AA20" i="1"/>
  <c r="Y20" i="1"/>
  <c r="S27" i="1"/>
  <c r="U27" i="1" s="1"/>
  <c r="Y27" i="1"/>
  <c r="AA13" i="1"/>
  <c r="Y13" i="1"/>
  <c r="AD13" i="1" s="1"/>
  <c r="S14" i="1"/>
  <c r="U14" i="1" s="1"/>
  <c r="W14" i="1" s="1"/>
  <c r="Y14" i="1"/>
  <c r="S30" i="1"/>
  <c r="U30" i="1" s="1"/>
  <c r="Y30" i="1"/>
  <c r="S25" i="1"/>
  <c r="U25" i="1" s="1"/>
  <c r="Y25" i="1"/>
  <c r="AA6" i="1"/>
  <c r="Y6" i="1"/>
  <c r="S18" i="1"/>
  <c r="U18" i="1" s="1"/>
  <c r="W18" i="1" s="1"/>
  <c r="Y18" i="1"/>
  <c r="AA29" i="1"/>
  <c r="Y29" i="1"/>
  <c r="AD29" i="1" s="1"/>
  <c r="S11" i="1"/>
  <c r="U11" i="1" s="1"/>
  <c r="Y11" i="1"/>
  <c r="S23" i="1"/>
  <c r="U23" i="1" s="1"/>
  <c r="W23" i="1" s="1"/>
  <c r="Y23" i="1"/>
  <c r="Y32" i="1" s="1"/>
  <c r="S7" i="1"/>
  <c r="U7" i="1" s="1"/>
  <c r="W7" i="1" s="1"/>
  <c r="Y7" i="1"/>
  <c r="AA28" i="1"/>
  <c r="Y28" i="1"/>
  <c r="S5" i="1"/>
  <c r="U5" i="1" s="1"/>
  <c r="W5" i="1" s="1"/>
  <c r="Y5" i="1"/>
  <c r="S4" i="1"/>
  <c r="U4" i="1" s="1"/>
  <c r="W4" i="1" s="1"/>
  <c r="Y4" i="1"/>
  <c r="AA16" i="1"/>
  <c r="Y16" i="1"/>
  <c r="AA9" i="1"/>
  <c r="Y9" i="1"/>
  <c r="S21" i="1"/>
  <c r="U21" i="1" s="1"/>
  <c r="W21" i="1" s="1"/>
  <c r="Y21" i="1"/>
  <c r="S26" i="1"/>
  <c r="U26" i="1" s="1"/>
  <c r="W26" i="1" s="1"/>
  <c r="Y26" i="1"/>
  <c r="AO25" i="1"/>
  <c r="AG29" i="1"/>
  <c r="S29" i="1"/>
  <c r="U29" i="1" s="1"/>
  <c r="S28" i="1"/>
  <c r="U28" i="1" s="1"/>
  <c r="W28" i="1" s="1"/>
  <c r="W29" i="1"/>
  <c r="AO30" i="1"/>
  <c r="AA25" i="1"/>
  <c r="AD25" i="1" s="1"/>
  <c r="AG28" i="1"/>
  <c r="AA30" i="1"/>
  <c r="W27" i="1"/>
  <c r="AA26" i="1"/>
  <c r="AD26" i="1" s="1"/>
  <c r="W25" i="1"/>
  <c r="AA4" i="1"/>
  <c r="AA23" i="1"/>
  <c r="S3" i="1"/>
  <c r="U3" i="1" s="1"/>
  <c r="W30" i="1"/>
  <c r="AA10" i="1"/>
  <c r="Q27" i="1"/>
  <c r="AC27" i="1" s="1"/>
  <c r="AO10" i="1"/>
  <c r="AG21" i="1"/>
  <c r="AD28" i="1"/>
  <c r="AG26" i="1"/>
  <c r="AO26" i="1"/>
  <c r="AG9" i="1"/>
  <c r="AA5" i="1"/>
  <c r="AA11" i="1"/>
  <c r="AD11" i="1" s="1"/>
  <c r="S22" i="1"/>
  <c r="U22" i="1" s="1"/>
  <c r="W22" i="1" s="1"/>
  <c r="AA14" i="1"/>
  <c r="AD14" i="1" s="1"/>
  <c r="AO16" i="1"/>
  <c r="AG27" i="1"/>
  <c r="AA27" i="1"/>
  <c r="AG15" i="1"/>
  <c r="AO4" i="1"/>
  <c r="AA18" i="1"/>
  <c r="AA21" i="1"/>
  <c r="S9" i="1"/>
  <c r="U9" i="1" s="1"/>
  <c r="W9" i="1" s="1"/>
  <c r="S6" i="1"/>
  <c r="U6" i="1" s="1"/>
  <c r="W6" i="1" s="1"/>
  <c r="S20" i="1"/>
  <c r="U20" i="1" s="1"/>
  <c r="W20" i="1" s="1"/>
  <c r="AG23" i="1"/>
  <c r="S16" i="1"/>
  <c r="U16" i="1" s="1"/>
  <c r="AG14" i="1"/>
  <c r="S8" i="1"/>
  <c r="U8" i="1" s="1"/>
  <c r="W8" i="1" s="1"/>
  <c r="AA17" i="1"/>
  <c r="AO22" i="1"/>
  <c r="AD15" i="1"/>
  <c r="AG20" i="1"/>
  <c r="AG8" i="1"/>
  <c r="S12" i="1"/>
  <c r="U12" i="1" s="1"/>
  <c r="W12" i="1" s="1"/>
  <c r="S15" i="1"/>
  <c r="U15" i="1" s="1"/>
  <c r="W15" i="1" s="1"/>
  <c r="AG3" i="1"/>
  <c r="W11" i="1"/>
  <c r="AG17" i="1"/>
  <c r="S24" i="1"/>
  <c r="U24" i="1" s="1"/>
  <c r="W24" i="1" s="1"/>
  <c r="Q7" i="1"/>
  <c r="AC7" i="1" s="1"/>
  <c r="Q23" i="1"/>
  <c r="AC23" i="1" s="1"/>
  <c r="AD20" i="1"/>
  <c r="AD16" i="1"/>
  <c r="AD19" i="1"/>
  <c r="AG7" i="1"/>
  <c r="AG13" i="1"/>
  <c r="AG19" i="1"/>
  <c r="AG6" i="1"/>
  <c r="AG12" i="1"/>
  <c r="AG18" i="1"/>
  <c r="AG24" i="1"/>
  <c r="Q12" i="1"/>
  <c r="AC12" i="1" s="1"/>
  <c r="AD12" i="1" s="1"/>
  <c r="S13" i="1"/>
  <c r="U13" i="1" s="1"/>
  <c r="W13" i="1" s="1"/>
  <c r="Q18" i="1"/>
  <c r="AC18" i="1" s="1"/>
  <c r="S19" i="1"/>
  <c r="U19" i="1" s="1"/>
  <c r="W19" i="1" s="1"/>
  <c r="Q24" i="1"/>
  <c r="AC24" i="1" s="1"/>
  <c r="AG11" i="1"/>
  <c r="AG5" i="1"/>
  <c r="Q6" i="1"/>
  <c r="AC6" i="1" s="1"/>
  <c r="AA7" i="1"/>
  <c r="Q3" i="1"/>
  <c r="AC3" i="1" s="1"/>
  <c r="AL30" i="2" l="1"/>
  <c r="AN30" i="2" s="1"/>
  <c r="AK26" i="2"/>
  <c r="AI26" i="2"/>
  <c r="AJ26" i="2" s="1"/>
  <c r="AL31" i="2"/>
  <c r="AN31" i="2" s="1"/>
  <c r="AL12" i="2"/>
  <c r="AN12" i="2" s="1"/>
  <c r="AL17" i="2"/>
  <c r="AN17" i="2" s="1"/>
  <c r="AL22" i="2"/>
  <c r="AN22" i="2" s="1"/>
  <c r="AL4" i="2"/>
  <c r="AN4" i="2" s="1"/>
  <c r="AD3" i="2"/>
  <c r="AD32" i="2" s="1"/>
  <c r="AQ6" i="2"/>
  <c r="AK6" i="2"/>
  <c r="AI6" i="2"/>
  <c r="AJ6" i="2" s="1"/>
  <c r="AL6" i="2" s="1"/>
  <c r="AN6" i="2" s="1"/>
  <c r="U32" i="2"/>
  <c r="W3" i="2"/>
  <c r="AK29" i="2"/>
  <c r="AI29" i="2"/>
  <c r="AJ29" i="2" s="1"/>
  <c r="AL29" i="2" s="1"/>
  <c r="AN29" i="2" s="1"/>
  <c r="AQ29" i="2"/>
  <c r="AQ15" i="2"/>
  <c r="AK15" i="2"/>
  <c r="AI15" i="2"/>
  <c r="AJ15" i="2" s="1"/>
  <c r="AL15" i="2" s="1"/>
  <c r="AN15" i="2" s="1"/>
  <c r="AK5" i="2"/>
  <c r="AI5" i="2"/>
  <c r="AJ5" i="2" s="1"/>
  <c r="AL5" i="2" s="1"/>
  <c r="AN5" i="2" s="1"/>
  <c r="AQ5" i="2"/>
  <c r="AQ11" i="2"/>
  <c r="AK11" i="2"/>
  <c r="AI11" i="2"/>
  <c r="AJ11" i="2" s="1"/>
  <c r="AL11" i="2" s="1"/>
  <c r="AN11" i="2" s="1"/>
  <c r="AQ21" i="2"/>
  <c r="AK21" i="2"/>
  <c r="AI21" i="2"/>
  <c r="AJ21" i="2" s="1"/>
  <c r="AL21" i="2" s="1"/>
  <c r="AN21" i="2" s="1"/>
  <c r="AC30" i="1"/>
  <c r="AC32" i="1" s="1"/>
  <c r="Q32" i="1"/>
  <c r="AD22" i="1"/>
  <c r="W16" i="1"/>
  <c r="U32" i="1"/>
  <c r="AD9" i="1"/>
  <c r="AE9" i="1" s="1"/>
  <c r="AD21" i="1"/>
  <c r="AD6" i="1"/>
  <c r="AD24" i="1"/>
  <c r="AE24" i="1" s="1"/>
  <c r="AQ24" i="1" s="1"/>
  <c r="AD17" i="1"/>
  <c r="AE17" i="1" s="1"/>
  <c r="AD4" i="1"/>
  <c r="AE4" i="1" s="1"/>
  <c r="AK4" i="1" s="1"/>
  <c r="AD10" i="1"/>
  <c r="AD5" i="1"/>
  <c r="AE5" i="1" s="1"/>
  <c r="AE10" i="1"/>
  <c r="AK10" i="1" s="1"/>
  <c r="AE29" i="1"/>
  <c r="AI29" i="1" s="1"/>
  <c r="AJ29" i="1" s="1"/>
  <c r="AE14" i="1"/>
  <c r="AK14" i="1" s="1"/>
  <c r="AE25" i="1"/>
  <c r="AK25" i="1" s="1"/>
  <c r="AE8" i="1"/>
  <c r="AI8" i="1" s="1"/>
  <c r="AJ8" i="1" s="1"/>
  <c r="AE21" i="1"/>
  <c r="AQ21" i="1" s="1"/>
  <c r="AD23" i="1"/>
  <c r="AE23" i="1" s="1"/>
  <c r="AI23" i="1" s="1"/>
  <c r="AJ23" i="1" s="1"/>
  <c r="AE28" i="1"/>
  <c r="AQ28" i="1" s="1"/>
  <c r="AE26" i="1"/>
  <c r="AI26" i="1" s="1"/>
  <c r="AJ26" i="1" s="1"/>
  <c r="AD27" i="1"/>
  <c r="AE27" i="1" s="1"/>
  <c r="AQ27" i="1" s="1"/>
  <c r="AE20" i="1"/>
  <c r="AQ20" i="1" s="1"/>
  <c r="AE19" i="1"/>
  <c r="AK19" i="1" s="1"/>
  <c r="AE11" i="1"/>
  <c r="AI11" i="1" s="1"/>
  <c r="AJ11" i="1" s="1"/>
  <c r="AD18" i="1"/>
  <c r="AE18" i="1" s="1"/>
  <c r="AQ18" i="1" s="1"/>
  <c r="AE12" i="1"/>
  <c r="AK12" i="1" s="1"/>
  <c r="AE15" i="1"/>
  <c r="AK15" i="1" s="1"/>
  <c r="AE13" i="1"/>
  <c r="AQ13" i="1" s="1"/>
  <c r="AE6" i="1"/>
  <c r="AI6" i="1" s="1"/>
  <c r="AJ6" i="1" s="1"/>
  <c r="AD7" i="1"/>
  <c r="AE7" i="1" s="1"/>
  <c r="AD3" i="1"/>
  <c r="AL26" i="2" l="1"/>
  <c r="AN26" i="2" s="1"/>
  <c r="AE3" i="2"/>
  <c r="W32" i="2"/>
  <c r="AE16" i="1"/>
  <c r="AK16" i="1" s="1"/>
  <c r="AD30" i="1"/>
  <c r="AE30" i="1" s="1"/>
  <c r="AI30" i="1" s="1"/>
  <c r="AJ30" i="1" s="1"/>
  <c r="AE22" i="1"/>
  <c r="AK22" i="1" s="1"/>
  <c r="AQ9" i="1"/>
  <c r="AI9" i="1"/>
  <c r="AJ9" i="1" s="1"/>
  <c r="AI10" i="1"/>
  <c r="AJ10" i="1" s="1"/>
  <c r="AL10" i="1" s="1"/>
  <c r="AN10" i="1" s="1"/>
  <c r="AQ10" i="1"/>
  <c r="AK29" i="1"/>
  <c r="AL29" i="1" s="1"/>
  <c r="AN29" i="1" s="1"/>
  <c r="AQ29" i="1"/>
  <c r="AQ14" i="1"/>
  <c r="AK21" i="1"/>
  <c r="AK30" i="1"/>
  <c r="AI25" i="1"/>
  <c r="AJ25" i="1" s="1"/>
  <c r="AL25" i="1" s="1"/>
  <c r="AN25" i="1" s="1"/>
  <c r="AK8" i="1"/>
  <c r="AL8" i="1" s="1"/>
  <c r="AN8" i="1" s="1"/>
  <c r="AI24" i="1"/>
  <c r="AJ24" i="1" s="1"/>
  <c r="AK24" i="1"/>
  <c r="AK9" i="1"/>
  <c r="AI14" i="1"/>
  <c r="AJ14" i="1" s="1"/>
  <c r="AL14" i="1" s="1"/>
  <c r="AN14" i="1" s="1"/>
  <c r="AQ25" i="1"/>
  <c r="AQ22" i="1"/>
  <c r="AI22" i="1"/>
  <c r="AJ22" i="1" s="1"/>
  <c r="AL22" i="1" s="1"/>
  <c r="AN22" i="1" s="1"/>
  <c r="AK28" i="1"/>
  <c r="AI12" i="1"/>
  <c r="AJ12" i="1" s="1"/>
  <c r="AL12" i="1" s="1"/>
  <c r="AN12" i="1" s="1"/>
  <c r="AQ8" i="1"/>
  <c r="AI28" i="1"/>
  <c r="AJ28" i="1" s="1"/>
  <c r="AK18" i="1"/>
  <c r="AQ23" i="1"/>
  <c r="AK11" i="1"/>
  <c r="AL11" i="1" s="1"/>
  <c r="AN11" i="1" s="1"/>
  <c r="AI21" i="1"/>
  <c r="AJ21" i="1" s="1"/>
  <c r="AQ26" i="1"/>
  <c r="AQ19" i="1"/>
  <c r="AK26" i="1"/>
  <c r="AL26" i="1" s="1"/>
  <c r="AN26" i="1" s="1"/>
  <c r="AK27" i="1"/>
  <c r="AQ12" i="1"/>
  <c r="AI20" i="1"/>
  <c r="AJ20" i="1" s="1"/>
  <c r="AK13" i="1"/>
  <c r="AI27" i="1"/>
  <c r="AJ27" i="1" s="1"/>
  <c r="AI15" i="1"/>
  <c r="AJ15" i="1" s="1"/>
  <c r="AL15" i="1" s="1"/>
  <c r="AN15" i="1" s="1"/>
  <c r="AI19" i="1"/>
  <c r="AJ19" i="1" s="1"/>
  <c r="AL19" i="1" s="1"/>
  <c r="AN19" i="1" s="1"/>
  <c r="AK23" i="1"/>
  <c r="AL23" i="1" s="1"/>
  <c r="AN23" i="1" s="1"/>
  <c r="AK20" i="1"/>
  <c r="AQ15" i="1"/>
  <c r="AI18" i="1"/>
  <c r="AJ18" i="1" s="1"/>
  <c r="AQ4" i="1"/>
  <c r="AQ11" i="1"/>
  <c r="AI4" i="1"/>
  <c r="AJ4" i="1" s="1"/>
  <c r="AL4" i="1" s="1"/>
  <c r="AN4" i="1" s="1"/>
  <c r="AQ17" i="1"/>
  <c r="AK17" i="1"/>
  <c r="AI17" i="1"/>
  <c r="AJ17" i="1" s="1"/>
  <c r="AK6" i="1"/>
  <c r="AL6" i="1" s="1"/>
  <c r="AN6" i="1" s="1"/>
  <c r="AQ6" i="1"/>
  <c r="AI13" i="1"/>
  <c r="AJ13" i="1" s="1"/>
  <c r="AQ16" i="1"/>
  <c r="AI16" i="1"/>
  <c r="AK5" i="1"/>
  <c r="AQ5" i="1"/>
  <c r="AI5" i="1"/>
  <c r="AJ5" i="1" s="1"/>
  <c r="W3" i="1"/>
  <c r="W32" i="1" s="1"/>
  <c r="AQ7" i="1"/>
  <c r="AK7" i="1"/>
  <c r="AI7" i="1"/>
  <c r="AJ7" i="1" s="1"/>
  <c r="AI3" i="2" l="1"/>
  <c r="AE32" i="2"/>
  <c r="AQ3" i="2"/>
  <c r="AQ32" i="2" s="1"/>
  <c r="E36" i="2" s="1"/>
  <c r="AK3" i="2"/>
  <c r="AK32" i="2" s="1"/>
  <c r="AQ30" i="1"/>
  <c r="AD32" i="1"/>
  <c r="AL9" i="1"/>
  <c r="AN9" i="1" s="1"/>
  <c r="AL30" i="1"/>
  <c r="AN30" i="1" s="1"/>
  <c r="AJ16" i="1"/>
  <c r="AL7" i="1"/>
  <c r="AN7" i="1" s="1"/>
  <c r="AL17" i="1"/>
  <c r="AN17" i="1" s="1"/>
  <c r="AL21" i="1"/>
  <c r="AN21" i="1" s="1"/>
  <c r="AL24" i="1"/>
  <c r="AN24" i="1" s="1"/>
  <c r="AL28" i="1"/>
  <c r="AN28" i="1" s="1"/>
  <c r="AL18" i="1"/>
  <c r="AN18" i="1" s="1"/>
  <c r="AL27" i="1"/>
  <c r="AN27" i="1" s="1"/>
  <c r="AL13" i="1"/>
  <c r="AN13" i="1" s="1"/>
  <c r="AL20" i="1"/>
  <c r="AN20" i="1" s="1"/>
  <c r="AL5" i="1"/>
  <c r="AN5" i="1" s="1"/>
  <c r="AE3" i="1"/>
  <c r="AE32" i="1" s="1"/>
  <c r="AJ3" i="2" l="1"/>
  <c r="AI32" i="2"/>
  <c r="AL16" i="1"/>
  <c r="AI3" i="1"/>
  <c r="AK3" i="1"/>
  <c r="AK32" i="1" s="1"/>
  <c r="AQ3" i="1"/>
  <c r="AQ32" i="1" s="1"/>
  <c r="AJ32" i="2" l="1"/>
  <c r="AL3" i="2"/>
  <c r="AJ3" i="1"/>
  <c r="AJ32" i="1" s="1"/>
  <c r="AI32" i="1"/>
  <c r="AN16" i="1"/>
  <c r="E36" i="1"/>
  <c r="AN3" i="2" l="1"/>
  <c r="AN32" i="2" s="1"/>
  <c r="E35" i="2" s="1"/>
  <c r="AL32" i="2"/>
  <c r="AL3" i="1"/>
  <c r="AN3" i="1" s="1"/>
  <c r="AN32" i="1" s="1"/>
  <c r="E35" i="1" s="1"/>
  <c r="AL32" i="1" l="1"/>
</calcChain>
</file>

<file path=xl/sharedStrings.xml><?xml version="1.0" encoding="utf-8"?>
<sst xmlns="http://schemas.openxmlformats.org/spreadsheetml/2006/main" count="496" uniqueCount="149">
  <si>
    <t>Branch</t>
  </si>
  <si>
    <t>ID</t>
  </si>
  <si>
    <t>Transfer Account Number</t>
  </si>
  <si>
    <t>Transfer Account Type</t>
  </si>
  <si>
    <t>Name</t>
  </si>
  <si>
    <t xml:space="preserve"> National ID</t>
  </si>
  <si>
    <t>Title</t>
  </si>
  <si>
    <t>Basic</t>
  </si>
  <si>
    <t>Total Target</t>
  </si>
  <si>
    <t>Salary Differences</t>
  </si>
  <si>
    <t>Target rate</t>
  </si>
  <si>
    <t>Target value</t>
  </si>
  <si>
    <t>Daily transfer value</t>
  </si>
  <si>
    <t>Transportation days</t>
  </si>
  <si>
    <t>Transportation expenses</t>
  </si>
  <si>
    <t>Basic wage</t>
  </si>
  <si>
    <t>Target wage</t>
  </si>
  <si>
    <t>Daily wage</t>
  </si>
  <si>
    <t>hourly wage rate</t>
  </si>
  <si>
    <t>Number of hours</t>
  </si>
  <si>
    <t>Overtime</t>
  </si>
  <si>
    <t>Bonus</t>
  </si>
  <si>
    <t>Gross</t>
  </si>
  <si>
    <t>Absence days</t>
  </si>
  <si>
    <t>Absence value</t>
  </si>
  <si>
    <t>Penalty Days</t>
  </si>
  <si>
    <t>Penalties value</t>
  </si>
  <si>
    <t>Target Days</t>
  </si>
  <si>
    <t>Total deducted</t>
  </si>
  <si>
    <t>Net</t>
  </si>
  <si>
    <t>Insurance salary</t>
  </si>
  <si>
    <t>Employee Insurance</t>
  </si>
  <si>
    <t>اعفاء شخصى (20000ج سنويا)</t>
  </si>
  <si>
    <t>الوعاء السنوي</t>
  </si>
  <si>
    <t>tax</t>
  </si>
  <si>
    <t>Martyrs</t>
  </si>
  <si>
    <t>Net salary</t>
  </si>
  <si>
    <t>Advance</t>
  </si>
  <si>
    <t>Company Insurance</t>
  </si>
  <si>
    <t>Annual Balance</t>
  </si>
  <si>
    <t>Cost</t>
  </si>
  <si>
    <t>Operator</t>
  </si>
  <si>
    <t>Wallet</t>
  </si>
  <si>
    <t xml:space="preserve">الاجمالى </t>
  </si>
  <si>
    <t>Total Salaries</t>
  </si>
  <si>
    <t>Total Cost</t>
  </si>
  <si>
    <t>SFAMC-X001</t>
  </si>
  <si>
    <t>SFAMC-X002</t>
  </si>
  <si>
    <t>SFAMC-X003</t>
  </si>
  <si>
    <t>SFAMC-X004</t>
  </si>
  <si>
    <t>SFAMC-X005</t>
  </si>
  <si>
    <t>SFAMC-X006</t>
  </si>
  <si>
    <t>SFAMC-X007</t>
  </si>
  <si>
    <t>SFAMC-X008</t>
  </si>
  <si>
    <t>SFAMC-X009</t>
  </si>
  <si>
    <t>SFAMC-X010</t>
  </si>
  <si>
    <t>SFAMC-X011</t>
  </si>
  <si>
    <t>SFAMC-X012</t>
  </si>
  <si>
    <t>SFAMC-X013</t>
  </si>
  <si>
    <t>SFAMC-X014</t>
  </si>
  <si>
    <t>SFAMC-X015</t>
  </si>
  <si>
    <t>SFAMC-X016</t>
  </si>
  <si>
    <t>SFAMC-X017</t>
  </si>
  <si>
    <t>SFAMC-X018</t>
  </si>
  <si>
    <t>SFAMC-X019</t>
  </si>
  <si>
    <t>SFAMC-X020</t>
  </si>
  <si>
    <t>SFAMC-X021</t>
  </si>
  <si>
    <t>SFAMC-X022</t>
  </si>
  <si>
    <t>SFAMC-X023</t>
  </si>
  <si>
    <t>SFAMC-X024</t>
  </si>
  <si>
    <t>SFAMC-X025</t>
  </si>
  <si>
    <t>SFAMC-X026</t>
  </si>
  <si>
    <t>SFAMC-X027</t>
  </si>
  <si>
    <t>SFAMC-X028</t>
  </si>
  <si>
    <t>Ahly Medicial</t>
  </si>
  <si>
    <t>Elshaimaa Hassan Mahmoud Elhanafy</t>
  </si>
  <si>
    <t>29809091400581</t>
  </si>
  <si>
    <t>Team Leader</t>
  </si>
  <si>
    <t>01115472911</t>
  </si>
  <si>
    <t>Mariam Khaled Saied Abdel Hamed</t>
  </si>
  <si>
    <t>Esraa Adel Farag Gomaa</t>
  </si>
  <si>
    <t>Haidy Sayed Talaat Soliman</t>
  </si>
  <si>
    <t>Mayar Ahmed Maher Ibrahim</t>
  </si>
  <si>
    <t>Mohamed abdelnaby ali elsayed</t>
  </si>
  <si>
    <t>Rana Ibrahim Mahmoud El Sayed</t>
  </si>
  <si>
    <t>Ali AbdelAziz Mohamed AbdelAziz</t>
  </si>
  <si>
    <t>ali hassan ali hassan</t>
  </si>
  <si>
    <t>30009232104084</t>
  </si>
  <si>
    <t>30109132102445</t>
  </si>
  <si>
    <t>30107310104101</t>
  </si>
  <si>
    <t>30112082101427</t>
  </si>
  <si>
    <t>30104010102841</t>
  </si>
  <si>
    <t>29909290102917</t>
  </si>
  <si>
    <t>30403078800293</t>
  </si>
  <si>
    <t>29811222104855</t>
  </si>
  <si>
    <t>01107393744</t>
  </si>
  <si>
    <t>01064319141</t>
  </si>
  <si>
    <t>01116523532</t>
  </si>
  <si>
    <t>01020530322</t>
  </si>
  <si>
    <t>01014654971</t>
  </si>
  <si>
    <t>01030914529</t>
  </si>
  <si>
    <t>5078034899783455</t>
  </si>
  <si>
    <t>01118148200</t>
  </si>
  <si>
    <t>Neama Gomaa Ibrahim Mokhaem</t>
  </si>
  <si>
    <t>01125373509</t>
  </si>
  <si>
    <t>29701120102807</t>
  </si>
  <si>
    <t>Rahma Rageb Hussien Hassan</t>
  </si>
  <si>
    <t>30305042100145</t>
  </si>
  <si>
    <t>01153596971</t>
  </si>
  <si>
    <t>Esraa Mahmoud Abdelrahman</t>
  </si>
  <si>
    <t>01032320091</t>
  </si>
  <si>
    <t>29801282101485</t>
  </si>
  <si>
    <t>yara Ahmed ezzat Mohamed</t>
  </si>
  <si>
    <t>Sara Hazem eiid ragab</t>
  </si>
  <si>
    <t xml:space="preserve">Nourhan walid abdelaziz ali </t>
  </si>
  <si>
    <t>Mahmoud Tarek fathi ahmed</t>
  </si>
  <si>
    <t>Aya rafaat abdelaziz</t>
  </si>
  <si>
    <t>lamia Salah ahmed ahmed</t>
  </si>
  <si>
    <t>nada ahmed awadalah</t>
  </si>
  <si>
    <t xml:space="preserve">Sama ahmed mohamed </t>
  </si>
  <si>
    <t>Samar Ragab Khalifa</t>
  </si>
  <si>
    <t>Rahma Elsayed Ahmed mohamed</t>
  </si>
  <si>
    <t xml:space="preserve">Hoda Mohamed Youssef </t>
  </si>
  <si>
    <t>30303200104541</t>
  </si>
  <si>
    <t>29610180102223</t>
  </si>
  <si>
    <t>30208220103387</t>
  </si>
  <si>
    <t>30303202101132</t>
  </si>
  <si>
    <t>30012050103644</t>
  </si>
  <si>
    <t>28611201402802</t>
  </si>
  <si>
    <t>30103050105669</t>
  </si>
  <si>
    <t>30506290105701</t>
  </si>
  <si>
    <t>30212122105964</t>
  </si>
  <si>
    <t>30112232102621</t>
  </si>
  <si>
    <t>27212101402249</t>
  </si>
  <si>
    <t>Rokia hassan abdelaty mohamed</t>
  </si>
  <si>
    <t>30405170101426</t>
  </si>
  <si>
    <t>Ahmed Samir amin  mohamed</t>
  </si>
  <si>
    <t>30507112101138</t>
  </si>
  <si>
    <t>30109280106131</t>
  </si>
  <si>
    <t>abdelrahamn ali ezz eldein</t>
  </si>
  <si>
    <t>CASH</t>
  </si>
  <si>
    <t>Ahmed Mohamed hussnein</t>
  </si>
  <si>
    <t>30407020104195</t>
  </si>
  <si>
    <t>01108210538</t>
  </si>
  <si>
    <t>Dina Rafaat</t>
  </si>
  <si>
    <t>Eyad mostafa Gaber</t>
  </si>
  <si>
    <t>30910132100455</t>
  </si>
  <si>
    <t>SFAMC-X029</t>
  </si>
  <si>
    <t>Dopay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</si>
</sst>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mmmm\ yyyy"/>
    <numFmt numFmtId="165" formatCode="_(* #,##0_);_(* \(#,##0\);_(* &quot;-&quot;??_);_(@_)"/>
    <numFmt numFmtId="166" formatCode="0.0"/>
    <numFmt numFmtId="167" formatCode="_(&quot;EGP&quot;* #,##0_);_(&quot;EGP&quot;* \(#,##0\);_(&quot;EGP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protection locked="0"/>
    </xf>
    <xf numFmtId="0" fontId="1" fillId="13" borderId="2">
      <alignment horizontal="center" vertical="center"/>
    </xf>
  </cellStyleXfs>
  <cellXfs count="45">
    <xf numFmtId="0" fontId="0" fillId="0" borderId="0" xfId="0"/>
    <xf numFmtId="164" fontId="2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1" fontId="3" fillId="7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1" fontId="3" fillId="0" borderId="2" xfId="1" applyNumberFormat="1" applyFont="1" applyBorder="1" applyAlignment="1">
      <alignment horizontal="center" vertical="center"/>
    </xf>
    <xf numFmtId="10" fontId="3" fillId="8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1" fontId="3" fillId="9" borderId="2" xfId="0" applyNumberFormat="1" applyFont="1" applyFill="1" applyBorder="1" applyAlignment="1">
      <alignment horizontal="center" vertical="center"/>
    </xf>
    <xf numFmtId="1" fontId="3" fillId="10" borderId="2" xfId="1" applyNumberFormat="1" applyFont="1" applyFill="1" applyBorder="1" applyAlignment="1">
      <alignment horizontal="center" vertical="center"/>
    </xf>
    <xf numFmtId="41" fontId="3" fillId="10" borderId="2" xfId="1" applyNumberFormat="1" applyFont="1" applyFill="1" applyBorder="1" applyAlignment="1">
      <alignment horizontal="center" vertical="center"/>
    </xf>
    <xf numFmtId="166" fontId="3" fillId="10" borderId="2" xfId="1" applyNumberFormat="1" applyFont="1" applyFill="1" applyBorder="1" applyAlignment="1">
      <alignment horizontal="center" vertical="center"/>
    </xf>
    <xf numFmtId="165" fontId="3" fillId="9" borderId="2" xfId="1" applyNumberFormat="1" applyFont="1" applyFill="1" applyBorder="1" applyAlignment="1">
      <alignment horizontal="center" vertical="center"/>
    </xf>
    <xf numFmtId="165" fontId="5" fillId="9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Border="1" applyAlignment="1">
      <alignment horizontal="center" vertical="center"/>
    </xf>
    <xf numFmtId="43" fontId="5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0" fontId="6" fillId="11" borderId="4" xfId="0" applyFont="1" applyFill="1" applyBorder="1" applyAlignment="1">
      <alignment vertical="center"/>
    </xf>
    <xf numFmtId="0" fontId="6" fillId="11" borderId="5" xfId="0" applyFont="1" applyFill="1" applyBorder="1" applyAlignment="1">
      <alignment vertical="center"/>
    </xf>
    <xf numFmtId="41" fontId="6" fillId="6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7" fontId="9" fillId="0" borderId="9" xfId="0" applyNumberFormat="1" applyFont="1" applyBorder="1" applyAlignment="1">
      <alignment horizontal="left" vertical="center"/>
    </xf>
    <xf numFmtId="49" fontId="3" fillId="7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4F988298-97D7-424C-9E7E-A710156BC3F1}"/>
    <cellStyle name="Percent" xfId="2" builtinId="5"/>
    <cellStyle name="Style 1" xfId="4" xr:uid="{FCC37FF1-5A6C-4911-A86A-5C670A36020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1"/>
  <sheetViews>
    <sheetView tabSelected="1" topLeftCell="A4" zoomScale="70" zoomScaleNormal="70" workbookViewId="0">
      <selection activeCell="G22" sqref="G22"/>
    </sheetView>
  </sheetViews>
  <sheetFormatPr defaultColWidth="9.36328125" defaultRowHeight="15.5" x14ac:dyDescent="0.35"/>
  <cols>
    <col min="1" max="1" width="13.81640625" style="2" bestFit="1" customWidth="1"/>
    <col min="2" max="2" width="13.08984375" style="2" bestFit="1" customWidth="1"/>
    <col min="3" max="3" width="31.36328125" style="32" bestFit="1" customWidth="1"/>
    <col min="4" max="4" width="28.1796875" style="32" bestFit="1" customWidth="1"/>
    <col min="5" max="5" width="36.36328125" style="33" bestFit="1" customWidth="1"/>
    <col min="6" max="6" width="18.1796875" style="2" bestFit="1" customWidth="1"/>
    <col min="7" max="7" width="12.7265625" style="2" bestFit="1" customWidth="1"/>
    <col min="8" max="8" width="12.1796875" style="2" bestFit="1" customWidth="1"/>
    <col min="9" max="9" width="18.36328125" style="2" bestFit="1" customWidth="1"/>
    <col min="10" max="10" width="23.81640625" style="2" bestFit="1" customWidth="1"/>
    <col min="11" max="11" width="17.453125" style="2" bestFit="1" customWidth="1"/>
    <col min="12" max="12" width="18.81640625" style="2" bestFit="1" customWidth="1"/>
    <col min="13" max="13" width="25.26953125" style="2" bestFit="1" customWidth="1"/>
    <col min="14" max="14" width="26.1796875" style="2" bestFit="1" customWidth="1"/>
    <col min="15" max="15" width="30.36328125" style="2" bestFit="1" customWidth="1"/>
    <col min="16" max="16" width="17.36328125" bestFit="1" customWidth="1"/>
    <col min="17" max="17" width="18.6328125" style="2" bestFit="1" customWidth="1"/>
    <col min="18" max="18" width="17.26953125" style="2" bestFit="1" customWidth="1"/>
    <col min="19" max="19" width="23.08984375" style="2" bestFit="1" customWidth="1"/>
    <col min="20" max="20" width="23.36328125" style="2" bestFit="1" customWidth="1"/>
    <col min="21" max="21" width="16.08984375" style="2" bestFit="1" customWidth="1"/>
    <col min="22" max="22" width="13.1796875" style="2" bestFit="1" customWidth="1"/>
    <col min="23" max="23" width="12.81640625" style="2" bestFit="1" customWidth="1"/>
    <col min="24" max="24" width="20" style="2" bestFit="1" customWidth="1"/>
    <col min="25" max="25" width="20.6328125" style="2" bestFit="1" customWidth="1"/>
    <col min="26" max="26" width="19.26953125" style="2" bestFit="1" customWidth="1"/>
    <col min="27" max="27" width="21.26953125" style="2" bestFit="1" customWidth="1"/>
    <col min="28" max="28" width="18.1796875" style="2" bestFit="1" customWidth="1"/>
    <col min="29" max="29" width="18.81640625" style="2" bestFit="1" customWidth="1"/>
    <col min="30" max="30" width="21.26953125" style="2" bestFit="1" customWidth="1"/>
    <col min="31" max="31" width="11.08984375" style="2" bestFit="1" customWidth="1"/>
    <col min="32" max="32" width="22.453125" style="2" bestFit="1" customWidth="1"/>
    <col min="33" max="33" width="25.90625" style="2" bestFit="1" customWidth="1"/>
    <col min="34" max="34" width="31.36328125" style="2" bestFit="1" customWidth="1"/>
    <col min="35" max="35" width="17.6328125" style="2" bestFit="1" customWidth="1"/>
    <col min="36" max="36" width="10.36328125" style="2" bestFit="1" customWidth="1"/>
    <col min="37" max="37" width="14.90625" style="2" bestFit="1" customWidth="1"/>
    <col min="38" max="38" width="16.7265625" style="2" bestFit="1" customWidth="1"/>
    <col min="39" max="39" width="15.26953125" style="2" bestFit="1" customWidth="1"/>
    <col min="40" max="40" width="11.08984375" style="2" bestFit="1" customWidth="1"/>
    <col min="41" max="41" width="25.6328125" style="2" bestFit="1" customWidth="1"/>
    <col min="42" max="42" width="21.54296875" style="2" bestFit="1" customWidth="1"/>
    <col min="43" max="43" width="11.6328125" bestFit="1" customWidth="1"/>
    <col min="44" max="16384" width="9.36328125" style="2"/>
  </cols>
  <sheetData>
    <row r="1" spans="1:43" ht="26" x14ac:dyDescent="0.35">
      <c r="A1" s="39">
        <v>45689</v>
      </c>
      <c r="B1" s="39"/>
      <c r="C1" s="39"/>
      <c r="D1" s="39"/>
      <c r="E1" s="3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5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3" t="s">
        <v>12</v>
      </c>
      <c r="N2" s="3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3" t="s">
        <v>18</v>
      </c>
      <c r="T2" s="3" t="s">
        <v>19</v>
      </c>
      <c r="U2" s="7" t="s">
        <v>20</v>
      </c>
      <c r="V2" s="7" t="s">
        <v>21</v>
      </c>
      <c r="W2" s="7" t="s">
        <v>22</v>
      </c>
      <c r="X2" s="3" t="s">
        <v>23</v>
      </c>
      <c r="Y2" s="6" t="s">
        <v>24</v>
      </c>
      <c r="Z2" s="3" t="s">
        <v>25</v>
      </c>
      <c r="AA2" s="6" t="s">
        <v>26</v>
      </c>
      <c r="AB2" s="3" t="s">
        <v>27</v>
      </c>
      <c r="AC2" s="6" t="s">
        <v>11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7" t="s">
        <v>37</v>
      </c>
      <c r="AN2" s="7" t="s">
        <v>29</v>
      </c>
      <c r="AO2" s="3" t="s">
        <v>38</v>
      </c>
      <c r="AP2" s="8" t="s">
        <v>39</v>
      </c>
      <c r="AQ2" s="9" t="s">
        <v>40</v>
      </c>
    </row>
    <row r="3" spans="1:43" ht="15.65" customHeight="1" x14ac:dyDescent="0.35">
      <c r="A3" s="10" t="s">
        <v>74</v>
      </c>
      <c r="B3" s="10" t="s">
        <v>46</v>
      </c>
      <c r="C3" s="11" t="s">
        <v>78</v>
      </c>
      <c r="D3" s="38" t="s">
        <v>148</v>
      </c>
      <c r="E3" s="11" t="s">
        <v>75</v>
      </c>
      <c r="F3" s="37" t="s">
        <v>76</v>
      </c>
      <c r="G3" s="12" t="s">
        <v>77</v>
      </c>
      <c r="H3" s="13">
        <v>5000</v>
      </c>
      <c r="I3" s="13">
        <v>3000</v>
      </c>
      <c r="J3" s="13">
        <v>0</v>
      </c>
      <c r="K3" s="14">
        <v>1.07</v>
      </c>
      <c r="L3" s="15">
        <f t="shared" ref="L3:L31" si="0">+I3*K3</f>
        <v>3210</v>
      </c>
      <c r="M3" s="15">
        <v>0</v>
      </c>
      <c r="N3" s="15">
        <f t="shared" ref="N3:N31" si="1">30-X3</f>
        <v>30</v>
      </c>
      <c r="O3" s="15">
        <v>0</v>
      </c>
      <c r="P3" s="16">
        <f t="shared" ref="P3:P31" si="2">H3/30</f>
        <v>166.66666666666666</v>
      </c>
      <c r="Q3" s="16">
        <f t="shared" ref="Q3:Q31" si="3">L3/30</f>
        <v>107</v>
      </c>
      <c r="R3" s="16">
        <f>(I3+H3)/30</f>
        <v>266.66666666666669</v>
      </c>
      <c r="S3" s="16">
        <f t="shared" ref="S3:S31" si="4">+P3/8</f>
        <v>20.833333333333332</v>
      </c>
      <c r="T3" s="15">
        <v>30</v>
      </c>
      <c r="U3" s="15">
        <f t="shared" ref="U3:U31" si="5">+S3*T3</f>
        <v>625</v>
      </c>
      <c r="V3" s="15">
        <v>700</v>
      </c>
      <c r="W3" s="17">
        <f t="shared" ref="W3:W31" si="6">H3+L3+O3+U3+V3+J3</f>
        <v>9535</v>
      </c>
      <c r="X3" s="18">
        <v>0</v>
      </c>
      <c r="Y3" s="19">
        <f>P3*X3</f>
        <v>0</v>
      </c>
      <c r="Z3" s="20">
        <v>0</v>
      </c>
      <c r="AA3" s="19">
        <f t="shared" ref="AA3:AA31" si="7">Z3*P3</f>
        <v>0</v>
      </c>
      <c r="AB3" s="19">
        <v>0</v>
      </c>
      <c r="AC3" s="19">
        <f t="shared" ref="AC3:AC31" si="8">Q3*AB3</f>
        <v>0</v>
      </c>
      <c r="AD3" s="21">
        <f t="shared" ref="AD3:AD31" si="9">Y3+AA3+AC3</f>
        <v>0</v>
      </c>
      <c r="AE3" s="22">
        <f t="shared" ref="AE3:AE31" si="10">W3-AD3</f>
        <v>9535</v>
      </c>
      <c r="AF3" s="23">
        <f t="shared" ref="AF3:AF30" si="11">7000/1.3</f>
        <v>5384.6153846153848</v>
      </c>
      <c r="AG3" s="23">
        <f t="shared" ref="AG3:AG31" si="12">+AF3*0.11</f>
        <v>592.30769230769238</v>
      </c>
      <c r="AH3" s="24">
        <v>1666.6666666666667</v>
      </c>
      <c r="AI3" s="24">
        <f t="shared" ref="AI3:AI31" si="13">(AE3-AG3-AH3)*12</f>
        <v>87312.307692307702</v>
      </c>
      <c r="AJ3" s="24">
        <f t="shared" ref="AJ3:AJ31" si="14">IF(AND(AI3&gt;40000,AI3&lt;=55000),(AI3-40000)*10%,
IF(AND(AI3&gt;55000,AI3&lt;=70000),(AI3-55000)*15%+15000*10%,
IF(AND(AI3&gt;70000,AI3&lt;=200000),(AI3-70000)*20%+15000*10%+15000*15%,
IF(AND(AI3&gt;200000,AI3&lt;=400000),(AI3-200000)*22.5%+15000*10%+15000*15%+130000*20%,
IF(AND(AI3&gt;400000,AI3&lt;=600000),(AI3-400000)*25%+15000*10%+15000*15%+130000*20%+200000*22.5%,
IF(AND(AI3&gt;600000,AI3&lt;=700000),(AI3-400000)*25%+55000*10%+15000*15%+130000*20%+200000*22.5%,
IF(AND(AI3&gt;700000,AI3&lt;=800000),(AI3-400000)*25%+70000*15%+130000*20%+200000*22.5%,
IF(AND(AI3&gt;800000,AI3&lt;=900000),(AI3-400000)*25%+200000*20%+200000*22.5%,
IF(AND(AI3&gt;900000,AI3&lt;=1200000),(AI3-400000)*25%+400000*22.5%,
IF(AI3&gt;1200000,(AI3-1200000)*27.5%+1200000*25%))))))))))/12</f>
        <v>601.03846153846177</v>
      </c>
      <c r="AK3" s="23">
        <f t="shared" ref="AK3:AK31" si="15">+AE3*0.0005</f>
        <v>4.7675000000000001</v>
      </c>
      <c r="AL3" s="22">
        <f t="shared" ref="AL3:AL31" si="16">+AE3-AG3-AJ3-AK3</f>
        <v>8336.8863461538476</v>
      </c>
      <c r="AM3" s="23">
        <v>0</v>
      </c>
      <c r="AN3" s="22">
        <f t="shared" ref="AN3:AN31" si="17">+AL3-AM3</f>
        <v>8336.8863461538476</v>
      </c>
      <c r="AO3" s="24">
        <f t="shared" ref="AO3:AO31" si="18">+AF3*0.1875</f>
        <v>1009.6153846153846</v>
      </c>
      <c r="AP3" s="25"/>
      <c r="AQ3" s="26">
        <f t="shared" ref="AQ3:AQ31" si="19">AE3+AO3</f>
        <v>10544.615384615385</v>
      </c>
    </row>
    <row r="4" spans="1:43" ht="15.65" customHeight="1" x14ac:dyDescent="0.35">
      <c r="A4" s="10" t="s">
        <v>74</v>
      </c>
      <c r="B4" s="10" t="s">
        <v>47</v>
      </c>
      <c r="C4" s="11" t="s">
        <v>95</v>
      </c>
      <c r="D4" s="38" t="s">
        <v>148</v>
      </c>
      <c r="E4" s="11" t="s">
        <v>79</v>
      </c>
      <c r="F4" s="37" t="s">
        <v>91</v>
      </c>
      <c r="G4" s="12" t="s">
        <v>41</v>
      </c>
      <c r="H4" s="13">
        <v>4000</v>
      </c>
      <c r="I4" s="13">
        <v>3000</v>
      </c>
      <c r="J4" s="13">
        <v>0</v>
      </c>
      <c r="K4" s="14">
        <v>0.8</v>
      </c>
      <c r="L4" s="15">
        <f t="shared" si="0"/>
        <v>2400</v>
      </c>
      <c r="M4" s="15">
        <v>0</v>
      </c>
      <c r="N4" s="15">
        <f t="shared" si="1"/>
        <v>30</v>
      </c>
      <c r="O4" s="15">
        <v>0</v>
      </c>
      <c r="P4" s="16">
        <f t="shared" si="2"/>
        <v>133.33333333333334</v>
      </c>
      <c r="Q4" s="16">
        <f t="shared" si="3"/>
        <v>80</v>
      </c>
      <c r="R4" s="16">
        <f t="shared" ref="R4:R31" si="20">(I4+H4)/30</f>
        <v>233.33333333333334</v>
      </c>
      <c r="S4" s="16">
        <f t="shared" si="4"/>
        <v>16.666666666666668</v>
      </c>
      <c r="T4" s="15">
        <v>30</v>
      </c>
      <c r="U4" s="15">
        <f t="shared" si="5"/>
        <v>500.00000000000006</v>
      </c>
      <c r="V4" s="15"/>
      <c r="W4" s="17">
        <f t="shared" si="6"/>
        <v>6900</v>
      </c>
      <c r="X4" s="18">
        <v>0</v>
      </c>
      <c r="Y4" s="19">
        <f t="shared" ref="Y4:Y31" si="21">P4*X4</f>
        <v>0</v>
      </c>
      <c r="Z4" s="20">
        <v>0</v>
      </c>
      <c r="AA4" s="19">
        <f t="shared" si="7"/>
        <v>0</v>
      </c>
      <c r="AB4" s="19">
        <v>0</v>
      </c>
      <c r="AC4" s="19">
        <f t="shared" si="8"/>
        <v>0</v>
      </c>
      <c r="AD4" s="21">
        <f t="shared" si="9"/>
        <v>0</v>
      </c>
      <c r="AE4" s="22">
        <f t="shared" si="10"/>
        <v>6900</v>
      </c>
      <c r="AF4" s="23">
        <f t="shared" si="11"/>
        <v>5384.6153846153848</v>
      </c>
      <c r="AG4" s="23">
        <f t="shared" si="12"/>
        <v>592.30769230769238</v>
      </c>
      <c r="AH4" s="24">
        <v>1666.6666666666667</v>
      </c>
      <c r="AI4" s="24">
        <f t="shared" si="13"/>
        <v>55692.307692307688</v>
      </c>
      <c r="AJ4" s="24">
        <f t="shared" si="14"/>
        <v>133.6538461538461</v>
      </c>
      <c r="AK4" s="23">
        <f t="shared" si="15"/>
        <v>3.45</v>
      </c>
      <c r="AL4" s="22">
        <f t="shared" si="16"/>
        <v>6170.5884615384621</v>
      </c>
      <c r="AM4" s="23">
        <v>0</v>
      </c>
      <c r="AN4" s="22">
        <f t="shared" si="17"/>
        <v>6170.5884615384621</v>
      </c>
      <c r="AO4" s="24">
        <f t="shared" si="18"/>
        <v>1009.6153846153846</v>
      </c>
      <c r="AP4" s="25"/>
      <c r="AQ4" s="26">
        <f t="shared" si="19"/>
        <v>7909.6153846153848</v>
      </c>
    </row>
    <row r="5" spans="1:43" ht="15.65" customHeight="1" x14ac:dyDescent="0.35">
      <c r="A5" s="10" t="s">
        <v>74</v>
      </c>
      <c r="B5" s="10" t="s">
        <v>48</v>
      </c>
      <c r="C5" s="11" t="s">
        <v>96</v>
      </c>
      <c r="D5" s="38" t="s">
        <v>148</v>
      </c>
      <c r="E5" s="11" t="s">
        <v>80</v>
      </c>
      <c r="F5" s="37" t="s">
        <v>87</v>
      </c>
      <c r="G5" s="12" t="s">
        <v>41</v>
      </c>
      <c r="H5" s="13">
        <v>4000</v>
      </c>
      <c r="I5" s="13">
        <v>3000</v>
      </c>
      <c r="J5" s="13">
        <v>0</v>
      </c>
      <c r="K5" s="14">
        <v>1.07</v>
      </c>
      <c r="L5" s="15">
        <f t="shared" si="0"/>
        <v>3210</v>
      </c>
      <c r="M5" s="15">
        <v>0</v>
      </c>
      <c r="N5" s="15">
        <f t="shared" si="1"/>
        <v>30</v>
      </c>
      <c r="O5" s="15">
        <v>0</v>
      </c>
      <c r="P5" s="16">
        <f t="shared" si="2"/>
        <v>133.33333333333334</v>
      </c>
      <c r="Q5" s="16">
        <f t="shared" si="3"/>
        <v>107</v>
      </c>
      <c r="R5" s="16">
        <f t="shared" si="20"/>
        <v>233.33333333333334</v>
      </c>
      <c r="S5" s="16">
        <f t="shared" si="4"/>
        <v>16.666666666666668</v>
      </c>
      <c r="T5" s="15">
        <v>30</v>
      </c>
      <c r="U5" s="15">
        <f t="shared" si="5"/>
        <v>500.00000000000006</v>
      </c>
      <c r="V5" s="15"/>
      <c r="W5" s="17">
        <f t="shared" si="6"/>
        <v>7710</v>
      </c>
      <c r="X5" s="18">
        <v>0</v>
      </c>
      <c r="Y5" s="19">
        <f t="shared" si="21"/>
        <v>0</v>
      </c>
      <c r="Z5" s="20">
        <v>0</v>
      </c>
      <c r="AA5" s="19">
        <f t="shared" si="7"/>
        <v>0</v>
      </c>
      <c r="AB5" s="19">
        <v>0</v>
      </c>
      <c r="AC5" s="19">
        <f t="shared" si="8"/>
        <v>0</v>
      </c>
      <c r="AD5" s="21">
        <f t="shared" si="9"/>
        <v>0</v>
      </c>
      <c r="AE5" s="22">
        <f t="shared" si="10"/>
        <v>7710</v>
      </c>
      <c r="AF5" s="23">
        <f t="shared" si="11"/>
        <v>5384.6153846153848</v>
      </c>
      <c r="AG5" s="23">
        <f t="shared" si="12"/>
        <v>592.30769230769238</v>
      </c>
      <c r="AH5" s="24">
        <v>1666.6666666666667</v>
      </c>
      <c r="AI5" s="24">
        <f t="shared" si="13"/>
        <v>65412.307692307688</v>
      </c>
      <c r="AJ5" s="24">
        <f t="shared" si="14"/>
        <v>255.1538461538461</v>
      </c>
      <c r="AK5" s="23">
        <f t="shared" si="15"/>
        <v>3.855</v>
      </c>
      <c r="AL5" s="22">
        <f t="shared" si="16"/>
        <v>6858.6834615384623</v>
      </c>
      <c r="AM5" s="23">
        <v>0</v>
      </c>
      <c r="AN5" s="22">
        <f t="shared" si="17"/>
        <v>6858.6834615384623</v>
      </c>
      <c r="AO5" s="24">
        <f t="shared" si="18"/>
        <v>1009.6153846153846</v>
      </c>
      <c r="AP5" s="25"/>
      <c r="AQ5" s="26">
        <f t="shared" si="19"/>
        <v>8719.6153846153848</v>
      </c>
    </row>
    <row r="6" spans="1:43" ht="15.65" customHeight="1" x14ac:dyDescent="0.35">
      <c r="A6" s="10" t="s">
        <v>74</v>
      </c>
      <c r="B6" s="10" t="s">
        <v>49</v>
      </c>
      <c r="C6" s="11" t="s">
        <v>97</v>
      </c>
      <c r="D6" s="38" t="s">
        <v>148</v>
      </c>
      <c r="E6" s="11" t="s">
        <v>81</v>
      </c>
      <c r="F6" s="37" t="s">
        <v>88</v>
      </c>
      <c r="G6" s="12" t="s">
        <v>41</v>
      </c>
      <c r="H6" s="13">
        <v>4000</v>
      </c>
      <c r="I6" s="13">
        <v>3000</v>
      </c>
      <c r="J6" s="13">
        <v>0</v>
      </c>
      <c r="K6" s="14">
        <v>1.07</v>
      </c>
      <c r="L6" s="15">
        <f t="shared" si="0"/>
        <v>3210</v>
      </c>
      <c r="M6" s="15">
        <v>0</v>
      </c>
      <c r="N6" s="15">
        <f t="shared" si="1"/>
        <v>30</v>
      </c>
      <c r="O6" s="15">
        <v>0</v>
      </c>
      <c r="P6" s="16">
        <f t="shared" si="2"/>
        <v>133.33333333333334</v>
      </c>
      <c r="Q6" s="16">
        <f t="shared" si="3"/>
        <v>107</v>
      </c>
      <c r="R6" s="16">
        <f t="shared" si="20"/>
        <v>233.33333333333334</v>
      </c>
      <c r="S6" s="16">
        <f t="shared" si="4"/>
        <v>16.666666666666668</v>
      </c>
      <c r="T6" s="15">
        <v>30</v>
      </c>
      <c r="U6" s="15">
        <f t="shared" si="5"/>
        <v>500.00000000000006</v>
      </c>
      <c r="V6" s="15">
        <v>300</v>
      </c>
      <c r="W6" s="17">
        <f t="shared" si="6"/>
        <v>8010</v>
      </c>
      <c r="X6" s="18">
        <v>0</v>
      </c>
      <c r="Y6" s="19">
        <f t="shared" si="21"/>
        <v>0</v>
      </c>
      <c r="Z6" s="20">
        <v>0</v>
      </c>
      <c r="AA6" s="19">
        <f t="shared" si="7"/>
        <v>0</v>
      </c>
      <c r="AB6" s="19">
        <v>0</v>
      </c>
      <c r="AC6" s="19">
        <f t="shared" si="8"/>
        <v>0</v>
      </c>
      <c r="AD6" s="21">
        <f t="shared" si="9"/>
        <v>0</v>
      </c>
      <c r="AE6" s="22">
        <f t="shared" si="10"/>
        <v>8010</v>
      </c>
      <c r="AF6" s="23">
        <f t="shared" si="11"/>
        <v>5384.6153846153848</v>
      </c>
      <c r="AG6" s="23">
        <f t="shared" si="12"/>
        <v>592.30769230769238</v>
      </c>
      <c r="AH6" s="24">
        <v>1666.6666666666667</v>
      </c>
      <c r="AI6" s="24">
        <f t="shared" si="13"/>
        <v>69012.307692307688</v>
      </c>
      <c r="AJ6" s="24">
        <f t="shared" si="14"/>
        <v>300.15384615384608</v>
      </c>
      <c r="AK6" s="23">
        <f t="shared" si="15"/>
        <v>4.0049999999999999</v>
      </c>
      <c r="AL6" s="22">
        <f t="shared" si="16"/>
        <v>7113.5334615384618</v>
      </c>
      <c r="AM6" s="23">
        <v>0</v>
      </c>
      <c r="AN6" s="22">
        <f t="shared" si="17"/>
        <v>7113.5334615384618</v>
      </c>
      <c r="AO6" s="24">
        <f t="shared" si="18"/>
        <v>1009.6153846153846</v>
      </c>
      <c r="AP6" s="25"/>
      <c r="AQ6" s="26">
        <f t="shared" si="19"/>
        <v>9019.6153846153848</v>
      </c>
    </row>
    <row r="7" spans="1:43" ht="15.65" customHeight="1" x14ac:dyDescent="0.35">
      <c r="A7" s="10" t="s">
        <v>74</v>
      </c>
      <c r="B7" s="10" t="s">
        <v>50</v>
      </c>
      <c r="C7" s="11" t="s">
        <v>98</v>
      </c>
      <c r="D7" s="38" t="s">
        <v>148</v>
      </c>
      <c r="E7" s="11" t="s">
        <v>82</v>
      </c>
      <c r="F7" s="37" t="s">
        <v>89</v>
      </c>
      <c r="G7" s="12" t="s">
        <v>41</v>
      </c>
      <c r="H7" s="13">
        <v>4000</v>
      </c>
      <c r="I7" s="13">
        <v>3000</v>
      </c>
      <c r="J7" s="13">
        <v>0</v>
      </c>
      <c r="K7" s="14">
        <v>1.07</v>
      </c>
      <c r="L7" s="15">
        <f t="shared" si="0"/>
        <v>3210</v>
      </c>
      <c r="M7" s="15">
        <v>0</v>
      </c>
      <c r="N7" s="15">
        <f t="shared" si="1"/>
        <v>30</v>
      </c>
      <c r="O7" s="15">
        <v>0</v>
      </c>
      <c r="P7" s="16">
        <f t="shared" si="2"/>
        <v>133.33333333333334</v>
      </c>
      <c r="Q7" s="16">
        <f t="shared" si="3"/>
        <v>107</v>
      </c>
      <c r="R7" s="16">
        <f t="shared" si="20"/>
        <v>233.33333333333334</v>
      </c>
      <c r="S7" s="16">
        <f t="shared" si="4"/>
        <v>16.666666666666668</v>
      </c>
      <c r="T7" s="15">
        <v>30</v>
      </c>
      <c r="U7" s="15">
        <f t="shared" si="5"/>
        <v>500.00000000000006</v>
      </c>
      <c r="V7" s="15">
        <v>300</v>
      </c>
      <c r="W7" s="17">
        <f t="shared" si="6"/>
        <v>8010</v>
      </c>
      <c r="X7" s="18">
        <v>0</v>
      </c>
      <c r="Y7" s="19">
        <f t="shared" si="21"/>
        <v>0</v>
      </c>
      <c r="Z7" s="20">
        <v>0</v>
      </c>
      <c r="AA7" s="19">
        <f t="shared" si="7"/>
        <v>0</v>
      </c>
      <c r="AB7" s="19">
        <v>0</v>
      </c>
      <c r="AC7" s="19">
        <f t="shared" si="8"/>
        <v>0</v>
      </c>
      <c r="AD7" s="21">
        <f t="shared" si="9"/>
        <v>0</v>
      </c>
      <c r="AE7" s="22">
        <f t="shared" si="10"/>
        <v>8010</v>
      </c>
      <c r="AF7" s="23">
        <f t="shared" si="11"/>
        <v>5384.6153846153848</v>
      </c>
      <c r="AG7" s="23">
        <f t="shared" si="12"/>
        <v>592.30769230769238</v>
      </c>
      <c r="AH7" s="24">
        <v>1666.6666666666667</v>
      </c>
      <c r="AI7" s="24">
        <f t="shared" si="13"/>
        <v>69012.307692307688</v>
      </c>
      <c r="AJ7" s="24">
        <f t="shared" si="14"/>
        <v>300.15384615384608</v>
      </c>
      <c r="AK7" s="23">
        <f t="shared" si="15"/>
        <v>4.0049999999999999</v>
      </c>
      <c r="AL7" s="22">
        <f t="shared" si="16"/>
        <v>7113.5334615384618</v>
      </c>
      <c r="AM7" s="23">
        <v>0</v>
      </c>
      <c r="AN7" s="22">
        <f t="shared" si="17"/>
        <v>7113.5334615384618</v>
      </c>
      <c r="AO7" s="24">
        <f t="shared" si="18"/>
        <v>1009.6153846153846</v>
      </c>
      <c r="AP7" s="25"/>
      <c r="AQ7" s="26">
        <f t="shared" si="19"/>
        <v>9019.6153846153848</v>
      </c>
    </row>
    <row r="8" spans="1:43" ht="15.65" customHeight="1" x14ac:dyDescent="0.35">
      <c r="A8" s="10" t="s">
        <v>74</v>
      </c>
      <c r="B8" s="10" t="s">
        <v>51</v>
      </c>
      <c r="C8" s="11" t="s">
        <v>99</v>
      </c>
      <c r="D8" s="38" t="s">
        <v>148</v>
      </c>
      <c r="E8" s="11" t="s">
        <v>83</v>
      </c>
      <c r="F8" s="37" t="s">
        <v>92</v>
      </c>
      <c r="G8" s="12" t="s">
        <v>41</v>
      </c>
      <c r="H8" s="13">
        <v>4000</v>
      </c>
      <c r="I8" s="13">
        <v>3000</v>
      </c>
      <c r="J8" s="13">
        <v>0</v>
      </c>
      <c r="K8" s="14">
        <v>1.07</v>
      </c>
      <c r="L8" s="15">
        <f t="shared" si="0"/>
        <v>3210</v>
      </c>
      <c r="M8" s="15">
        <v>0</v>
      </c>
      <c r="N8" s="15">
        <f t="shared" si="1"/>
        <v>30</v>
      </c>
      <c r="O8" s="15">
        <v>0</v>
      </c>
      <c r="P8" s="16">
        <f t="shared" si="2"/>
        <v>133.33333333333334</v>
      </c>
      <c r="Q8" s="16">
        <f t="shared" si="3"/>
        <v>107</v>
      </c>
      <c r="R8" s="16">
        <f t="shared" si="20"/>
        <v>233.33333333333334</v>
      </c>
      <c r="S8" s="16">
        <f t="shared" si="4"/>
        <v>16.666666666666668</v>
      </c>
      <c r="T8" s="15">
        <v>45</v>
      </c>
      <c r="U8" s="15">
        <f t="shared" si="5"/>
        <v>750</v>
      </c>
      <c r="V8" s="15">
        <v>0</v>
      </c>
      <c r="W8" s="17">
        <f t="shared" si="6"/>
        <v>7960</v>
      </c>
      <c r="X8" s="18">
        <v>0</v>
      </c>
      <c r="Y8" s="19">
        <f t="shared" si="21"/>
        <v>0</v>
      </c>
      <c r="Z8" s="20">
        <v>0</v>
      </c>
      <c r="AA8" s="19">
        <f t="shared" si="7"/>
        <v>0</v>
      </c>
      <c r="AB8" s="19">
        <v>0</v>
      </c>
      <c r="AC8" s="19">
        <f t="shared" si="8"/>
        <v>0</v>
      </c>
      <c r="AD8" s="21">
        <f t="shared" si="9"/>
        <v>0</v>
      </c>
      <c r="AE8" s="22">
        <f t="shared" si="10"/>
        <v>7960</v>
      </c>
      <c r="AF8" s="23">
        <f t="shared" si="11"/>
        <v>5384.6153846153848</v>
      </c>
      <c r="AG8" s="23">
        <f t="shared" si="12"/>
        <v>592.30769230769238</v>
      </c>
      <c r="AH8" s="24">
        <v>1666.6666666666667</v>
      </c>
      <c r="AI8" s="24">
        <f t="shared" si="13"/>
        <v>68412.307692307688</v>
      </c>
      <c r="AJ8" s="24">
        <f t="shared" si="14"/>
        <v>292.65384615384613</v>
      </c>
      <c r="AK8" s="23">
        <f t="shared" si="15"/>
        <v>3.98</v>
      </c>
      <c r="AL8" s="22">
        <f t="shared" si="16"/>
        <v>7071.0584615384623</v>
      </c>
      <c r="AM8" s="23">
        <v>0</v>
      </c>
      <c r="AN8" s="22">
        <f t="shared" si="17"/>
        <v>7071.0584615384623</v>
      </c>
      <c r="AO8" s="24">
        <f t="shared" si="18"/>
        <v>1009.6153846153846</v>
      </c>
      <c r="AP8" s="25"/>
      <c r="AQ8" s="26">
        <f t="shared" si="19"/>
        <v>8969.6153846153848</v>
      </c>
    </row>
    <row r="9" spans="1:43" ht="15.65" customHeight="1" x14ac:dyDescent="0.35">
      <c r="A9" s="10" t="s">
        <v>74</v>
      </c>
      <c r="B9" s="10" t="s">
        <v>52</v>
      </c>
      <c r="C9" s="37" t="s">
        <v>100</v>
      </c>
      <c r="D9" s="38" t="s">
        <v>148</v>
      </c>
      <c r="E9" s="11" t="s">
        <v>84</v>
      </c>
      <c r="F9" s="37" t="s">
        <v>90</v>
      </c>
      <c r="G9" s="12" t="s">
        <v>41</v>
      </c>
      <c r="H9" s="13">
        <v>4000</v>
      </c>
      <c r="I9" s="13">
        <v>3000</v>
      </c>
      <c r="J9" s="13">
        <v>0</v>
      </c>
      <c r="K9" s="14">
        <v>0.9</v>
      </c>
      <c r="L9" s="15">
        <f t="shared" si="0"/>
        <v>2700</v>
      </c>
      <c r="M9" s="15">
        <v>0</v>
      </c>
      <c r="N9" s="15">
        <f t="shared" si="1"/>
        <v>16</v>
      </c>
      <c r="O9" s="15">
        <v>0</v>
      </c>
      <c r="P9" s="16">
        <f t="shared" si="2"/>
        <v>133.33333333333334</v>
      </c>
      <c r="Q9" s="16">
        <f t="shared" si="3"/>
        <v>90</v>
      </c>
      <c r="R9" s="16">
        <f t="shared" si="20"/>
        <v>233.33333333333334</v>
      </c>
      <c r="S9" s="16">
        <f t="shared" si="4"/>
        <v>16.666666666666668</v>
      </c>
      <c r="T9" s="15">
        <v>15</v>
      </c>
      <c r="U9" s="15">
        <f t="shared" si="5"/>
        <v>250.00000000000003</v>
      </c>
      <c r="V9" s="15">
        <v>0</v>
      </c>
      <c r="W9" s="17">
        <f t="shared" si="6"/>
        <v>6950</v>
      </c>
      <c r="X9" s="18">
        <v>14</v>
      </c>
      <c r="Y9" s="19">
        <f t="shared" si="21"/>
        <v>1866.6666666666667</v>
      </c>
      <c r="Z9" s="20">
        <v>0</v>
      </c>
      <c r="AA9" s="19">
        <f t="shared" si="7"/>
        <v>0</v>
      </c>
      <c r="AB9" s="19">
        <v>0</v>
      </c>
      <c r="AC9" s="19">
        <f t="shared" si="8"/>
        <v>0</v>
      </c>
      <c r="AD9" s="21">
        <f t="shared" si="9"/>
        <v>1866.6666666666667</v>
      </c>
      <c r="AE9" s="22">
        <f t="shared" si="10"/>
        <v>5083.333333333333</v>
      </c>
      <c r="AF9" s="23">
        <v>0</v>
      </c>
      <c r="AG9" s="23">
        <f t="shared" si="12"/>
        <v>0</v>
      </c>
      <c r="AH9" s="24">
        <v>1666.6666666666667</v>
      </c>
      <c r="AI9" s="24">
        <f t="shared" si="13"/>
        <v>40999.999999999993</v>
      </c>
      <c r="AJ9" s="24">
        <f t="shared" si="14"/>
        <v>8.3333333333332735</v>
      </c>
      <c r="AK9" s="23">
        <f t="shared" si="15"/>
        <v>2.5416666666666665</v>
      </c>
      <c r="AL9" s="22">
        <f t="shared" si="16"/>
        <v>5072.458333333333</v>
      </c>
      <c r="AM9" s="23">
        <v>0</v>
      </c>
      <c r="AN9" s="22">
        <f t="shared" si="17"/>
        <v>5072.458333333333</v>
      </c>
      <c r="AO9" s="24">
        <f t="shared" si="18"/>
        <v>0</v>
      </c>
      <c r="AP9" s="25"/>
      <c r="AQ9" s="26">
        <f t="shared" si="19"/>
        <v>5083.333333333333</v>
      </c>
    </row>
    <row r="10" spans="1:43" ht="15.65" customHeight="1" x14ac:dyDescent="0.35">
      <c r="A10" s="10" t="s">
        <v>74</v>
      </c>
      <c r="B10" s="10" t="s">
        <v>53</v>
      </c>
      <c r="C10" s="37" t="s">
        <v>101</v>
      </c>
      <c r="D10" s="38" t="s">
        <v>148</v>
      </c>
      <c r="E10" s="11" t="s">
        <v>85</v>
      </c>
      <c r="F10" s="37" t="s">
        <v>93</v>
      </c>
      <c r="G10" s="12" t="s">
        <v>41</v>
      </c>
      <c r="H10" s="13">
        <v>4000</v>
      </c>
      <c r="I10" s="13">
        <v>3000</v>
      </c>
      <c r="J10" s="13">
        <v>0</v>
      </c>
      <c r="K10" s="14">
        <v>0.5</v>
      </c>
      <c r="L10" s="15">
        <f t="shared" si="0"/>
        <v>1500</v>
      </c>
      <c r="M10" s="15">
        <v>0</v>
      </c>
      <c r="N10" s="15">
        <f t="shared" si="1"/>
        <v>8</v>
      </c>
      <c r="O10" s="15">
        <v>0</v>
      </c>
      <c r="P10" s="16">
        <f t="shared" si="2"/>
        <v>133.33333333333334</v>
      </c>
      <c r="Q10" s="16">
        <f t="shared" si="3"/>
        <v>50</v>
      </c>
      <c r="R10" s="16">
        <f t="shared" si="20"/>
        <v>233.33333333333334</v>
      </c>
      <c r="S10" s="16">
        <f t="shared" si="4"/>
        <v>16.666666666666668</v>
      </c>
      <c r="T10" s="15">
        <v>0</v>
      </c>
      <c r="U10" s="15">
        <f t="shared" si="5"/>
        <v>0</v>
      </c>
      <c r="V10" s="15">
        <v>0</v>
      </c>
      <c r="W10" s="17">
        <f t="shared" si="6"/>
        <v>5500</v>
      </c>
      <c r="X10" s="18">
        <v>22</v>
      </c>
      <c r="Y10" s="19">
        <f t="shared" si="21"/>
        <v>2933.3333333333335</v>
      </c>
      <c r="Z10" s="20">
        <v>1</v>
      </c>
      <c r="AA10" s="19">
        <f t="shared" si="7"/>
        <v>133.33333333333334</v>
      </c>
      <c r="AB10" s="19">
        <v>0</v>
      </c>
      <c r="AC10" s="19">
        <f t="shared" si="8"/>
        <v>0</v>
      </c>
      <c r="AD10" s="21">
        <f t="shared" si="9"/>
        <v>3066.666666666667</v>
      </c>
      <c r="AE10" s="22">
        <f t="shared" si="10"/>
        <v>2433.333333333333</v>
      </c>
      <c r="AF10" s="23">
        <v>0</v>
      </c>
      <c r="AG10" s="23">
        <f t="shared" si="12"/>
        <v>0</v>
      </c>
      <c r="AH10" s="24">
        <v>1666.6666666666667</v>
      </c>
      <c r="AI10" s="24">
        <f t="shared" si="13"/>
        <v>9199.9999999999964</v>
      </c>
      <c r="AJ10" s="24">
        <f t="shared" si="14"/>
        <v>0</v>
      </c>
      <c r="AK10" s="23">
        <f t="shared" si="15"/>
        <v>1.2166666666666666</v>
      </c>
      <c r="AL10" s="22">
        <f t="shared" si="16"/>
        <v>2432.1166666666663</v>
      </c>
      <c r="AM10" s="23">
        <v>0</v>
      </c>
      <c r="AN10" s="22">
        <f t="shared" si="17"/>
        <v>2432.1166666666663</v>
      </c>
      <c r="AO10" s="24">
        <f t="shared" si="18"/>
        <v>0</v>
      </c>
      <c r="AP10" s="25"/>
      <c r="AQ10" s="26">
        <f t="shared" si="19"/>
        <v>2433.333333333333</v>
      </c>
    </row>
    <row r="11" spans="1:43" ht="15.65" customHeight="1" x14ac:dyDescent="0.35">
      <c r="A11" s="10" t="s">
        <v>74</v>
      </c>
      <c r="B11" s="10" t="s">
        <v>54</v>
      </c>
      <c r="C11" s="37" t="s">
        <v>102</v>
      </c>
      <c r="D11" s="38" t="s">
        <v>148</v>
      </c>
      <c r="E11" s="11" t="s">
        <v>86</v>
      </c>
      <c r="F11" s="37" t="s">
        <v>94</v>
      </c>
      <c r="G11" s="12" t="s">
        <v>41</v>
      </c>
      <c r="H11" s="13">
        <v>4000</v>
      </c>
      <c r="I11" s="13">
        <v>3000</v>
      </c>
      <c r="J11" s="13">
        <v>0</v>
      </c>
      <c r="K11" s="14">
        <v>0.6</v>
      </c>
      <c r="L11" s="15">
        <f t="shared" si="0"/>
        <v>1800</v>
      </c>
      <c r="M11" s="15">
        <v>0</v>
      </c>
      <c r="N11" s="15">
        <f t="shared" si="1"/>
        <v>5</v>
      </c>
      <c r="O11" s="15">
        <v>0</v>
      </c>
      <c r="P11" s="16">
        <f t="shared" si="2"/>
        <v>133.33333333333334</v>
      </c>
      <c r="Q11" s="16">
        <f t="shared" si="3"/>
        <v>60</v>
      </c>
      <c r="R11" s="16">
        <f t="shared" si="20"/>
        <v>233.33333333333334</v>
      </c>
      <c r="S11" s="16">
        <f t="shared" si="4"/>
        <v>16.666666666666668</v>
      </c>
      <c r="T11" s="15">
        <v>2</v>
      </c>
      <c r="U11" s="15">
        <f t="shared" si="5"/>
        <v>33.333333333333336</v>
      </c>
      <c r="V11" s="15">
        <v>0</v>
      </c>
      <c r="W11" s="17">
        <f t="shared" si="6"/>
        <v>5833.333333333333</v>
      </c>
      <c r="X11" s="18">
        <v>25</v>
      </c>
      <c r="Y11" s="19">
        <f t="shared" si="21"/>
        <v>3333.3333333333335</v>
      </c>
      <c r="Z11" s="20">
        <v>0</v>
      </c>
      <c r="AA11" s="19">
        <f t="shared" si="7"/>
        <v>0</v>
      </c>
      <c r="AB11" s="19">
        <v>0</v>
      </c>
      <c r="AC11" s="19">
        <f t="shared" si="8"/>
        <v>0</v>
      </c>
      <c r="AD11" s="21">
        <f t="shared" si="9"/>
        <v>3333.3333333333335</v>
      </c>
      <c r="AE11" s="22">
        <f t="shared" si="10"/>
        <v>2499.9999999999995</v>
      </c>
      <c r="AF11" s="23">
        <v>0</v>
      </c>
      <c r="AG11" s="23">
        <f t="shared" si="12"/>
        <v>0</v>
      </c>
      <c r="AH11" s="24">
        <v>1666.6666666666667</v>
      </c>
      <c r="AI11" s="24">
        <f t="shared" si="13"/>
        <v>9999.9999999999927</v>
      </c>
      <c r="AJ11" s="24">
        <f t="shared" si="14"/>
        <v>0</v>
      </c>
      <c r="AK11" s="23">
        <f t="shared" si="15"/>
        <v>1.2499999999999998</v>
      </c>
      <c r="AL11" s="22">
        <f t="shared" si="16"/>
        <v>2498.7499999999995</v>
      </c>
      <c r="AM11" s="23">
        <v>0</v>
      </c>
      <c r="AN11" s="22">
        <f t="shared" si="17"/>
        <v>2498.7499999999995</v>
      </c>
      <c r="AO11" s="24">
        <f t="shared" si="18"/>
        <v>0</v>
      </c>
      <c r="AP11" s="25"/>
      <c r="AQ11" s="26">
        <f t="shared" si="19"/>
        <v>2499.9999999999995</v>
      </c>
    </row>
    <row r="12" spans="1:43" ht="15.65" customHeight="1" x14ac:dyDescent="0.35">
      <c r="A12" s="10" t="s">
        <v>74</v>
      </c>
      <c r="B12" s="10" t="s">
        <v>55</v>
      </c>
      <c r="C12" s="37" t="s">
        <v>104</v>
      </c>
      <c r="D12" s="38" t="s">
        <v>148</v>
      </c>
      <c r="E12" s="11" t="s">
        <v>103</v>
      </c>
      <c r="F12" s="37" t="s">
        <v>105</v>
      </c>
      <c r="G12" s="12" t="s">
        <v>41</v>
      </c>
      <c r="H12" s="13">
        <v>4000</v>
      </c>
      <c r="I12" s="13">
        <v>3000</v>
      </c>
      <c r="J12" s="13">
        <v>0</v>
      </c>
      <c r="K12" s="14">
        <v>0.6</v>
      </c>
      <c r="L12" s="15">
        <f t="shared" si="0"/>
        <v>1800</v>
      </c>
      <c r="M12" s="15">
        <v>0</v>
      </c>
      <c r="N12" s="15">
        <f t="shared" si="1"/>
        <v>15</v>
      </c>
      <c r="O12" s="15">
        <v>0</v>
      </c>
      <c r="P12" s="16">
        <f t="shared" si="2"/>
        <v>133.33333333333334</v>
      </c>
      <c r="Q12" s="16">
        <f t="shared" si="3"/>
        <v>60</v>
      </c>
      <c r="R12" s="16">
        <f t="shared" si="20"/>
        <v>233.33333333333334</v>
      </c>
      <c r="S12" s="16">
        <f t="shared" si="4"/>
        <v>16.666666666666668</v>
      </c>
      <c r="T12" s="15">
        <v>0</v>
      </c>
      <c r="U12" s="15">
        <f t="shared" si="5"/>
        <v>0</v>
      </c>
      <c r="V12" s="15">
        <v>0</v>
      </c>
      <c r="W12" s="17">
        <f t="shared" si="6"/>
        <v>5800</v>
      </c>
      <c r="X12" s="18">
        <v>15</v>
      </c>
      <c r="Y12" s="19">
        <f t="shared" si="21"/>
        <v>2000.0000000000002</v>
      </c>
      <c r="Z12" s="20">
        <v>0</v>
      </c>
      <c r="AA12" s="19">
        <f t="shared" si="7"/>
        <v>0</v>
      </c>
      <c r="AB12" s="19">
        <v>0</v>
      </c>
      <c r="AC12" s="19">
        <f t="shared" si="8"/>
        <v>0</v>
      </c>
      <c r="AD12" s="21">
        <f t="shared" si="9"/>
        <v>2000.0000000000002</v>
      </c>
      <c r="AE12" s="22">
        <f t="shared" si="10"/>
        <v>3800</v>
      </c>
      <c r="AF12" s="23">
        <v>0</v>
      </c>
      <c r="AG12" s="23">
        <f t="shared" si="12"/>
        <v>0</v>
      </c>
      <c r="AH12" s="24">
        <v>1666.6666666666667</v>
      </c>
      <c r="AI12" s="24">
        <f t="shared" si="13"/>
        <v>25599.999999999996</v>
      </c>
      <c r="AJ12" s="24">
        <f t="shared" si="14"/>
        <v>0</v>
      </c>
      <c r="AK12" s="23">
        <f t="shared" si="15"/>
        <v>1.9000000000000001</v>
      </c>
      <c r="AL12" s="22">
        <f t="shared" si="16"/>
        <v>3798.1</v>
      </c>
      <c r="AM12" s="23">
        <v>0</v>
      </c>
      <c r="AN12" s="22">
        <f t="shared" si="17"/>
        <v>3798.1</v>
      </c>
      <c r="AO12" s="24">
        <f t="shared" si="18"/>
        <v>0</v>
      </c>
      <c r="AP12" s="25"/>
      <c r="AQ12" s="26">
        <f t="shared" si="19"/>
        <v>3800</v>
      </c>
    </row>
    <row r="13" spans="1:43" ht="15.65" customHeight="1" x14ac:dyDescent="0.35">
      <c r="A13" s="10" t="s">
        <v>74</v>
      </c>
      <c r="B13" s="10" t="s">
        <v>56</v>
      </c>
      <c r="C13" s="37" t="s">
        <v>108</v>
      </c>
      <c r="D13" s="38" t="s">
        <v>148</v>
      </c>
      <c r="E13" s="11" t="s">
        <v>106</v>
      </c>
      <c r="F13" s="37" t="s">
        <v>107</v>
      </c>
      <c r="G13" s="12" t="s">
        <v>41</v>
      </c>
      <c r="H13" s="13">
        <v>4000</v>
      </c>
      <c r="I13" s="13">
        <v>3000</v>
      </c>
      <c r="J13" s="13">
        <v>0</v>
      </c>
      <c r="K13" s="14">
        <v>0.6</v>
      </c>
      <c r="L13" s="15">
        <f t="shared" si="0"/>
        <v>1800</v>
      </c>
      <c r="M13" s="15">
        <v>0</v>
      </c>
      <c r="N13" s="15">
        <f t="shared" si="1"/>
        <v>15</v>
      </c>
      <c r="O13" s="15">
        <v>0</v>
      </c>
      <c r="P13" s="16">
        <f t="shared" si="2"/>
        <v>133.33333333333334</v>
      </c>
      <c r="Q13" s="16">
        <f t="shared" si="3"/>
        <v>60</v>
      </c>
      <c r="R13" s="16">
        <f t="shared" si="20"/>
        <v>233.33333333333334</v>
      </c>
      <c r="S13" s="16">
        <f t="shared" si="4"/>
        <v>16.666666666666668</v>
      </c>
      <c r="T13" s="15">
        <v>0</v>
      </c>
      <c r="U13" s="15">
        <f t="shared" si="5"/>
        <v>0</v>
      </c>
      <c r="V13" s="15">
        <v>0</v>
      </c>
      <c r="W13" s="17">
        <f t="shared" si="6"/>
        <v>5800</v>
      </c>
      <c r="X13" s="18">
        <v>15</v>
      </c>
      <c r="Y13" s="19">
        <f t="shared" si="21"/>
        <v>2000.0000000000002</v>
      </c>
      <c r="Z13" s="20">
        <v>0</v>
      </c>
      <c r="AA13" s="19">
        <f t="shared" si="7"/>
        <v>0</v>
      </c>
      <c r="AB13" s="19">
        <v>0</v>
      </c>
      <c r="AC13" s="19">
        <f t="shared" si="8"/>
        <v>0</v>
      </c>
      <c r="AD13" s="21">
        <f t="shared" si="9"/>
        <v>2000.0000000000002</v>
      </c>
      <c r="AE13" s="22">
        <f t="shared" si="10"/>
        <v>3800</v>
      </c>
      <c r="AF13" s="23">
        <v>0</v>
      </c>
      <c r="AG13" s="23">
        <f t="shared" si="12"/>
        <v>0</v>
      </c>
      <c r="AH13" s="24">
        <v>1666.6666666666667</v>
      </c>
      <c r="AI13" s="24">
        <f t="shared" si="13"/>
        <v>25599.999999999996</v>
      </c>
      <c r="AJ13" s="24">
        <f t="shared" si="14"/>
        <v>0</v>
      </c>
      <c r="AK13" s="23">
        <f t="shared" si="15"/>
        <v>1.9000000000000001</v>
      </c>
      <c r="AL13" s="22">
        <f t="shared" si="16"/>
        <v>3798.1</v>
      </c>
      <c r="AM13" s="23">
        <v>0</v>
      </c>
      <c r="AN13" s="22">
        <f t="shared" si="17"/>
        <v>3798.1</v>
      </c>
      <c r="AO13" s="24">
        <f t="shared" si="18"/>
        <v>0</v>
      </c>
      <c r="AP13" s="25"/>
      <c r="AQ13" s="26">
        <f t="shared" si="19"/>
        <v>3800</v>
      </c>
    </row>
    <row r="14" spans="1:43" ht="15.65" customHeight="1" x14ac:dyDescent="0.35">
      <c r="A14" s="10" t="s">
        <v>74</v>
      </c>
      <c r="B14" s="10" t="s">
        <v>57</v>
      </c>
      <c r="C14" s="37" t="s">
        <v>110</v>
      </c>
      <c r="D14" s="38" t="s">
        <v>148</v>
      </c>
      <c r="E14" s="11" t="s">
        <v>109</v>
      </c>
      <c r="F14" s="37" t="s">
        <v>111</v>
      </c>
      <c r="G14" s="12" t="s">
        <v>41</v>
      </c>
      <c r="H14" s="13">
        <v>4000</v>
      </c>
      <c r="I14" s="13">
        <v>3000</v>
      </c>
      <c r="J14" s="13">
        <v>0</v>
      </c>
      <c r="K14" s="14">
        <v>1.05</v>
      </c>
      <c r="L14" s="15">
        <f t="shared" si="0"/>
        <v>3150</v>
      </c>
      <c r="M14" s="15">
        <v>0</v>
      </c>
      <c r="N14" s="15">
        <f t="shared" si="1"/>
        <v>23</v>
      </c>
      <c r="O14" s="15">
        <v>0</v>
      </c>
      <c r="P14" s="16">
        <f t="shared" si="2"/>
        <v>133.33333333333334</v>
      </c>
      <c r="Q14" s="16">
        <f t="shared" si="3"/>
        <v>105</v>
      </c>
      <c r="R14" s="16">
        <f t="shared" si="20"/>
        <v>233.33333333333334</v>
      </c>
      <c r="S14" s="16">
        <f t="shared" si="4"/>
        <v>16.666666666666668</v>
      </c>
      <c r="T14" s="15">
        <v>10</v>
      </c>
      <c r="U14" s="15">
        <f t="shared" si="5"/>
        <v>166.66666666666669</v>
      </c>
      <c r="V14" s="15">
        <v>250</v>
      </c>
      <c r="W14" s="17">
        <f t="shared" si="6"/>
        <v>7566.666666666667</v>
      </c>
      <c r="X14" s="18">
        <v>7</v>
      </c>
      <c r="Y14" s="19">
        <f t="shared" si="21"/>
        <v>933.33333333333337</v>
      </c>
      <c r="Z14" s="20">
        <v>0</v>
      </c>
      <c r="AA14" s="19">
        <f t="shared" si="7"/>
        <v>0</v>
      </c>
      <c r="AB14" s="19">
        <v>0</v>
      </c>
      <c r="AC14" s="19">
        <f t="shared" si="8"/>
        <v>0</v>
      </c>
      <c r="AD14" s="21">
        <f t="shared" si="9"/>
        <v>933.33333333333337</v>
      </c>
      <c r="AE14" s="22">
        <f t="shared" si="10"/>
        <v>6633.3333333333339</v>
      </c>
      <c r="AF14" s="23">
        <f t="shared" si="11"/>
        <v>5384.6153846153848</v>
      </c>
      <c r="AG14" s="23">
        <f t="shared" si="12"/>
        <v>592.30769230769238</v>
      </c>
      <c r="AH14" s="24">
        <v>1666.6666666666667</v>
      </c>
      <c r="AI14" s="24">
        <f t="shared" si="13"/>
        <v>52492.307692307695</v>
      </c>
      <c r="AJ14" s="24">
        <f t="shared" si="14"/>
        <v>104.10256410256413</v>
      </c>
      <c r="AK14" s="23">
        <f t="shared" si="15"/>
        <v>3.3166666666666669</v>
      </c>
      <c r="AL14" s="22">
        <f t="shared" si="16"/>
        <v>5933.6064102564105</v>
      </c>
      <c r="AM14" s="23">
        <v>0</v>
      </c>
      <c r="AN14" s="22">
        <f t="shared" si="17"/>
        <v>5933.6064102564105</v>
      </c>
      <c r="AO14" s="24">
        <f t="shared" si="18"/>
        <v>1009.6153846153846</v>
      </c>
      <c r="AP14" s="25"/>
      <c r="AQ14" s="26">
        <f t="shared" si="19"/>
        <v>7642.9487179487187</v>
      </c>
    </row>
    <row r="15" spans="1:43" ht="15.65" customHeight="1" x14ac:dyDescent="0.35">
      <c r="A15" s="10" t="s">
        <v>74</v>
      </c>
      <c r="B15" s="10" t="s">
        <v>58</v>
      </c>
      <c r="C15" s="11" t="s">
        <v>140</v>
      </c>
      <c r="D15" s="11" t="s">
        <v>140</v>
      </c>
      <c r="E15" s="11" t="s">
        <v>112</v>
      </c>
      <c r="F15" s="37" t="s">
        <v>123</v>
      </c>
      <c r="G15" s="12" t="s">
        <v>41</v>
      </c>
      <c r="H15" s="13">
        <v>4000</v>
      </c>
      <c r="I15" s="13">
        <v>3000</v>
      </c>
      <c r="J15" s="13">
        <v>0</v>
      </c>
      <c r="K15" s="14">
        <v>1.02</v>
      </c>
      <c r="L15" s="15">
        <f t="shared" si="0"/>
        <v>3060</v>
      </c>
      <c r="M15" s="15">
        <v>0</v>
      </c>
      <c r="N15" s="15">
        <f t="shared" si="1"/>
        <v>23</v>
      </c>
      <c r="O15" s="15">
        <v>0</v>
      </c>
      <c r="P15" s="16">
        <f t="shared" si="2"/>
        <v>133.33333333333334</v>
      </c>
      <c r="Q15" s="16">
        <f t="shared" si="3"/>
        <v>102</v>
      </c>
      <c r="R15" s="16">
        <f t="shared" si="20"/>
        <v>233.33333333333334</v>
      </c>
      <c r="S15" s="16">
        <f t="shared" si="4"/>
        <v>16.666666666666668</v>
      </c>
      <c r="T15" s="15">
        <v>10</v>
      </c>
      <c r="U15" s="15">
        <f t="shared" si="5"/>
        <v>166.66666666666669</v>
      </c>
      <c r="V15" s="15">
        <v>0</v>
      </c>
      <c r="W15" s="17">
        <f t="shared" si="6"/>
        <v>7226.666666666667</v>
      </c>
      <c r="X15" s="18">
        <v>7</v>
      </c>
      <c r="Y15" s="19">
        <f t="shared" si="21"/>
        <v>933.33333333333337</v>
      </c>
      <c r="Z15" s="20">
        <v>0</v>
      </c>
      <c r="AA15" s="19">
        <f t="shared" si="7"/>
        <v>0</v>
      </c>
      <c r="AB15" s="19">
        <v>0</v>
      </c>
      <c r="AC15" s="19">
        <f t="shared" si="8"/>
        <v>0</v>
      </c>
      <c r="AD15" s="21">
        <f t="shared" si="9"/>
        <v>933.33333333333337</v>
      </c>
      <c r="AE15" s="22">
        <f t="shared" si="10"/>
        <v>6293.3333333333339</v>
      </c>
      <c r="AF15" s="23">
        <f t="shared" si="11"/>
        <v>5384.6153846153848</v>
      </c>
      <c r="AG15" s="23">
        <f t="shared" si="12"/>
        <v>592.30769230769238</v>
      </c>
      <c r="AH15" s="24">
        <v>1666.6666666666667</v>
      </c>
      <c r="AI15" s="24">
        <f t="shared" si="13"/>
        <v>48412.307692307695</v>
      </c>
      <c r="AJ15" s="24">
        <f t="shared" si="14"/>
        <v>70.102564102564131</v>
      </c>
      <c r="AK15" s="23">
        <f t="shared" si="15"/>
        <v>3.1466666666666669</v>
      </c>
      <c r="AL15" s="22">
        <f t="shared" si="16"/>
        <v>5627.7764102564106</v>
      </c>
      <c r="AM15" s="23">
        <v>0</v>
      </c>
      <c r="AN15" s="22">
        <f t="shared" si="17"/>
        <v>5627.7764102564106</v>
      </c>
      <c r="AO15" s="24">
        <f t="shared" si="18"/>
        <v>1009.6153846153846</v>
      </c>
      <c r="AP15" s="25"/>
      <c r="AQ15" s="26">
        <f t="shared" si="19"/>
        <v>7302.9487179487187</v>
      </c>
    </row>
    <row r="16" spans="1:43" ht="15.65" customHeight="1" x14ac:dyDescent="0.35">
      <c r="A16" s="10" t="s">
        <v>74</v>
      </c>
      <c r="B16" s="10" t="s">
        <v>59</v>
      </c>
      <c r="C16" s="11" t="s">
        <v>140</v>
      </c>
      <c r="D16" s="11" t="s">
        <v>140</v>
      </c>
      <c r="E16" s="11" t="s">
        <v>113</v>
      </c>
      <c r="F16" s="37" t="s">
        <v>124</v>
      </c>
      <c r="G16" s="12" t="s">
        <v>41</v>
      </c>
      <c r="H16" s="13">
        <v>4000</v>
      </c>
      <c r="I16" s="13">
        <v>3000</v>
      </c>
      <c r="J16" s="13">
        <v>0</v>
      </c>
      <c r="K16" s="14">
        <v>1.05</v>
      </c>
      <c r="L16" s="15">
        <f t="shared" si="0"/>
        <v>3150</v>
      </c>
      <c r="M16" s="15">
        <v>0</v>
      </c>
      <c r="N16" s="15">
        <f t="shared" si="1"/>
        <v>23</v>
      </c>
      <c r="O16" s="15">
        <v>0</v>
      </c>
      <c r="P16" s="16">
        <f t="shared" si="2"/>
        <v>133.33333333333334</v>
      </c>
      <c r="Q16" s="16">
        <f t="shared" si="3"/>
        <v>105</v>
      </c>
      <c r="R16" s="16">
        <f t="shared" si="20"/>
        <v>233.33333333333334</v>
      </c>
      <c r="S16" s="16">
        <f t="shared" si="4"/>
        <v>16.666666666666668</v>
      </c>
      <c r="T16" s="15">
        <v>10</v>
      </c>
      <c r="U16" s="15">
        <f t="shared" si="5"/>
        <v>166.66666666666669</v>
      </c>
      <c r="V16" s="15">
        <v>250</v>
      </c>
      <c r="W16" s="17">
        <f t="shared" si="6"/>
        <v>7566.666666666667</v>
      </c>
      <c r="X16" s="18">
        <v>7</v>
      </c>
      <c r="Y16" s="19">
        <f t="shared" si="21"/>
        <v>933.33333333333337</v>
      </c>
      <c r="Z16" s="20">
        <v>0</v>
      </c>
      <c r="AA16" s="19">
        <f t="shared" si="7"/>
        <v>0</v>
      </c>
      <c r="AB16" s="19">
        <v>0</v>
      </c>
      <c r="AC16" s="19">
        <f t="shared" si="8"/>
        <v>0</v>
      </c>
      <c r="AD16" s="21">
        <f t="shared" si="9"/>
        <v>933.33333333333337</v>
      </c>
      <c r="AE16" s="22">
        <f t="shared" si="10"/>
        <v>6633.3333333333339</v>
      </c>
      <c r="AF16" s="23">
        <f t="shared" si="11"/>
        <v>5384.6153846153848</v>
      </c>
      <c r="AG16" s="23">
        <f t="shared" si="12"/>
        <v>592.30769230769238</v>
      </c>
      <c r="AH16" s="24">
        <v>1666.6666666666667</v>
      </c>
      <c r="AI16" s="24">
        <f t="shared" si="13"/>
        <v>52492.307692307695</v>
      </c>
      <c r="AJ16" s="24">
        <f t="shared" si="14"/>
        <v>104.10256410256413</v>
      </c>
      <c r="AK16" s="23">
        <f t="shared" si="15"/>
        <v>3.3166666666666669</v>
      </c>
      <c r="AL16" s="22">
        <f t="shared" si="16"/>
        <v>5933.6064102564105</v>
      </c>
      <c r="AM16" s="23">
        <v>0</v>
      </c>
      <c r="AN16" s="22">
        <f t="shared" si="17"/>
        <v>5933.6064102564105</v>
      </c>
      <c r="AO16" s="24">
        <f t="shared" si="18"/>
        <v>1009.6153846153846</v>
      </c>
      <c r="AP16" s="25"/>
      <c r="AQ16" s="26">
        <f t="shared" si="19"/>
        <v>7642.9487179487187</v>
      </c>
    </row>
    <row r="17" spans="1:44" ht="15.65" customHeight="1" x14ac:dyDescent="0.35">
      <c r="A17" s="10" t="s">
        <v>74</v>
      </c>
      <c r="B17" s="10" t="s">
        <v>60</v>
      </c>
      <c r="C17" s="11" t="s">
        <v>140</v>
      </c>
      <c r="D17" s="11" t="s">
        <v>140</v>
      </c>
      <c r="E17" s="11" t="s">
        <v>114</v>
      </c>
      <c r="F17" s="37" t="s">
        <v>125</v>
      </c>
      <c r="G17" s="12" t="s">
        <v>41</v>
      </c>
      <c r="H17" s="13">
        <v>4000</v>
      </c>
      <c r="I17" s="13">
        <v>3000</v>
      </c>
      <c r="J17" s="13">
        <v>0</v>
      </c>
      <c r="K17" s="14">
        <v>1.02</v>
      </c>
      <c r="L17" s="15">
        <f t="shared" si="0"/>
        <v>3060</v>
      </c>
      <c r="M17" s="15">
        <v>0</v>
      </c>
      <c r="N17" s="15">
        <f t="shared" si="1"/>
        <v>23</v>
      </c>
      <c r="O17" s="15">
        <v>0</v>
      </c>
      <c r="P17" s="16">
        <f t="shared" si="2"/>
        <v>133.33333333333334</v>
      </c>
      <c r="Q17" s="16">
        <f t="shared" si="3"/>
        <v>102</v>
      </c>
      <c r="R17" s="16">
        <f t="shared" si="20"/>
        <v>233.33333333333334</v>
      </c>
      <c r="S17" s="16">
        <f t="shared" si="4"/>
        <v>16.666666666666668</v>
      </c>
      <c r="T17" s="15">
        <v>10</v>
      </c>
      <c r="U17" s="15">
        <f t="shared" si="5"/>
        <v>166.66666666666669</v>
      </c>
      <c r="V17" s="15">
        <v>0</v>
      </c>
      <c r="W17" s="17">
        <f t="shared" si="6"/>
        <v>7226.666666666667</v>
      </c>
      <c r="X17" s="18">
        <v>7</v>
      </c>
      <c r="Y17" s="19">
        <f t="shared" si="21"/>
        <v>933.33333333333337</v>
      </c>
      <c r="Z17" s="20">
        <v>0</v>
      </c>
      <c r="AA17" s="19">
        <f t="shared" si="7"/>
        <v>0</v>
      </c>
      <c r="AB17" s="19">
        <v>0</v>
      </c>
      <c r="AC17" s="19">
        <f t="shared" si="8"/>
        <v>0</v>
      </c>
      <c r="AD17" s="21">
        <f t="shared" si="9"/>
        <v>933.33333333333337</v>
      </c>
      <c r="AE17" s="22">
        <f t="shared" si="10"/>
        <v>6293.3333333333339</v>
      </c>
      <c r="AF17" s="23">
        <f t="shared" si="11"/>
        <v>5384.6153846153848</v>
      </c>
      <c r="AG17" s="23">
        <f t="shared" si="12"/>
        <v>592.30769230769238</v>
      </c>
      <c r="AH17" s="24">
        <v>1666.6666666666667</v>
      </c>
      <c r="AI17" s="24">
        <f t="shared" si="13"/>
        <v>48412.307692307695</v>
      </c>
      <c r="AJ17" s="24">
        <f t="shared" si="14"/>
        <v>70.102564102564131</v>
      </c>
      <c r="AK17" s="23">
        <f t="shared" si="15"/>
        <v>3.1466666666666669</v>
      </c>
      <c r="AL17" s="22">
        <f t="shared" si="16"/>
        <v>5627.7764102564106</v>
      </c>
      <c r="AM17" s="23">
        <v>0</v>
      </c>
      <c r="AN17" s="22">
        <f t="shared" si="17"/>
        <v>5627.7764102564106</v>
      </c>
      <c r="AO17" s="24">
        <f t="shared" si="18"/>
        <v>1009.6153846153846</v>
      </c>
      <c r="AP17" s="25"/>
      <c r="AQ17" s="26">
        <f t="shared" si="19"/>
        <v>7302.9487179487187</v>
      </c>
    </row>
    <row r="18" spans="1:44" ht="15.65" customHeight="1" x14ac:dyDescent="0.35">
      <c r="A18" s="10" t="s">
        <v>74</v>
      </c>
      <c r="B18" s="10" t="s">
        <v>61</v>
      </c>
      <c r="C18" s="11" t="s">
        <v>140</v>
      </c>
      <c r="D18" s="11" t="s">
        <v>140</v>
      </c>
      <c r="E18" s="11" t="s">
        <v>115</v>
      </c>
      <c r="F18" s="37" t="s">
        <v>126</v>
      </c>
      <c r="G18" s="12" t="s">
        <v>41</v>
      </c>
      <c r="H18" s="13">
        <v>4000</v>
      </c>
      <c r="I18" s="13">
        <v>3000</v>
      </c>
      <c r="J18" s="13">
        <v>0</v>
      </c>
      <c r="K18" s="14">
        <v>1.07</v>
      </c>
      <c r="L18" s="15">
        <f t="shared" si="0"/>
        <v>3210</v>
      </c>
      <c r="M18" s="15">
        <v>0</v>
      </c>
      <c r="N18" s="15">
        <f t="shared" si="1"/>
        <v>23</v>
      </c>
      <c r="O18" s="15">
        <v>0</v>
      </c>
      <c r="P18" s="16">
        <f t="shared" si="2"/>
        <v>133.33333333333334</v>
      </c>
      <c r="Q18" s="16">
        <f t="shared" si="3"/>
        <v>107</v>
      </c>
      <c r="R18" s="16">
        <f t="shared" si="20"/>
        <v>233.33333333333334</v>
      </c>
      <c r="S18" s="16">
        <f t="shared" si="4"/>
        <v>16.666666666666668</v>
      </c>
      <c r="T18" s="15">
        <v>45</v>
      </c>
      <c r="U18" s="15">
        <f t="shared" si="5"/>
        <v>750</v>
      </c>
      <c r="V18" s="15">
        <v>250</v>
      </c>
      <c r="W18" s="17">
        <f t="shared" si="6"/>
        <v>8210</v>
      </c>
      <c r="X18" s="18">
        <v>7</v>
      </c>
      <c r="Y18" s="19">
        <f t="shared" si="21"/>
        <v>933.33333333333337</v>
      </c>
      <c r="Z18" s="20">
        <v>0</v>
      </c>
      <c r="AA18" s="19">
        <f t="shared" si="7"/>
        <v>0</v>
      </c>
      <c r="AB18" s="19">
        <v>0</v>
      </c>
      <c r="AC18" s="19">
        <f t="shared" si="8"/>
        <v>0</v>
      </c>
      <c r="AD18" s="21">
        <f t="shared" si="9"/>
        <v>933.33333333333337</v>
      </c>
      <c r="AE18" s="22">
        <f t="shared" si="10"/>
        <v>7276.666666666667</v>
      </c>
      <c r="AF18" s="23">
        <f t="shared" si="11"/>
        <v>5384.6153846153848</v>
      </c>
      <c r="AG18" s="23">
        <f t="shared" si="12"/>
        <v>592.30769230769238</v>
      </c>
      <c r="AH18" s="24">
        <v>1666.6666666666667</v>
      </c>
      <c r="AI18" s="24">
        <f t="shared" si="13"/>
        <v>60212.307692307688</v>
      </c>
      <c r="AJ18" s="24">
        <f t="shared" si="14"/>
        <v>190.1538461538461</v>
      </c>
      <c r="AK18" s="23">
        <f t="shared" si="15"/>
        <v>3.6383333333333336</v>
      </c>
      <c r="AL18" s="22">
        <f t="shared" si="16"/>
        <v>6490.5667948717955</v>
      </c>
      <c r="AM18" s="23">
        <v>0</v>
      </c>
      <c r="AN18" s="22">
        <f t="shared" si="17"/>
        <v>6490.5667948717955</v>
      </c>
      <c r="AO18" s="24">
        <f t="shared" si="18"/>
        <v>1009.6153846153846</v>
      </c>
      <c r="AP18" s="25"/>
      <c r="AQ18" s="26">
        <f t="shared" si="19"/>
        <v>8286.2820512820508</v>
      </c>
    </row>
    <row r="19" spans="1:44" ht="15.65" customHeight="1" x14ac:dyDescent="0.35">
      <c r="A19" s="10" t="s">
        <v>74</v>
      </c>
      <c r="B19" s="10" t="s">
        <v>62</v>
      </c>
      <c r="C19" s="11" t="s">
        <v>140</v>
      </c>
      <c r="D19" s="11" t="s">
        <v>140</v>
      </c>
      <c r="E19" s="11" t="s">
        <v>116</v>
      </c>
      <c r="F19" s="37" t="s">
        <v>127</v>
      </c>
      <c r="G19" s="12" t="s">
        <v>41</v>
      </c>
      <c r="H19" s="13">
        <v>4000</v>
      </c>
      <c r="I19" s="13">
        <v>3000</v>
      </c>
      <c r="J19" s="13">
        <v>0</v>
      </c>
      <c r="K19" s="14">
        <v>1.02</v>
      </c>
      <c r="L19" s="15">
        <f t="shared" si="0"/>
        <v>3060</v>
      </c>
      <c r="M19" s="15">
        <v>0</v>
      </c>
      <c r="N19" s="15">
        <f t="shared" si="1"/>
        <v>23</v>
      </c>
      <c r="O19" s="15">
        <v>0</v>
      </c>
      <c r="P19" s="16">
        <f t="shared" si="2"/>
        <v>133.33333333333334</v>
      </c>
      <c r="Q19" s="16">
        <f t="shared" si="3"/>
        <v>102</v>
      </c>
      <c r="R19" s="16">
        <f t="shared" si="20"/>
        <v>233.33333333333334</v>
      </c>
      <c r="S19" s="16">
        <f t="shared" si="4"/>
        <v>16.666666666666668</v>
      </c>
      <c r="T19" s="15">
        <v>10</v>
      </c>
      <c r="U19" s="15">
        <f t="shared" si="5"/>
        <v>166.66666666666669</v>
      </c>
      <c r="V19" s="15">
        <v>0</v>
      </c>
      <c r="W19" s="17">
        <f t="shared" si="6"/>
        <v>7226.666666666667</v>
      </c>
      <c r="X19" s="18">
        <v>7</v>
      </c>
      <c r="Y19" s="19">
        <f t="shared" si="21"/>
        <v>933.33333333333337</v>
      </c>
      <c r="Z19" s="20">
        <v>0</v>
      </c>
      <c r="AA19" s="19">
        <f t="shared" si="7"/>
        <v>0</v>
      </c>
      <c r="AB19" s="19">
        <v>0</v>
      </c>
      <c r="AC19" s="19">
        <f t="shared" si="8"/>
        <v>0</v>
      </c>
      <c r="AD19" s="21">
        <f t="shared" si="9"/>
        <v>933.33333333333337</v>
      </c>
      <c r="AE19" s="22">
        <f t="shared" si="10"/>
        <v>6293.3333333333339</v>
      </c>
      <c r="AF19" s="23">
        <f t="shared" si="11"/>
        <v>5384.6153846153848</v>
      </c>
      <c r="AG19" s="23">
        <f t="shared" si="12"/>
        <v>592.30769230769238</v>
      </c>
      <c r="AH19" s="24">
        <v>1666.6666666666667</v>
      </c>
      <c r="AI19" s="24">
        <f t="shared" si="13"/>
        <v>48412.307692307695</v>
      </c>
      <c r="AJ19" s="24">
        <f t="shared" si="14"/>
        <v>70.102564102564131</v>
      </c>
      <c r="AK19" s="23">
        <f t="shared" si="15"/>
        <v>3.1466666666666669</v>
      </c>
      <c r="AL19" s="22">
        <f t="shared" si="16"/>
        <v>5627.7764102564106</v>
      </c>
      <c r="AM19" s="23">
        <v>0</v>
      </c>
      <c r="AN19" s="22">
        <f t="shared" si="17"/>
        <v>5627.7764102564106</v>
      </c>
      <c r="AO19" s="24">
        <f t="shared" si="18"/>
        <v>1009.6153846153846</v>
      </c>
      <c r="AP19" s="25"/>
      <c r="AQ19" s="26">
        <f t="shared" si="19"/>
        <v>7302.9487179487187</v>
      </c>
    </row>
    <row r="20" spans="1:44" ht="15.65" customHeight="1" x14ac:dyDescent="0.35">
      <c r="A20" s="10" t="s">
        <v>74</v>
      </c>
      <c r="B20" s="10" t="s">
        <v>63</v>
      </c>
      <c r="C20" s="11" t="s">
        <v>140</v>
      </c>
      <c r="D20" s="11" t="s">
        <v>140</v>
      </c>
      <c r="E20" s="11" t="s">
        <v>117</v>
      </c>
      <c r="F20" s="37" t="s">
        <v>128</v>
      </c>
      <c r="G20" s="12" t="s">
        <v>41</v>
      </c>
      <c r="H20" s="13">
        <v>4000</v>
      </c>
      <c r="I20" s="13">
        <v>3000</v>
      </c>
      <c r="J20" s="13">
        <v>0</v>
      </c>
      <c r="K20" s="14">
        <v>0.98</v>
      </c>
      <c r="L20" s="15">
        <f t="shared" si="0"/>
        <v>2940</v>
      </c>
      <c r="M20" s="15">
        <v>0</v>
      </c>
      <c r="N20" s="15">
        <f t="shared" si="1"/>
        <v>22</v>
      </c>
      <c r="O20" s="15">
        <v>0</v>
      </c>
      <c r="P20" s="16">
        <f t="shared" si="2"/>
        <v>133.33333333333334</v>
      </c>
      <c r="Q20" s="16">
        <f t="shared" si="3"/>
        <v>98</v>
      </c>
      <c r="R20" s="16">
        <f t="shared" si="20"/>
        <v>233.33333333333334</v>
      </c>
      <c r="S20" s="16">
        <f t="shared" si="4"/>
        <v>16.666666666666668</v>
      </c>
      <c r="T20" s="15">
        <v>10</v>
      </c>
      <c r="U20" s="15">
        <f t="shared" si="5"/>
        <v>166.66666666666669</v>
      </c>
      <c r="V20" s="15">
        <v>0</v>
      </c>
      <c r="W20" s="17">
        <f t="shared" si="6"/>
        <v>7106.666666666667</v>
      </c>
      <c r="X20" s="18">
        <v>8</v>
      </c>
      <c r="Y20" s="19">
        <f t="shared" si="21"/>
        <v>1066.6666666666667</v>
      </c>
      <c r="Z20" s="20">
        <v>0</v>
      </c>
      <c r="AA20" s="19">
        <f t="shared" si="7"/>
        <v>0</v>
      </c>
      <c r="AB20" s="19">
        <v>0</v>
      </c>
      <c r="AC20" s="19">
        <f t="shared" si="8"/>
        <v>0</v>
      </c>
      <c r="AD20" s="21">
        <f t="shared" si="9"/>
        <v>1066.6666666666667</v>
      </c>
      <c r="AE20" s="22">
        <f t="shared" si="10"/>
        <v>6040</v>
      </c>
      <c r="AF20" s="23">
        <f t="shared" si="11"/>
        <v>5384.6153846153848</v>
      </c>
      <c r="AG20" s="23">
        <f t="shared" si="12"/>
        <v>592.30769230769238</v>
      </c>
      <c r="AH20" s="24">
        <v>1666.6666666666667</v>
      </c>
      <c r="AI20" s="24">
        <f t="shared" si="13"/>
        <v>45372.307692307688</v>
      </c>
      <c r="AJ20" s="24">
        <f t="shared" si="14"/>
        <v>44.769230769230738</v>
      </c>
      <c r="AK20" s="23">
        <f t="shared" si="15"/>
        <v>3.02</v>
      </c>
      <c r="AL20" s="22">
        <f t="shared" si="16"/>
        <v>5399.9030769230767</v>
      </c>
      <c r="AM20" s="23">
        <v>0</v>
      </c>
      <c r="AN20" s="22">
        <f t="shared" si="17"/>
        <v>5399.9030769230767</v>
      </c>
      <c r="AO20" s="24">
        <f t="shared" si="18"/>
        <v>1009.6153846153846</v>
      </c>
      <c r="AP20" s="25"/>
      <c r="AQ20" s="26">
        <f t="shared" si="19"/>
        <v>7049.6153846153848</v>
      </c>
    </row>
    <row r="21" spans="1:44" ht="15.65" customHeight="1" x14ac:dyDescent="0.35">
      <c r="A21" s="10" t="s">
        <v>74</v>
      </c>
      <c r="B21" s="10" t="s">
        <v>64</v>
      </c>
      <c r="C21" s="11" t="s">
        <v>140</v>
      </c>
      <c r="D21" s="11" t="s">
        <v>140</v>
      </c>
      <c r="E21" s="11" t="s">
        <v>118</v>
      </c>
      <c r="F21" s="37" t="s">
        <v>129</v>
      </c>
      <c r="G21" s="12" t="s">
        <v>41</v>
      </c>
      <c r="H21" s="13">
        <v>4000</v>
      </c>
      <c r="I21" s="13">
        <v>3000</v>
      </c>
      <c r="J21" s="13">
        <v>0</v>
      </c>
      <c r="K21" s="14">
        <v>1.04</v>
      </c>
      <c r="L21" s="15">
        <f t="shared" si="0"/>
        <v>3120</v>
      </c>
      <c r="M21" s="15">
        <v>0</v>
      </c>
      <c r="N21" s="15">
        <f t="shared" si="1"/>
        <v>23</v>
      </c>
      <c r="O21" s="15">
        <v>0</v>
      </c>
      <c r="P21" s="16">
        <f t="shared" si="2"/>
        <v>133.33333333333334</v>
      </c>
      <c r="Q21" s="16">
        <f t="shared" si="3"/>
        <v>104</v>
      </c>
      <c r="R21" s="16">
        <f t="shared" si="20"/>
        <v>233.33333333333334</v>
      </c>
      <c r="S21" s="16">
        <f t="shared" si="4"/>
        <v>16.666666666666668</v>
      </c>
      <c r="T21" s="15">
        <v>25</v>
      </c>
      <c r="U21" s="15">
        <f t="shared" si="5"/>
        <v>416.66666666666669</v>
      </c>
      <c r="V21" s="15">
        <v>250</v>
      </c>
      <c r="W21" s="17">
        <f t="shared" si="6"/>
        <v>7786.666666666667</v>
      </c>
      <c r="X21" s="18">
        <v>7</v>
      </c>
      <c r="Y21" s="19">
        <f t="shared" si="21"/>
        <v>933.33333333333337</v>
      </c>
      <c r="Z21" s="20">
        <v>0</v>
      </c>
      <c r="AA21" s="19">
        <f t="shared" si="7"/>
        <v>0</v>
      </c>
      <c r="AB21" s="19">
        <v>0</v>
      </c>
      <c r="AC21" s="19">
        <f t="shared" si="8"/>
        <v>0</v>
      </c>
      <c r="AD21" s="21">
        <f t="shared" si="9"/>
        <v>933.33333333333337</v>
      </c>
      <c r="AE21" s="22">
        <f t="shared" si="10"/>
        <v>6853.3333333333339</v>
      </c>
      <c r="AF21" s="23">
        <f t="shared" si="11"/>
        <v>5384.6153846153848</v>
      </c>
      <c r="AG21" s="23">
        <f t="shared" si="12"/>
        <v>592.30769230769238</v>
      </c>
      <c r="AH21" s="24">
        <v>1666.6666666666667</v>
      </c>
      <c r="AI21" s="24">
        <f t="shared" si="13"/>
        <v>55132.307692307695</v>
      </c>
      <c r="AJ21" s="24">
        <f t="shared" si="14"/>
        <v>126.65384615384619</v>
      </c>
      <c r="AK21" s="23">
        <f t="shared" si="15"/>
        <v>3.4266666666666672</v>
      </c>
      <c r="AL21" s="22">
        <f t="shared" si="16"/>
        <v>6130.9451282051286</v>
      </c>
      <c r="AM21" s="23">
        <v>0</v>
      </c>
      <c r="AN21" s="22">
        <f t="shared" si="17"/>
        <v>6130.9451282051286</v>
      </c>
      <c r="AO21" s="24">
        <f t="shared" si="18"/>
        <v>1009.6153846153846</v>
      </c>
      <c r="AP21" s="25"/>
      <c r="AQ21" s="26">
        <f t="shared" si="19"/>
        <v>7862.9487179487187</v>
      </c>
    </row>
    <row r="22" spans="1:44" ht="15.65" customHeight="1" x14ac:dyDescent="0.35">
      <c r="A22" s="10" t="s">
        <v>74</v>
      </c>
      <c r="B22" s="10" t="s">
        <v>65</v>
      </c>
      <c r="C22" s="11" t="s">
        <v>140</v>
      </c>
      <c r="D22" s="11" t="s">
        <v>140</v>
      </c>
      <c r="E22" s="11" t="s">
        <v>119</v>
      </c>
      <c r="F22" s="37" t="s">
        <v>130</v>
      </c>
      <c r="G22" s="12" t="s">
        <v>41</v>
      </c>
      <c r="H22" s="13">
        <v>4000</v>
      </c>
      <c r="I22" s="13">
        <v>3000</v>
      </c>
      <c r="J22" s="13">
        <v>0</v>
      </c>
      <c r="K22" s="14">
        <v>0.6</v>
      </c>
      <c r="L22" s="15">
        <f t="shared" si="0"/>
        <v>1800</v>
      </c>
      <c r="M22" s="15">
        <v>0</v>
      </c>
      <c r="N22" s="15">
        <f t="shared" si="1"/>
        <v>14</v>
      </c>
      <c r="O22" s="15">
        <v>0</v>
      </c>
      <c r="P22" s="16">
        <f t="shared" si="2"/>
        <v>133.33333333333334</v>
      </c>
      <c r="Q22" s="16">
        <f t="shared" si="3"/>
        <v>60</v>
      </c>
      <c r="R22" s="16">
        <f t="shared" si="20"/>
        <v>233.33333333333334</v>
      </c>
      <c r="S22" s="16">
        <f t="shared" si="4"/>
        <v>16.666666666666668</v>
      </c>
      <c r="T22" s="15">
        <v>0</v>
      </c>
      <c r="U22" s="15">
        <f t="shared" si="5"/>
        <v>0</v>
      </c>
      <c r="V22" s="15">
        <v>0</v>
      </c>
      <c r="W22" s="17">
        <f t="shared" si="6"/>
        <v>5800</v>
      </c>
      <c r="X22" s="18">
        <v>16</v>
      </c>
      <c r="Y22" s="19">
        <f t="shared" si="21"/>
        <v>2133.3333333333335</v>
      </c>
      <c r="Z22" s="20">
        <v>1</v>
      </c>
      <c r="AA22" s="19">
        <f t="shared" si="7"/>
        <v>133.33333333333334</v>
      </c>
      <c r="AB22" s="19">
        <v>0</v>
      </c>
      <c r="AC22" s="19">
        <f t="shared" si="8"/>
        <v>0</v>
      </c>
      <c r="AD22" s="21">
        <f t="shared" si="9"/>
        <v>2266.666666666667</v>
      </c>
      <c r="AE22" s="22">
        <f t="shared" si="10"/>
        <v>3533.333333333333</v>
      </c>
      <c r="AF22" s="23">
        <v>0</v>
      </c>
      <c r="AG22" s="23">
        <f t="shared" si="12"/>
        <v>0</v>
      </c>
      <c r="AH22" s="24">
        <v>1666.6666666666667</v>
      </c>
      <c r="AI22" s="24">
        <f t="shared" si="13"/>
        <v>22399.999999999996</v>
      </c>
      <c r="AJ22" s="24">
        <f t="shared" si="14"/>
        <v>0</v>
      </c>
      <c r="AK22" s="23">
        <f t="shared" si="15"/>
        <v>1.7666666666666666</v>
      </c>
      <c r="AL22" s="22">
        <f t="shared" si="16"/>
        <v>3531.5666666666662</v>
      </c>
      <c r="AM22" s="23">
        <v>0</v>
      </c>
      <c r="AN22" s="22">
        <f t="shared" si="17"/>
        <v>3531.5666666666662</v>
      </c>
      <c r="AO22" s="24">
        <f t="shared" si="18"/>
        <v>0</v>
      </c>
      <c r="AP22" s="25"/>
      <c r="AQ22" s="26">
        <f t="shared" si="19"/>
        <v>3533.333333333333</v>
      </c>
    </row>
    <row r="23" spans="1:44" ht="15.65" customHeight="1" x14ac:dyDescent="0.35">
      <c r="A23" s="10" t="s">
        <v>74</v>
      </c>
      <c r="B23" s="10" t="s">
        <v>66</v>
      </c>
      <c r="C23" s="11" t="s">
        <v>140</v>
      </c>
      <c r="D23" s="11" t="s">
        <v>140</v>
      </c>
      <c r="E23" s="11" t="s">
        <v>120</v>
      </c>
      <c r="F23" s="37" t="s">
        <v>131</v>
      </c>
      <c r="G23" s="12" t="s">
        <v>41</v>
      </c>
      <c r="H23" s="13">
        <v>4000</v>
      </c>
      <c r="I23" s="13">
        <v>3000</v>
      </c>
      <c r="J23" s="13">
        <v>0</v>
      </c>
      <c r="K23" s="14">
        <v>1.04</v>
      </c>
      <c r="L23" s="15">
        <f t="shared" si="0"/>
        <v>3120</v>
      </c>
      <c r="M23" s="15">
        <v>0</v>
      </c>
      <c r="N23" s="15">
        <f t="shared" si="1"/>
        <v>23</v>
      </c>
      <c r="O23" s="15">
        <v>0</v>
      </c>
      <c r="P23" s="16">
        <f t="shared" si="2"/>
        <v>133.33333333333334</v>
      </c>
      <c r="Q23" s="16">
        <f t="shared" si="3"/>
        <v>104</v>
      </c>
      <c r="R23" s="16">
        <f t="shared" si="20"/>
        <v>233.33333333333334</v>
      </c>
      <c r="S23" s="16">
        <f t="shared" si="4"/>
        <v>16.666666666666668</v>
      </c>
      <c r="T23" s="15">
        <v>25</v>
      </c>
      <c r="U23" s="15">
        <f t="shared" si="5"/>
        <v>416.66666666666669</v>
      </c>
      <c r="V23" s="15">
        <v>250</v>
      </c>
      <c r="W23" s="17">
        <f t="shared" si="6"/>
        <v>7786.666666666667</v>
      </c>
      <c r="X23" s="18">
        <v>7</v>
      </c>
      <c r="Y23" s="19">
        <f t="shared" si="21"/>
        <v>933.33333333333337</v>
      </c>
      <c r="Z23" s="20">
        <v>0</v>
      </c>
      <c r="AA23" s="19">
        <f t="shared" si="7"/>
        <v>0</v>
      </c>
      <c r="AB23" s="19">
        <v>0</v>
      </c>
      <c r="AC23" s="19">
        <f t="shared" si="8"/>
        <v>0</v>
      </c>
      <c r="AD23" s="21">
        <f t="shared" si="9"/>
        <v>933.33333333333337</v>
      </c>
      <c r="AE23" s="22">
        <f t="shared" si="10"/>
        <v>6853.3333333333339</v>
      </c>
      <c r="AF23" s="23">
        <f t="shared" si="11"/>
        <v>5384.6153846153848</v>
      </c>
      <c r="AG23" s="23">
        <f t="shared" si="12"/>
        <v>592.30769230769238</v>
      </c>
      <c r="AH23" s="24">
        <v>1666.6666666666667</v>
      </c>
      <c r="AI23" s="24">
        <f t="shared" si="13"/>
        <v>55132.307692307695</v>
      </c>
      <c r="AJ23" s="24">
        <f t="shared" si="14"/>
        <v>126.65384615384619</v>
      </c>
      <c r="AK23" s="23">
        <f t="shared" si="15"/>
        <v>3.4266666666666672</v>
      </c>
      <c r="AL23" s="22">
        <f t="shared" si="16"/>
        <v>6130.9451282051286</v>
      </c>
      <c r="AM23" s="23">
        <v>0</v>
      </c>
      <c r="AN23" s="22">
        <f t="shared" si="17"/>
        <v>6130.9451282051286</v>
      </c>
      <c r="AO23" s="24">
        <f t="shared" si="18"/>
        <v>1009.6153846153846</v>
      </c>
      <c r="AP23" s="25"/>
      <c r="AQ23" s="26">
        <f t="shared" si="19"/>
        <v>7862.9487179487187</v>
      </c>
    </row>
    <row r="24" spans="1:44" ht="15.65" customHeight="1" x14ac:dyDescent="0.35">
      <c r="A24" s="10" t="s">
        <v>74</v>
      </c>
      <c r="B24" s="10" t="s">
        <v>67</v>
      </c>
      <c r="C24" s="11" t="s">
        <v>140</v>
      </c>
      <c r="D24" s="11" t="s">
        <v>140</v>
      </c>
      <c r="E24" s="11" t="s">
        <v>121</v>
      </c>
      <c r="F24" s="37" t="s">
        <v>132</v>
      </c>
      <c r="G24" s="12" t="s">
        <v>41</v>
      </c>
      <c r="H24" s="13">
        <v>4000</v>
      </c>
      <c r="I24" s="13">
        <v>3000</v>
      </c>
      <c r="J24" s="13">
        <v>0</v>
      </c>
      <c r="K24" s="14">
        <v>0.6</v>
      </c>
      <c r="L24" s="15">
        <f t="shared" si="0"/>
        <v>1800</v>
      </c>
      <c r="M24" s="15">
        <v>0</v>
      </c>
      <c r="N24" s="15">
        <f t="shared" si="1"/>
        <v>14</v>
      </c>
      <c r="O24" s="15">
        <v>0</v>
      </c>
      <c r="P24" s="16">
        <f t="shared" si="2"/>
        <v>133.33333333333334</v>
      </c>
      <c r="Q24" s="16">
        <f t="shared" si="3"/>
        <v>60</v>
      </c>
      <c r="R24" s="16">
        <f t="shared" si="20"/>
        <v>233.33333333333334</v>
      </c>
      <c r="S24" s="16">
        <f t="shared" si="4"/>
        <v>16.666666666666668</v>
      </c>
      <c r="T24" s="15">
        <v>0</v>
      </c>
      <c r="U24" s="15">
        <f t="shared" si="5"/>
        <v>0</v>
      </c>
      <c r="V24" s="15">
        <v>0</v>
      </c>
      <c r="W24" s="17">
        <f t="shared" si="6"/>
        <v>5800</v>
      </c>
      <c r="X24" s="18">
        <v>16</v>
      </c>
      <c r="Y24" s="19">
        <f t="shared" si="21"/>
        <v>2133.3333333333335</v>
      </c>
      <c r="Z24" s="20">
        <v>0</v>
      </c>
      <c r="AA24" s="19">
        <f t="shared" si="7"/>
        <v>0</v>
      </c>
      <c r="AB24" s="19">
        <v>0</v>
      </c>
      <c r="AC24" s="19">
        <f t="shared" si="8"/>
        <v>0</v>
      </c>
      <c r="AD24" s="21">
        <f t="shared" si="9"/>
        <v>2133.3333333333335</v>
      </c>
      <c r="AE24" s="22">
        <f t="shared" si="10"/>
        <v>3666.6666666666665</v>
      </c>
      <c r="AF24" s="23">
        <v>0</v>
      </c>
      <c r="AG24" s="23">
        <f t="shared" si="12"/>
        <v>0</v>
      </c>
      <c r="AH24" s="24">
        <v>1666.6666666666667</v>
      </c>
      <c r="AI24" s="24">
        <f t="shared" si="13"/>
        <v>23999.999999999996</v>
      </c>
      <c r="AJ24" s="24">
        <f t="shared" si="14"/>
        <v>0</v>
      </c>
      <c r="AK24" s="23">
        <f t="shared" si="15"/>
        <v>1.8333333333333333</v>
      </c>
      <c r="AL24" s="22">
        <f t="shared" si="16"/>
        <v>3664.833333333333</v>
      </c>
      <c r="AM24" s="23">
        <v>0</v>
      </c>
      <c r="AN24" s="22">
        <f t="shared" si="17"/>
        <v>3664.833333333333</v>
      </c>
      <c r="AO24" s="24">
        <f t="shared" si="18"/>
        <v>0</v>
      </c>
      <c r="AP24" s="25"/>
      <c r="AQ24" s="26">
        <f t="shared" si="19"/>
        <v>3666.6666666666665</v>
      </c>
    </row>
    <row r="25" spans="1:44" ht="15.65" customHeight="1" x14ac:dyDescent="0.35">
      <c r="A25" s="10" t="s">
        <v>74</v>
      </c>
      <c r="B25" s="10" t="s">
        <v>68</v>
      </c>
      <c r="C25" s="11" t="s">
        <v>140</v>
      </c>
      <c r="D25" s="11" t="s">
        <v>140</v>
      </c>
      <c r="E25" s="11" t="s">
        <v>122</v>
      </c>
      <c r="F25" s="37" t="s">
        <v>133</v>
      </c>
      <c r="G25" s="12" t="s">
        <v>41</v>
      </c>
      <c r="H25" s="13">
        <v>4000</v>
      </c>
      <c r="I25" s="13">
        <v>3000</v>
      </c>
      <c r="J25" s="13">
        <v>0</v>
      </c>
      <c r="K25" s="14">
        <v>1</v>
      </c>
      <c r="L25" s="15">
        <f t="shared" si="0"/>
        <v>3000</v>
      </c>
      <c r="M25" s="15">
        <v>0</v>
      </c>
      <c r="N25" s="15">
        <f t="shared" si="1"/>
        <v>16</v>
      </c>
      <c r="O25" s="15">
        <v>0</v>
      </c>
      <c r="P25" s="16">
        <f t="shared" si="2"/>
        <v>133.33333333333334</v>
      </c>
      <c r="Q25" s="16">
        <f t="shared" si="3"/>
        <v>100</v>
      </c>
      <c r="R25" s="16">
        <f t="shared" si="20"/>
        <v>233.33333333333334</v>
      </c>
      <c r="S25" s="16">
        <f t="shared" si="4"/>
        <v>16.666666666666668</v>
      </c>
      <c r="T25" s="15">
        <v>10</v>
      </c>
      <c r="U25" s="15">
        <f t="shared" si="5"/>
        <v>166.66666666666669</v>
      </c>
      <c r="V25" s="15">
        <v>0</v>
      </c>
      <c r="W25" s="17">
        <f t="shared" si="6"/>
        <v>7166.666666666667</v>
      </c>
      <c r="X25" s="18">
        <v>14</v>
      </c>
      <c r="Y25" s="19">
        <f t="shared" si="21"/>
        <v>1866.6666666666667</v>
      </c>
      <c r="Z25" s="20">
        <v>0</v>
      </c>
      <c r="AA25" s="19">
        <f t="shared" si="7"/>
        <v>0</v>
      </c>
      <c r="AB25" s="19">
        <v>0</v>
      </c>
      <c r="AC25" s="19">
        <f t="shared" si="8"/>
        <v>0</v>
      </c>
      <c r="AD25" s="21">
        <f t="shared" si="9"/>
        <v>1866.6666666666667</v>
      </c>
      <c r="AE25" s="22">
        <f t="shared" si="10"/>
        <v>5300</v>
      </c>
      <c r="AF25" s="23">
        <v>0</v>
      </c>
      <c r="AG25" s="23">
        <f t="shared" si="12"/>
        <v>0</v>
      </c>
      <c r="AH25" s="24">
        <v>1666.6666666666667</v>
      </c>
      <c r="AI25" s="24">
        <f t="shared" si="13"/>
        <v>43600</v>
      </c>
      <c r="AJ25" s="24">
        <f t="shared" si="14"/>
        <v>30</v>
      </c>
      <c r="AK25" s="23">
        <f t="shared" si="15"/>
        <v>2.65</v>
      </c>
      <c r="AL25" s="22">
        <f t="shared" si="16"/>
        <v>5267.35</v>
      </c>
      <c r="AM25" s="23">
        <v>0</v>
      </c>
      <c r="AN25" s="22">
        <f t="shared" si="17"/>
        <v>5267.35</v>
      </c>
      <c r="AO25" s="24">
        <f t="shared" si="18"/>
        <v>0</v>
      </c>
      <c r="AP25" s="25"/>
      <c r="AQ25" s="26">
        <f t="shared" si="19"/>
        <v>5300</v>
      </c>
    </row>
    <row r="26" spans="1:44" ht="15.65" customHeight="1" x14ac:dyDescent="0.35">
      <c r="A26" s="10" t="s">
        <v>74</v>
      </c>
      <c r="B26" s="10" t="s">
        <v>69</v>
      </c>
      <c r="C26" s="11" t="s">
        <v>140</v>
      </c>
      <c r="D26" s="11" t="s">
        <v>140</v>
      </c>
      <c r="E26" s="11" t="s">
        <v>134</v>
      </c>
      <c r="F26" s="37" t="s">
        <v>135</v>
      </c>
      <c r="G26" s="12" t="s">
        <v>41</v>
      </c>
      <c r="H26" s="13">
        <v>4000</v>
      </c>
      <c r="I26" s="13">
        <v>3000</v>
      </c>
      <c r="J26" s="13">
        <v>0</v>
      </c>
      <c r="K26" s="14">
        <v>0.8</v>
      </c>
      <c r="L26" s="15">
        <f t="shared" si="0"/>
        <v>2400</v>
      </c>
      <c r="M26" s="15">
        <v>0</v>
      </c>
      <c r="N26" s="15">
        <f t="shared" si="1"/>
        <v>23</v>
      </c>
      <c r="O26" s="15">
        <v>0</v>
      </c>
      <c r="P26" s="16">
        <f t="shared" si="2"/>
        <v>133.33333333333334</v>
      </c>
      <c r="Q26" s="16">
        <f t="shared" si="3"/>
        <v>80</v>
      </c>
      <c r="R26" s="16">
        <f t="shared" si="20"/>
        <v>233.33333333333334</v>
      </c>
      <c r="S26" s="16">
        <f t="shared" si="4"/>
        <v>16.666666666666668</v>
      </c>
      <c r="T26" s="15">
        <v>10</v>
      </c>
      <c r="U26" s="15">
        <f t="shared" si="5"/>
        <v>166.66666666666669</v>
      </c>
      <c r="V26" s="15">
        <v>0</v>
      </c>
      <c r="W26" s="17">
        <f t="shared" si="6"/>
        <v>6566.666666666667</v>
      </c>
      <c r="X26" s="18">
        <v>7</v>
      </c>
      <c r="Y26" s="19">
        <f t="shared" si="21"/>
        <v>933.33333333333337</v>
      </c>
      <c r="Z26" s="20">
        <v>0</v>
      </c>
      <c r="AA26" s="19">
        <f t="shared" si="7"/>
        <v>0</v>
      </c>
      <c r="AB26" s="19">
        <v>0</v>
      </c>
      <c r="AC26" s="19">
        <f t="shared" si="8"/>
        <v>0</v>
      </c>
      <c r="AD26" s="21">
        <f t="shared" si="9"/>
        <v>933.33333333333337</v>
      </c>
      <c r="AE26" s="22">
        <f t="shared" si="10"/>
        <v>5633.3333333333339</v>
      </c>
      <c r="AF26" s="23">
        <f t="shared" si="11"/>
        <v>5384.6153846153848</v>
      </c>
      <c r="AG26" s="23">
        <f t="shared" si="12"/>
        <v>592.30769230769238</v>
      </c>
      <c r="AH26" s="24">
        <v>1666.6666666666667</v>
      </c>
      <c r="AI26" s="24">
        <f t="shared" si="13"/>
        <v>40492.307692307695</v>
      </c>
      <c r="AJ26" s="24">
        <f t="shared" si="14"/>
        <v>4.1025641025641262</v>
      </c>
      <c r="AK26" s="23">
        <f t="shared" si="15"/>
        <v>2.8166666666666669</v>
      </c>
      <c r="AL26" s="22">
        <f t="shared" si="16"/>
        <v>5034.1064102564105</v>
      </c>
      <c r="AM26" s="23">
        <v>0</v>
      </c>
      <c r="AN26" s="22">
        <f t="shared" si="17"/>
        <v>5034.1064102564105</v>
      </c>
      <c r="AO26" s="24">
        <f t="shared" si="18"/>
        <v>1009.6153846153846</v>
      </c>
      <c r="AP26" s="25"/>
      <c r="AQ26" s="26">
        <f t="shared" si="19"/>
        <v>6642.9487179487187</v>
      </c>
    </row>
    <row r="27" spans="1:44" ht="15.65" customHeight="1" x14ac:dyDescent="0.35">
      <c r="A27" s="10" t="s">
        <v>74</v>
      </c>
      <c r="B27" s="10" t="s">
        <v>70</v>
      </c>
      <c r="C27" s="11" t="s">
        <v>140</v>
      </c>
      <c r="D27" s="11" t="s">
        <v>140</v>
      </c>
      <c r="E27" s="11" t="s">
        <v>136</v>
      </c>
      <c r="F27" s="37" t="s">
        <v>137</v>
      </c>
      <c r="G27" s="12" t="s">
        <v>41</v>
      </c>
      <c r="H27" s="13">
        <v>4000</v>
      </c>
      <c r="I27" s="13">
        <v>3000</v>
      </c>
      <c r="J27" s="13">
        <v>0</v>
      </c>
      <c r="K27" s="14">
        <v>0.05</v>
      </c>
      <c r="L27" s="15">
        <f t="shared" si="0"/>
        <v>150</v>
      </c>
      <c r="M27" s="15">
        <v>0</v>
      </c>
      <c r="N27" s="15">
        <f t="shared" si="1"/>
        <v>3</v>
      </c>
      <c r="O27" s="15">
        <v>0</v>
      </c>
      <c r="P27" s="16">
        <f t="shared" si="2"/>
        <v>133.33333333333334</v>
      </c>
      <c r="Q27" s="16">
        <f t="shared" si="3"/>
        <v>5</v>
      </c>
      <c r="R27" s="16">
        <f t="shared" si="20"/>
        <v>233.33333333333334</v>
      </c>
      <c r="S27" s="16">
        <f t="shared" si="4"/>
        <v>16.666666666666668</v>
      </c>
      <c r="T27" s="15">
        <v>0</v>
      </c>
      <c r="U27" s="15">
        <f t="shared" si="5"/>
        <v>0</v>
      </c>
      <c r="V27" s="15">
        <v>0</v>
      </c>
      <c r="W27" s="17">
        <f t="shared" si="6"/>
        <v>4150</v>
      </c>
      <c r="X27" s="18">
        <v>27</v>
      </c>
      <c r="Y27" s="19">
        <f t="shared" si="21"/>
        <v>3600.0000000000005</v>
      </c>
      <c r="Z27" s="20">
        <v>0</v>
      </c>
      <c r="AA27" s="19">
        <f t="shared" si="7"/>
        <v>0</v>
      </c>
      <c r="AB27" s="19">
        <v>0</v>
      </c>
      <c r="AC27" s="19">
        <f t="shared" si="8"/>
        <v>0</v>
      </c>
      <c r="AD27" s="21">
        <f t="shared" si="9"/>
        <v>3600.0000000000005</v>
      </c>
      <c r="AE27" s="22">
        <f t="shared" si="10"/>
        <v>549.99999999999955</v>
      </c>
      <c r="AF27" s="23">
        <v>0</v>
      </c>
      <c r="AG27" s="23">
        <f t="shared" si="12"/>
        <v>0</v>
      </c>
      <c r="AH27" s="24">
        <v>1666.6666666666667</v>
      </c>
      <c r="AI27" s="24">
        <f t="shared" si="13"/>
        <v>-13400.000000000007</v>
      </c>
      <c r="AJ27" s="24">
        <f t="shared" si="14"/>
        <v>0</v>
      </c>
      <c r="AK27" s="23">
        <f t="shared" si="15"/>
        <v>0.2749999999999998</v>
      </c>
      <c r="AL27" s="22">
        <f t="shared" si="16"/>
        <v>549.72499999999957</v>
      </c>
      <c r="AM27" s="23">
        <v>0</v>
      </c>
      <c r="AN27" s="22">
        <f t="shared" si="17"/>
        <v>549.72499999999957</v>
      </c>
      <c r="AO27" s="24">
        <f t="shared" si="18"/>
        <v>0</v>
      </c>
      <c r="AP27" s="25"/>
      <c r="AQ27" s="26">
        <f t="shared" si="19"/>
        <v>549.99999999999955</v>
      </c>
    </row>
    <row r="28" spans="1:44" ht="15.65" customHeight="1" x14ac:dyDescent="0.35">
      <c r="A28" s="10" t="s">
        <v>74</v>
      </c>
      <c r="B28" s="10" t="s">
        <v>71</v>
      </c>
      <c r="C28" s="11" t="s">
        <v>140</v>
      </c>
      <c r="D28" s="11" t="s">
        <v>140</v>
      </c>
      <c r="E28" s="11" t="s">
        <v>139</v>
      </c>
      <c r="F28" s="37" t="s">
        <v>138</v>
      </c>
      <c r="G28" s="12" t="s">
        <v>41</v>
      </c>
      <c r="H28" s="13">
        <v>4000</v>
      </c>
      <c r="I28" s="13">
        <v>3000</v>
      </c>
      <c r="J28" s="13">
        <v>0</v>
      </c>
      <c r="K28" s="14">
        <v>0.05</v>
      </c>
      <c r="L28" s="15">
        <f t="shared" si="0"/>
        <v>150</v>
      </c>
      <c r="M28" s="15">
        <v>0</v>
      </c>
      <c r="N28" s="15">
        <f t="shared" si="1"/>
        <v>2</v>
      </c>
      <c r="O28" s="15">
        <v>0</v>
      </c>
      <c r="P28" s="16">
        <f t="shared" si="2"/>
        <v>133.33333333333334</v>
      </c>
      <c r="Q28" s="16">
        <f t="shared" si="3"/>
        <v>5</v>
      </c>
      <c r="R28" s="16">
        <f t="shared" si="20"/>
        <v>233.33333333333334</v>
      </c>
      <c r="S28" s="16">
        <f t="shared" si="4"/>
        <v>16.666666666666668</v>
      </c>
      <c r="T28" s="15">
        <v>0</v>
      </c>
      <c r="U28" s="15">
        <f t="shared" si="5"/>
        <v>0</v>
      </c>
      <c r="V28" s="15">
        <v>0</v>
      </c>
      <c r="W28" s="17">
        <f t="shared" si="6"/>
        <v>4150</v>
      </c>
      <c r="X28" s="18">
        <v>28</v>
      </c>
      <c r="Y28" s="19">
        <f t="shared" si="21"/>
        <v>3733.3333333333335</v>
      </c>
      <c r="Z28" s="20">
        <v>0</v>
      </c>
      <c r="AA28" s="19">
        <f t="shared" si="7"/>
        <v>0</v>
      </c>
      <c r="AB28" s="19">
        <v>0</v>
      </c>
      <c r="AC28" s="19">
        <f t="shared" si="8"/>
        <v>0</v>
      </c>
      <c r="AD28" s="21">
        <f t="shared" si="9"/>
        <v>3733.3333333333335</v>
      </c>
      <c r="AE28" s="22">
        <f t="shared" si="10"/>
        <v>416.66666666666652</v>
      </c>
      <c r="AF28" s="23">
        <v>0</v>
      </c>
      <c r="AG28" s="23">
        <f t="shared" si="12"/>
        <v>0</v>
      </c>
      <c r="AH28" s="24">
        <v>1666.6666666666667</v>
      </c>
      <c r="AI28" s="24">
        <f t="shared" si="13"/>
        <v>-15000.000000000004</v>
      </c>
      <c r="AJ28" s="24">
        <f t="shared" si="14"/>
        <v>0</v>
      </c>
      <c r="AK28" s="23">
        <f t="shared" si="15"/>
        <v>0.20833333333333326</v>
      </c>
      <c r="AL28" s="22">
        <f t="shared" si="16"/>
        <v>416.4583333333332</v>
      </c>
      <c r="AM28" s="23">
        <v>0</v>
      </c>
      <c r="AN28" s="22">
        <f t="shared" si="17"/>
        <v>416.4583333333332</v>
      </c>
      <c r="AO28" s="24">
        <f t="shared" si="18"/>
        <v>0</v>
      </c>
      <c r="AP28" s="25"/>
      <c r="AQ28" s="26">
        <f t="shared" si="19"/>
        <v>416.66666666666652</v>
      </c>
    </row>
    <row r="29" spans="1:44" ht="15.65" customHeight="1" x14ac:dyDescent="0.35">
      <c r="A29" s="10" t="s">
        <v>74</v>
      </c>
      <c r="B29" s="10" t="s">
        <v>72</v>
      </c>
      <c r="C29" s="37" t="s">
        <v>143</v>
      </c>
      <c r="D29" s="11" t="s">
        <v>42</v>
      </c>
      <c r="E29" s="11" t="s">
        <v>141</v>
      </c>
      <c r="F29" s="37" t="s">
        <v>142</v>
      </c>
      <c r="G29" s="12" t="s">
        <v>41</v>
      </c>
      <c r="H29" s="13">
        <v>4000</v>
      </c>
      <c r="I29" s="13">
        <v>3000</v>
      </c>
      <c r="J29" s="13">
        <v>0</v>
      </c>
      <c r="K29" s="14">
        <v>0.3</v>
      </c>
      <c r="L29" s="15">
        <f t="shared" si="0"/>
        <v>900</v>
      </c>
      <c r="M29" s="15">
        <v>0</v>
      </c>
      <c r="N29" s="15">
        <f t="shared" si="1"/>
        <v>9</v>
      </c>
      <c r="O29" s="15">
        <v>0</v>
      </c>
      <c r="P29" s="16">
        <f t="shared" si="2"/>
        <v>133.33333333333334</v>
      </c>
      <c r="Q29" s="16">
        <f t="shared" si="3"/>
        <v>30</v>
      </c>
      <c r="R29" s="16">
        <f t="shared" si="20"/>
        <v>233.33333333333334</v>
      </c>
      <c r="S29" s="16">
        <f t="shared" si="4"/>
        <v>16.666666666666668</v>
      </c>
      <c r="T29" s="15">
        <v>0</v>
      </c>
      <c r="U29" s="15">
        <f t="shared" si="5"/>
        <v>0</v>
      </c>
      <c r="V29" s="15">
        <v>0</v>
      </c>
      <c r="W29" s="17">
        <f t="shared" si="6"/>
        <v>4900</v>
      </c>
      <c r="X29" s="18">
        <v>21</v>
      </c>
      <c r="Y29" s="19">
        <f t="shared" si="21"/>
        <v>2800</v>
      </c>
      <c r="Z29" s="20">
        <v>0</v>
      </c>
      <c r="AA29" s="19">
        <f t="shared" si="7"/>
        <v>0</v>
      </c>
      <c r="AB29" s="19">
        <v>0</v>
      </c>
      <c r="AC29" s="19">
        <f t="shared" si="8"/>
        <v>0</v>
      </c>
      <c r="AD29" s="21">
        <f t="shared" si="9"/>
        <v>2800</v>
      </c>
      <c r="AE29" s="22">
        <f t="shared" si="10"/>
        <v>2100</v>
      </c>
      <c r="AF29" s="23">
        <v>0</v>
      </c>
      <c r="AG29" s="23">
        <f t="shared" si="12"/>
        <v>0</v>
      </c>
      <c r="AH29" s="24">
        <v>1666.6666666666667</v>
      </c>
      <c r="AI29" s="24">
        <f t="shared" si="13"/>
        <v>5199.9999999999991</v>
      </c>
      <c r="AJ29" s="24">
        <f t="shared" si="14"/>
        <v>0</v>
      </c>
      <c r="AK29" s="23">
        <f t="shared" si="15"/>
        <v>1.05</v>
      </c>
      <c r="AL29" s="22">
        <f t="shared" si="16"/>
        <v>2098.9499999999998</v>
      </c>
      <c r="AM29" s="23">
        <v>0</v>
      </c>
      <c r="AN29" s="22">
        <f t="shared" si="17"/>
        <v>2098.9499999999998</v>
      </c>
      <c r="AO29" s="24">
        <f t="shared" si="18"/>
        <v>0</v>
      </c>
      <c r="AP29" s="25"/>
      <c r="AQ29" s="26">
        <f t="shared" si="19"/>
        <v>2100</v>
      </c>
    </row>
    <row r="30" spans="1:44" ht="16" customHeight="1" x14ac:dyDescent="0.35">
      <c r="A30" s="10" t="s">
        <v>74</v>
      </c>
      <c r="B30" s="10" t="s">
        <v>73</v>
      </c>
      <c r="C30" s="11" t="s">
        <v>140</v>
      </c>
      <c r="D30" s="11" t="s">
        <v>140</v>
      </c>
      <c r="E30" s="11" t="s">
        <v>144</v>
      </c>
      <c r="F30" s="37"/>
      <c r="G30" s="12" t="s">
        <v>41</v>
      </c>
      <c r="H30" s="13">
        <v>4000</v>
      </c>
      <c r="I30" s="13">
        <v>3000</v>
      </c>
      <c r="J30" s="13">
        <v>0</v>
      </c>
      <c r="K30" s="14">
        <v>0.92</v>
      </c>
      <c r="L30" s="15">
        <f t="shared" si="0"/>
        <v>2760</v>
      </c>
      <c r="M30" s="15">
        <v>0</v>
      </c>
      <c r="N30" s="15">
        <f t="shared" si="1"/>
        <v>23</v>
      </c>
      <c r="O30" s="15">
        <v>0</v>
      </c>
      <c r="P30" s="16">
        <f t="shared" si="2"/>
        <v>133.33333333333334</v>
      </c>
      <c r="Q30" s="16">
        <f t="shared" si="3"/>
        <v>92</v>
      </c>
      <c r="R30" s="16">
        <f t="shared" si="20"/>
        <v>233.33333333333334</v>
      </c>
      <c r="S30" s="16">
        <f t="shared" si="4"/>
        <v>16.666666666666668</v>
      </c>
      <c r="T30" s="15">
        <v>5</v>
      </c>
      <c r="U30" s="15">
        <f t="shared" si="5"/>
        <v>83.333333333333343</v>
      </c>
      <c r="V30" s="15">
        <v>0</v>
      </c>
      <c r="W30" s="17">
        <f t="shared" si="6"/>
        <v>6843.333333333333</v>
      </c>
      <c r="X30" s="18">
        <v>7</v>
      </c>
      <c r="Y30" s="19">
        <f t="shared" si="21"/>
        <v>933.33333333333337</v>
      </c>
      <c r="Z30" s="20">
        <v>0</v>
      </c>
      <c r="AA30" s="19">
        <f t="shared" si="7"/>
        <v>0</v>
      </c>
      <c r="AB30" s="19">
        <v>0</v>
      </c>
      <c r="AC30" s="19">
        <f t="shared" si="8"/>
        <v>0</v>
      </c>
      <c r="AD30" s="21">
        <f t="shared" si="9"/>
        <v>933.33333333333337</v>
      </c>
      <c r="AE30" s="22">
        <f t="shared" si="10"/>
        <v>5910</v>
      </c>
      <c r="AF30" s="23">
        <f t="shared" si="11"/>
        <v>5384.6153846153848</v>
      </c>
      <c r="AG30" s="23">
        <f t="shared" si="12"/>
        <v>592.30769230769238</v>
      </c>
      <c r="AH30" s="24">
        <v>1666.6666666666667</v>
      </c>
      <c r="AI30" s="24">
        <f t="shared" si="13"/>
        <v>43812.307692307688</v>
      </c>
      <c r="AJ30" s="24">
        <f t="shared" si="14"/>
        <v>31.769230769230735</v>
      </c>
      <c r="AK30" s="23">
        <f t="shared" si="15"/>
        <v>2.9550000000000001</v>
      </c>
      <c r="AL30" s="22">
        <f t="shared" si="16"/>
        <v>5282.9680769230772</v>
      </c>
      <c r="AM30" s="23">
        <v>0</v>
      </c>
      <c r="AN30" s="22">
        <f t="shared" si="17"/>
        <v>5282.9680769230772</v>
      </c>
      <c r="AO30" s="24">
        <f t="shared" si="18"/>
        <v>1009.6153846153846</v>
      </c>
      <c r="AP30" s="25"/>
      <c r="AQ30" s="26">
        <f t="shared" si="19"/>
        <v>6919.6153846153848</v>
      </c>
    </row>
    <row r="31" spans="1:44" ht="16" customHeight="1" x14ac:dyDescent="0.35">
      <c r="A31" s="10" t="s">
        <v>74</v>
      </c>
      <c r="B31" s="10" t="s">
        <v>147</v>
      </c>
      <c r="C31" s="11" t="s">
        <v>140</v>
      </c>
      <c r="D31" s="11" t="s">
        <v>140</v>
      </c>
      <c r="E31" s="11" t="s">
        <v>145</v>
      </c>
      <c r="F31" s="37" t="s">
        <v>146</v>
      </c>
      <c r="G31" s="12" t="s">
        <v>41</v>
      </c>
      <c r="H31" s="13">
        <v>4000</v>
      </c>
      <c r="I31" s="13">
        <v>3000</v>
      </c>
      <c r="J31" s="13">
        <v>0</v>
      </c>
      <c r="K31" s="14">
        <v>0.05</v>
      </c>
      <c r="L31" s="15">
        <f t="shared" si="0"/>
        <v>150</v>
      </c>
      <c r="M31" s="15"/>
      <c r="N31" s="15">
        <f t="shared" si="1"/>
        <v>4</v>
      </c>
      <c r="O31" s="15">
        <v>0</v>
      </c>
      <c r="P31" s="16">
        <f t="shared" si="2"/>
        <v>133.33333333333334</v>
      </c>
      <c r="Q31" s="16">
        <f t="shared" si="3"/>
        <v>5</v>
      </c>
      <c r="R31" s="16">
        <f t="shared" si="20"/>
        <v>233.33333333333334</v>
      </c>
      <c r="S31" s="16">
        <f t="shared" si="4"/>
        <v>16.666666666666668</v>
      </c>
      <c r="T31" s="15">
        <v>5</v>
      </c>
      <c r="U31" s="15">
        <f t="shared" si="5"/>
        <v>83.333333333333343</v>
      </c>
      <c r="V31" s="15">
        <v>0</v>
      </c>
      <c r="W31" s="17">
        <f t="shared" si="6"/>
        <v>4233.333333333333</v>
      </c>
      <c r="X31" s="18">
        <v>26</v>
      </c>
      <c r="Y31" s="19">
        <f t="shared" si="21"/>
        <v>3466.666666666667</v>
      </c>
      <c r="Z31" s="20">
        <v>0</v>
      </c>
      <c r="AA31" s="19">
        <f t="shared" si="7"/>
        <v>0</v>
      </c>
      <c r="AB31" s="19">
        <v>0</v>
      </c>
      <c r="AC31" s="19">
        <f t="shared" si="8"/>
        <v>0</v>
      </c>
      <c r="AD31" s="21">
        <f t="shared" si="9"/>
        <v>3466.666666666667</v>
      </c>
      <c r="AE31" s="22">
        <f t="shared" si="10"/>
        <v>766.66666666666606</v>
      </c>
      <c r="AF31" s="23">
        <v>0</v>
      </c>
      <c r="AG31" s="23">
        <f t="shared" si="12"/>
        <v>0</v>
      </c>
      <c r="AH31" s="24">
        <v>1666.6666666666667</v>
      </c>
      <c r="AI31" s="24">
        <f t="shared" si="13"/>
        <v>-10800.000000000007</v>
      </c>
      <c r="AJ31" s="24">
        <f t="shared" si="14"/>
        <v>0</v>
      </c>
      <c r="AK31" s="23">
        <f t="shared" si="15"/>
        <v>0.38333333333333303</v>
      </c>
      <c r="AL31" s="22">
        <f t="shared" si="16"/>
        <v>766.28333333333273</v>
      </c>
      <c r="AM31" s="23">
        <v>0</v>
      </c>
      <c r="AN31" s="22">
        <f t="shared" si="17"/>
        <v>766.28333333333273</v>
      </c>
      <c r="AO31" s="24">
        <f t="shared" si="18"/>
        <v>0</v>
      </c>
      <c r="AP31" s="25"/>
      <c r="AQ31" s="26">
        <f t="shared" si="19"/>
        <v>766.66666666666606</v>
      </c>
    </row>
    <row r="32" spans="1:44" s="31" customFormat="1" ht="21" customHeight="1" x14ac:dyDescent="0.35">
      <c r="A32" s="40" t="s">
        <v>43</v>
      </c>
      <c r="B32" s="41"/>
      <c r="C32" s="41"/>
      <c r="D32" s="41"/>
      <c r="E32" s="41"/>
      <c r="F32" s="27"/>
      <c r="G32" s="28"/>
      <c r="H32" s="29">
        <f>SUM(H3:H31)</f>
        <v>117000</v>
      </c>
      <c r="I32" s="29">
        <f t="shared" ref="I32:AQ32" si="22">SUM(I3:I31)</f>
        <v>87000</v>
      </c>
      <c r="J32" s="29">
        <f t="shared" si="22"/>
        <v>0</v>
      </c>
      <c r="K32" s="29">
        <f t="shared" si="22"/>
        <v>23.010000000000009</v>
      </c>
      <c r="L32" s="29">
        <f t="shared" si="22"/>
        <v>69030</v>
      </c>
      <c r="M32" s="29">
        <f t="shared" si="22"/>
        <v>0</v>
      </c>
      <c r="N32" s="29">
        <f t="shared" si="22"/>
        <v>553</v>
      </c>
      <c r="O32" s="29">
        <f t="shared" si="22"/>
        <v>0</v>
      </c>
      <c r="P32" s="29">
        <f t="shared" si="22"/>
        <v>3900.0000000000018</v>
      </c>
      <c r="Q32" s="29">
        <f t="shared" si="22"/>
        <v>2301</v>
      </c>
      <c r="R32" s="29">
        <f t="shared" si="22"/>
        <v>6799.9999999999973</v>
      </c>
      <c r="S32" s="29">
        <f t="shared" si="22"/>
        <v>487.50000000000023</v>
      </c>
      <c r="T32" s="29">
        <f t="shared" si="22"/>
        <v>397</v>
      </c>
      <c r="U32" s="29">
        <f t="shared" si="22"/>
        <v>6741.6666666666679</v>
      </c>
      <c r="V32" s="29">
        <f t="shared" si="22"/>
        <v>2550</v>
      </c>
      <c r="W32" s="29">
        <f t="shared" si="22"/>
        <v>195321.66666666669</v>
      </c>
      <c r="X32" s="29">
        <f t="shared" si="22"/>
        <v>317</v>
      </c>
      <c r="Y32" s="29">
        <f t="shared" si="22"/>
        <v>42266.666666666664</v>
      </c>
      <c r="Z32" s="29">
        <f t="shared" si="22"/>
        <v>2</v>
      </c>
      <c r="AA32" s="29">
        <f t="shared" si="22"/>
        <v>266.66666666666669</v>
      </c>
      <c r="AB32" s="29">
        <f t="shared" si="22"/>
        <v>0</v>
      </c>
      <c r="AC32" s="29">
        <f t="shared" si="22"/>
        <v>0</v>
      </c>
      <c r="AD32" s="29">
        <f t="shared" si="22"/>
        <v>42533.333333333336</v>
      </c>
      <c r="AE32" s="29">
        <f t="shared" si="22"/>
        <v>152788.33333333328</v>
      </c>
      <c r="AF32" s="29">
        <f t="shared" si="22"/>
        <v>91538.461538461546</v>
      </c>
      <c r="AG32" s="29">
        <f t="shared" si="22"/>
        <v>10069.23076923077</v>
      </c>
      <c r="AH32" s="29">
        <f t="shared" si="22"/>
        <v>48333.333333333321</v>
      </c>
      <c r="AI32" s="29">
        <f t="shared" si="22"/>
        <v>1132629.2307692312</v>
      </c>
      <c r="AJ32" s="29">
        <f t="shared" si="22"/>
        <v>2863.7564102564102</v>
      </c>
      <c r="AK32" s="29">
        <f t="shared" si="22"/>
        <v>76.394166666666678</v>
      </c>
      <c r="AL32" s="29">
        <f t="shared" si="22"/>
        <v>139778.95198717952</v>
      </c>
      <c r="AM32" s="29">
        <f t="shared" si="22"/>
        <v>0</v>
      </c>
      <c r="AN32" s="29">
        <f t="shared" si="22"/>
        <v>139778.95198717952</v>
      </c>
      <c r="AO32" s="29">
        <f t="shared" si="22"/>
        <v>17163.461538461539</v>
      </c>
      <c r="AP32" s="29">
        <f t="shared" si="22"/>
        <v>0</v>
      </c>
      <c r="AQ32" s="29">
        <f t="shared" si="22"/>
        <v>169951.79487179485</v>
      </c>
      <c r="AR32" s="30"/>
    </row>
    <row r="33" spans="1:43" x14ac:dyDescent="0.35">
      <c r="P33" s="2"/>
    </row>
    <row r="34" spans="1:43" s="31" customFormat="1" ht="19" thickBot="1" x14ac:dyDescent="0.4">
      <c r="C34" s="34"/>
      <c r="D34" s="34"/>
      <c r="E34" s="35"/>
      <c r="P34"/>
      <c r="AQ34"/>
    </row>
    <row r="35" spans="1:43" ht="19" thickBot="1" x14ac:dyDescent="0.4">
      <c r="A35" s="42" t="s">
        <v>44</v>
      </c>
      <c r="B35" s="43"/>
      <c r="C35" s="43"/>
      <c r="D35" s="44"/>
      <c r="E35" s="36">
        <f>AN32</f>
        <v>139778.95198717952</v>
      </c>
    </row>
    <row r="36" spans="1:43" ht="19" thickBot="1" x14ac:dyDescent="0.4">
      <c r="A36" s="42" t="s">
        <v>45</v>
      </c>
      <c r="B36" s="43"/>
      <c r="C36" s="43"/>
      <c r="D36" s="44"/>
      <c r="E36" s="36">
        <f>AQ32+AQ34</f>
        <v>169951.79487179485</v>
      </c>
    </row>
    <row r="42" spans="1:43" customFormat="1" ht="14.5" x14ac:dyDescent="0.35"/>
    <row r="43" spans="1:43" customFormat="1" ht="14.5" x14ac:dyDescent="0.35"/>
    <row r="44" spans="1:43" customFormat="1" ht="14.5" x14ac:dyDescent="0.35"/>
    <row r="45" spans="1:43" customFormat="1" ht="14.5" x14ac:dyDescent="0.35"/>
    <row r="46" spans="1:43" customFormat="1" ht="14.5" x14ac:dyDescent="0.35"/>
    <row r="47" spans="1:43" customFormat="1" ht="14.5" x14ac:dyDescent="0.35"/>
    <row r="48" spans="1:43" customFormat="1" ht="14.5" x14ac:dyDescent="0.35"/>
    <row r="49" spans="5:5" customFormat="1" ht="14.5" x14ac:dyDescent="0.35"/>
    <row r="50" spans="5:5" customFormat="1" ht="14.5" x14ac:dyDescent="0.35"/>
    <row r="51" spans="5:5" customFormat="1" ht="14.5" x14ac:dyDescent="0.35"/>
    <row r="52" spans="5:5" customFormat="1" ht="14.5" x14ac:dyDescent="0.35"/>
    <row r="53" spans="5:5" customFormat="1" ht="14.5" x14ac:dyDescent="0.35"/>
    <row r="54" spans="5:5" customFormat="1" ht="14.5" x14ac:dyDescent="0.35"/>
    <row r="55" spans="5:5" customFormat="1" ht="14.5" x14ac:dyDescent="0.35"/>
    <row r="56" spans="5:5" customFormat="1" ht="14.5" x14ac:dyDescent="0.35"/>
    <row r="57" spans="5:5" customFormat="1" ht="14.5" x14ac:dyDescent="0.35"/>
    <row r="58" spans="5:5" customFormat="1" ht="14.5" x14ac:dyDescent="0.35"/>
    <row r="61" spans="5:5" x14ac:dyDescent="0.35">
      <c r="E61" s="33">
        <f>2-25</f>
        <v>-23</v>
      </c>
    </row>
  </sheetData>
  <protectedRanges>
    <protectedRange sqref="C3:C14 E4 C29:C31" name="Range3_1_2_1"/>
    <protectedRange sqref="C3:C14 E4 C29:C31" name="Range2_1_2_1"/>
    <protectedRange sqref="E3 E5:E31" name="Range1_1_2_1"/>
    <protectedRange sqref="F3:F31" name="Range1_2_2_1"/>
    <protectedRange sqref="C15:C28 D3:D31" name="Range3_1_2_3_1_1"/>
    <protectedRange sqref="C15:C28 D3:D31" name="Range2_1_2_3_1_1"/>
  </protectedRanges>
  <autoFilter ref="A2:AR32" xr:uid="{00000000-0001-0000-0000-000000000000}"/>
  <mergeCells count="4">
    <mergeCell ref="A1:E1"/>
    <mergeCell ref="A32:E32"/>
    <mergeCell ref="A35:D35"/>
    <mergeCell ref="A36:D36"/>
  </mergeCells>
  <phoneticPr fontId="10" type="noConversion"/>
  <conditionalFormatting sqref="C3:C14 E3:F31 C29:C31">
    <cfRule type="duplicateValues" dxfId="3" priority="87"/>
  </conditionalFormatting>
  <conditionalFormatting sqref="F59:F63">
    <cfRule type="duplicateValues" dxfId="2" priority="74"/>
  </conditionalFormatting>
  <dataValidations count="1">
    <dataValidation allowBlank="1" showInputMessage="1" sqref="J2 P59:P1048576 P34:P41 P2:P31" xr:uid="{DAE138DB-CD88-4E3B-9C81-4D3E2BF445C2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D7C0-E5B0-410B-AA21-3AF13C6B03D4}">
  <dimension ref="A1:AR61"/>
  <sheetViews>
    <sheetView topLeftCell="Q1" workbookViewId="0">
      <selection activeCell="X8" sqref="X8"/>
    </sheetView>
  </sheetViews>
  <sheetFormatPr defaultColWidth="9.36328125" defaultRowHeight="15.5" x14ac:dyDescent="0.35"/>
  <cols>
    <col min="1" max="1" width="13.81640625" style="2" bestFit="1" customWidth="1"/>
    <col min="2" max="2" width="13.08984375" style="2" bestFit="1" customWidth="1"/>
    <col min="3" max="3" width="31.36328125" style="32" bestFit="1" customWidth="1"/>
    <col min="4" max="4" width="28.1796875" style="32" bestFit="1" customWidth="1"/>
    <col min="5" max="5" width="36.36328125" style="33" bestFit="1" customWidth="1"/>
    <col min="6" max="6" width="18.1796875" style="2" bestFit="1" customWidth="1"/>
    <col min="7" max="7" width="12.7265625" style="2" bestFit="1" customWidth="1"/>
    <col min="8" max="8" width="12.1796875" style="2" bestFit="1" customWidth="1"/>
    <col min="9" max="9" width="18.36328125" style="2" bestFit="1" customWidth="1"/>
    <col min="10" max="10" width="23.81640625" style="2" bestFit="1" customWidth="1"/>
    <col min="11" max="11" width="17.453125" style="2" bestFit="1" customWidth="1"/>
    <col min="12" max="12" width="18.81640625" style="2" bestFit="1" customWidth="1"/>
    <col min="13" max="13" width="25.26953125" style="2" bestFit="1" customWidth="1"/>
    <col min="14" max="14" width="26.1796875" style="2" bestFit="1" customWidth="1"/>
    <col min="15" max="15" width="30.36328125" style="2" bestFit="1" customWidth="1"/>
    <col min="16" max="16" width="17.36328125" bestFit="1" customWidth="1"/>
    <col min="17" max="17" width="18.6328125" style="2" bestFit="1" customWidth="1"/>
    <col min="18" max="18" width="17.26953125" style="2" bestFit="1" customWidth="1"/>
    <col min="19" max="19" width="23.08984375" style="2" bestFit="1" customWidth="1"/>
    <col min="20" max="20" width="23.36328125" style="2" bestFit="1" customWidth="1"/>
    <col min="21" max="21" width="16.08984375" style="2" bestFit="1" customWidth="1"/>
    <col min="22" max="22" width="13.1796875" style="2" bestFit="1" customWidth="1"/>
    <col min="23" max="23" width="12.81640625" style="2" bestFit="1" customWidth="1"/>
    <col min="24" max="24" width="20" style="2" bestFit="1" customWidth="1"/>
    <col min="25" max="25" width="20.6328125" style="2" bestFit="1" customWidth="1"/>
    <col min="26" max="26" width="19.26953125" style="2" bestFit="1" customWidth="1"/>
    <col min="27" max="27" width="21.26953125" style="2" bestFit="1" customWidth="1"/>
    <col min="28" max="28" width="18.1796875" style="2" bestFit="1" customWidth="1"/>
    <col min="29" max="29" width="18.81640625" style="2" bestFit="1" customWidth="1"/>
    <col min="30" max="30" width="21.26953125" style="2" bestFit="1" customWidth="1"/>
    <col min="31" max="31" width="11.08984375" style="2" bestFit="1" customWidth="1"/>
    <col min="32" max="32" width="22.453125" style="2" bestFit="1" customWidth="1"/>
    <col min="33" max="33" width="25.90625" style="2" bestFit="1" customWidth="1"/>
    <col min="34" max="34" width="31.36328125" style="2" bestFit="1" customWidth="1"/>
    <col min="35" max="35" width="17.6328125" style="2" bestFit="1" customWidth="1"/>
    <col min="36" max="36" width="10.36328125" style="2" bestFit="1" customWidth="1"/>
    <col min="37" max="37" width="14.90625" style="2" bestFit="1" customWidth="1"/>
    <col min="38" max="38" width="16.7265625" style="2" bestFit="1" customWidth="1"/>
    <col min="39" max="39" width="15.26953125" style="2" bestFit="1" customWidth="1"/>
    <col min="40" max="40" width="11.08984375" style="2" bestFit="1" customWidth="1"/>
    <col min="41" max="41" width="25.6328125" style="2" bestFit="1" customWidth="1"/>
    <col min="42" max="42" width="21.54296875" style="2" bestFit="1" customWidth="1"/>
    <col min="43" max="43" width="11.6328125" bestFit="1" customWidth="1"/>
    <col min="44" max="16384" width="9.36328125" style="2"/>
  </cols>
  <sheetData>
    <row r="1" spans="1:43" ht="26" x14ac:dyDescent="0.35">
      <c r="A1" s="39">
        <v>45689</v>
      </c>
      <c r="B1" s="39"/>
      <c r="C1" s="39"/>
      <c r="D1" s="39"/>
      <c r="E1" s="3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5">
      <c r="A2" s="3" t="s">
        <v>0</v>
      </c>
      <c r="B2" s="3" t="s">
        <v>1</v>
      </c>
      <c r="C2" s="4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3" t="s">
        <v>12</v>
      </c>
      <c r="N2" s="3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3" t="s">
        <v>18</v>
      </c>
      <c r="T2" s="3" t="s">
        <v>19</v>
      </c>
      <c r="U2" s="7" t="s">
        <v>20</v>
      </c>
      <c r="V2" s="7" t="s">
        <v>21</v>
      </c>
      <c r="W2" s="7" t="s">
        <v>22</v>
      </c>
      <c r="X2" s="3" t="s">
        <v>23</v>
      </c>
      <c r="Y2" s="6" t="s">
        <v>24</v>
      </c>
      <c r="Z2" s="3" t="s">
        <v>25</v>
      </c>
      <c r="AA2" s="6" t="s">
        <v>26</v>
      </c>
      <c r="AB2" s="3" t="s">
        <v>27</v>
      </c>
      <c r="AC2" s="6" t="s">
        <v>11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7" t="s">
        <v>37</v>
      </c>
      <c r="AN2" s="7" t="s">
        <v>29</v>
      </c>
      <c r="AO2" s="3" t="s">
        <v>38</v>
      </c>
      <c r="AP2" s="8" t="s">
        <v>39</v>
      </c>
      <c r="AQ2" s="9" t="s">
        <v>40</v>
      </c>
    </row>
    <row r="3" spans="1:43" ht="15.65" customHeight="1" x14ac:dyDescent="0.35">
      <c r="A3" s="10" t="s">
        <v>74</v>
      </c>
      <c r="B3" s="10" t="s">
        <v>46</v>
      </c>
      <c r="C3" s="11" t="s">
        <v>78</v>
      </c>
      <c r="D3" s="38" t="s">
        <v>148</v>
      </c>
      <c r="E3" s="11" t="s">
        <v>75</v>
      </c>
      <c r="F3" s="37" t="s">
        <v>76</v>
      </c>
      <c r="G3" s="12" t="s">
        <v>77</v>
      </c>
      <c r="H3" s="13">
        <v>5000</v>
      </c>
      <c r="I3" s="13">
        <v>3000</v>
      </c>
      <c r="J3" s="13">
        <v>0</v>
      </c>
      <c r="K3" s="14">
        <v>1</v>
      </c>
      <c r="L3" s="15">
        <f t="shared" ref="L3:L31" si="0">+I3*K3</f>
        <v>3000</v>
      </c>
      <c r="M3" s="15">
        <v>0</v>
      </c>
      <c r="N3" s="15">
        <f t="shared" ref="N3:N31" si="1">30-X3</f>
        <v>30</v>
      </c>
      <c r="O3" s="15">
        <v>0</v>
      </c>
      <c r="P3" s="16">
        <f t="shared" ref="P3:P31" si="2">H3/30</f>
        <v>166.66666666666666</v>
      </c>
      <c r="Q3" s="16">
        <f t="shared" ref="Q3:Q31" si="3">L3/30</f>
        <v>100</v>
      </c>
      <c r="R3" s="16">
        <f>(I3+H3)/30</f>
        <v>266.66666666666669</v>
      </c>
      <c r="S3" s="16">
        <f t="shared" ref="S3:S31" si="4">+P3/8</f>
        <v>20.833333333333332</v>
      </c>
      <c r="T3" s="15">
        <v>30</v>
      </c>
      <c r="U3" s="15">
        <f t="shared" ref="U3:U31" si="5">+S3*T3</f>
        <v>625</v>
      </c>
      <c r="V3" s="15">
        <v>700</v>
      </c>
      <c r="W3" s="17">
        <f t="shared" ref="W3:W31" si="6">H3+L3+O3+U3+V3+J3</f>
        <v>9325</v>
      </c>
      <c r="X3" s="18">
        <v>0</v>
      </c>
      <c r="Y3" s="19">
        <f>P3*X3</f>
        <v>0</v>
      </c>
      <c r="Z3" s="20">
        <v>0</v>
      </c>
      <c r="AA3" s="19">
        <f t="shared" ref="AA3:AA31" si="7">Z3*P3</f>
        <v>0</v>
      </c>
      <c r="AB3" s="19">
        <v>0</v>
      </c>
      <c r="AC3" s="19">
        <f t="shared" ref="AC3:AC31" si="8">Q3*AB3</f>
        <v>0</v>
      </c>
      <c r="AD3" s="21">
        <f t="shared" ref="AD3:AD31" si="9">Y3+AA3+AC3</f>
        <v>0</v>
      </c>
      <c r="AE3" s="22">
        <f t="shared" ref="AE3:AE31" si="10">W3-AD3</f>
        <v>9325</v>
      </c>
      <c r="AF3" s="23">
        <f t="shared" ref="AF3:AF30" si="11">7000/1.3</f>
        <v>5384.6153846153848</v>
      </c>
      <c r="AG3" s="23">
        <f t="shared" ref="AG3:AG31" si="12">+AF3*0.11</f>
        <v>592.30769230769238</v>
      </c>
      <c r="AH3" s="24">
        <v>1666.6666666666667</v>
      </c>
      <c r="AI3" s="24">
        <f t="shared" ref="AI3:AI31" si="13">(AE3-AG3-AH3)*12</f>
        <v>84792.307692307702</v>
      </c>
      <c r="AJ3" s="24">
        <f t="shared" ref="AJ3:AJ31" si="14">IF(AND(AI3&gt;40000,AI3&lt;=55000),(AI3-40000)*10%,
IF(AND(AI3&gt;55000,AI3&lt;=70000),(AI3-55000)*15%+15000*10%,
IF(AND(AI3&gt;70000,AI3&lt;=200000),(AI3-70000)*20%+15000*10%+15000*15%,
IF(AND(AI3&gt;200000,AI3&lt;=400000),(AI3-200000)*22.5%+15000*10%+15000*15%+130000*20%,
IF(AND(AI3&gt;400000,AI3&lt;=600000),(AI3-400000)*25%+15000*10%+15000*15%+130000*20%+200000*22.5%,
IF(AND(AI3&gt;600000,AI3&lt;=700000),(AI3-400000)*25%+55000*10%+15000*15%+130000*20%+200000*22.5%,
IF(AND(AI3&gt;700000,AI3&lt;=800000),(AI3-400000)*25%+70000*15%+130000*20%+200000*22.5%,
IF(AND(AI3&gt;800000,AI3&lt;=900000),(AI3-400000)*25%+200000*20%+200000*22.5%,
IF(AND(AI3&gt;900000,AI3&lt;=1200000),(AI3-400000)*25%+400000*22.5%,
IF(AI3&gt;1200000,(AI3-1200000)*27.5%+1200000*25%))))))))))/12</f>
        <v>559.03846153846177</v>
      </c>
      <c r="AK3" s="23">
        <f t="shared" ref="AK3:AK31" si="15">+AE3*0.0005</f>
        <v>4.6625000000000005</v>
      </c>
      <c r="AL3" s="22">
        <f t="shared" ref="AL3:AL31" si="16">+AE3-AG3-AJ3-AK3</f>
        <v>8168.9913461538463</v>
      </c>
      <c r="AM3" s="23">
        <v>0</v>
      </c>
      <c r="AN3" s="22">
        <f t="shared" ref="AN3:AN31" si="17">+AL3-AM3</f>
        <v>8168.9913461538463</v>
      </c>
      <c r="AO3" s="24">
        <f t="shared" ref="AO3:AO31" si="18">+AF3*0.1875</f>
        <v>1009.6153846153846</v>
      </c>
      <c r="AP3" s="25"/>
      <c r="AQ3" s="26">
        <f t="shared" ref="AQ3:AQ31" si="19">AE3+AO3</f>
        <v>10334.615384615385</v>
      </c>
    </row>
    <row r="4" spans="1:43" ht="15.65" customHeight="1" x14ac:dyDescent="0.35">
      <c r="A4" s="10" t="s">
        <v>74</v>
      </c>
      <c r="B4" s="10" t="s">
        <v>47</v>
      </c>
      <c r="C4" s="11" t="s">
        <v>95</v>
      </c>
      <c r="D4" s="38" t="s">
        <v>148</v>
      </c>
      <c r="E4" s="11" t="s">
        <v>79</v>
      </c>
      <c r="F4" s="37" t="s">
        <v>91</v>
      </c>
      <c r="G4" s="12" t="s">
        <v>41</v>
      </c>
      <c r="H4" s="13">
        <v>4000</v>
      </c>
      <c r="I4" s="13">
        <v>3000</v>
      </c>
      <c r="J4" s="13">
        <v>0</v>
      </c>
      <c r="K4" s="14">
        <v>1</v>
      </c>
      <c r="L4" s="15">
        <f t="shared" si="0"/>
        <v>3000</v>
      </c>
      <c r="M4" s="15">
        <v>0</v>
      </c>
      <c r="N4" s="15">
        <f t="shared" si="1"/>
        <v>30</v>
      </c>
      <c r="O4" s="15">
        <v>0</v>
      </c>
      <c r="P4" s="16">
        <f t="shared" si="2"/>
        <v>133.33333333333334</v>
      </c>
      <c r="Q4" s="16">
        <f t="shared" si="3"/>
        <v>100</v>
      </c>
      <c r="R4" s="16">
        <f t="shared" ref="R4:R31" si="20">(I4+H4)/30</f>
        <v>233.33333333333334</v>
      </c>
      <c r="S4" s="16">
        <f t="shared" si="4"/>
        <v>16.666666666666668</v>
      </c>
      <c r="T4" s="15">
        <v>30</v>
      </c>
      <c r="U4" s="15">
        <f t="shared" si="5"/>
        <v>500.00000000000006</v>
      </c>
      <c r="V4" s="15"/>
      <c r="W4" s="17">
        <f t="shared" si="6"/>
        <v>7500</v>
      </c>
      <c r="X4" s="18">
        <v>0</v>
      </c>
      <c r="Y4" s="19">
        <f t="shared" ref="Y4:Y31" si="21">P4*X4</f>
        <v>0</v>
      </c>
      <c r="Z4" s="20">
        <v>0</v>
      </c>
      <c r="AA4" s="19">
        <f t="shared" si="7"/>
        <v>0</v>
      </c>
      <c r="AB4" s="19">
        <v>0</v>
      </c>
      <c r="AC4" s="19">
        <f t="shared" si="8"/>
        <v>0</v>
      </c>
      <c r="AD4" s="21">
        <f t="shared" si="9"/>
        <v>0</v>
      </c>
      <c r="AE4" s="22">
        <f t="shared" si="10"/>
        <v>7500</v>
      </c>
      <c r="AF4" s="23">
        <f t="shared" si="11"/>
        <v>5384.6153846153848</v>
      </c>
      <c r="AG4" s="23">
        <f t="shared" si="12"/>
        <v>592.30769230769238</v>
      </c>
      <c r="AH4" s="24">
        <v>1666.6666666666667</v>
      </c>
      <c r="AI4" s="24">
        <f t="shared" si="13"/>
        <v>62892.307692307688</v>
      </c>
      <c r="AJ4" s="24">
        <f t="shared" si="14"/>
        <v>223.6538461538461</v>
      </c>
      <c r="AK4" s="23">
        <f t="shared" si="15"/>
        <v>3.75</v>
      </c>
      <c r="AL4" s="22">
        <f t="shared" si="16"/>
        <v>6680.2884615384619</v>
      </c>
      <c r="AM4" s="23">
        <v>0</v>
      </c>
      <c r="AN4" s="22">
        <f t="shared" si="17"/>
        <v>6680.2884615384619</v>
      </c>
      <c r="AO4" s="24">
        <f t="shared" si="18"/>
        <v>1009.6153846153846</v>
      </c>
      <c r="AP4" s="25"/>
      <c r="AQ4" s="26">
        <f t="shared" si="19"/>
        <v>8509.6153846153848</v>
      </c>
    </row>
    <row r="5" spans="1:43" ht="15.65" customHeight="1" x14ac:dyDescent="0.35">
      <c r="A5" s="10" t="s">
        <v>74</v>
      </c>
      <c r="B5" s="10" t="s">
        <v>48</v>
      </c>
      <c r="C5" s="11" t="s">
        <v>96</v>
      </c>
      <c r="D5" s="38" t="s">
        <v>148</v>
      </c>
      <c r="E5" s="11" t="s">
        <v>80</v>
      </c>
      <c r="F5" s="37" t="s">
        <v>87</v>
      </c>
      <c r="G5" s="12" t="s">
        <v>41</v>
      </c>
      <c r="H5" s="13">
        <v>4000</v>
      </c>
      <c r="I5" s="13">
        <v>3000</v>
      </c>
      <c r="J5" s="13">
        <v>0</v>
      </c>
      <c r="K5" s="14">
        <v>1</v>
      </c>
      <c r="L5" s="15">
        <f t="shared" si="0"/>
        <v>3000</v>
      </c>
      <c r="M5" s="15">
        <v>0</v>
      </c>
      <c r="N5" s="15">
        <f t="shared" si="1"/>
        <v>30</v>
      </c>
      <c r="O5" s="15">
        <v>0</v>
      </c>
      <c r="P5" s="16">
        <f t="shared" si="2"/>
        <v>133.33333333333334</v>
      </c>
      <c r="Q5" s="16">
        <f t="shared" si="3"/>
        <v>100</v>
      </c>
      <c r="R5" s="16">
        <f t="shared" si="20"/>
        <v>233.33333333333334</v>
      </c>
      <c r="S5" s="16">
        <f t="shared" si="4"/>
        <v>16.666666666666668</v>
      </c>
      <c r="T5" s="15">
        <v>30</v>
      </c>
      <c r="U5" s="15">
        <f t="shared" si="5"/>
        <v>500.00000000000006</v>
      </c>
      <c r="V5" s="15"/>
      <c r="W5" s="17">
        <f t="shared" si="6"/>
        <v>7500</v>
      </c>
      <c r="X5" s="18">
        <v>0</v>
      </c>
      <c r="Y5" s="19">
        <f t="shared" si="21"/>
        <v>0</v>
      </c>
      <c r="Z5" s="20">
        <v>0</v>
      </c>
      <c r="AA5" s="19">
        <f t="shared" si="7"/>
        <v>0</v>
      </c>
      <c r="AB5" s="19">
        <v>0</v>
      </c>
      <c r="AC5" s="19">
        <f t="shared" si="8"/>
        <v>0</v>
      </c>
      <c r="AD5" s="21">
        <f t="shared" si="9"/>
        <v>0</v>
      </c>
      <c r="AE5" s="22">
        <f t="shared" si="10"/>
        <v>7500</v>
      </c>
      <c r="AF5" s="23">
        <f t="shared" si="11"/>
        <v>5384.6153846153848</v>
      </c>
      <c r="AG5" s="23">
        <f t="shared" si="12"/>
        <v>592.30769230769238</v>
      </c>
      <c r="AH5" s="24">
        <v>1666.6666666666667</v>
      </c>
      <c r="AI5" s="24">
        <f t="shared" si="13"/>
        <v>62892.307692307688</v>
      </c>
      <c r="AJ5" s="24">
        <f t="shared" si="14"/>
        <v>223.6538461538461</v>
      </c>
      <c r="AK5" s="23">
        <f t="shared" si="15"/>
        <v>3.75</v>
      </c>
      <c r="AL5" s="22">
        <f t="shared" si="16"/>
        <v>6680.2884615384619</v>
      </c>
      <c r="AM5" s="23">
        <v>0</v>
      </c>
      <c r="AN5" s="22">
        <f t="shared" si="17"/>
        <v>6680.2884615384619</v>
      </c>
      <c r="AO5" s="24">
        <f t="shared" si="18"/>
        <v>1009.6153846153846</v>
      </c>
      <c r="AP5" s="25"/>
      <c r="AQ5" s="26">
        <f t="shared" si="19"/>
        <v>8509.6153846153848</v>
      </c>
    </row>
    <row r="6" spans="1:43" ht="15.65" customHeight="1" x14ac:dyDescent="0.35">
      <c r="A6" s="10" t="s">
        <v>74</v>
      </c>
      <c r="B6" s="10" t="s">
        <v>49</v>
      </c>
      <c r="C6" s="11" t="s">
        <v>97</v>
      </c>
      <c r="D6" s="38" t="s">
        <v>148</v>
      </c>
      <c r="E6" s="11" t="s">
        <v>81</v>
      </c>
      <c r="F6" s="37" t="s">
        <v>88</v>
      </c>
      <c r="G6" s="12" t="s">
        <v>41</v>
      </c>
      <c r="H6" s="13">
        <v>4000</v>
      </c>
      <c r="I6" s="13">
        <v>3000</v>
      </c>
      <c r="J6" s="13">
        <v>0</v>
      </c>
      <c r="K6" s="14">
        <v>1</v>
      </c>
      <c r="L6" s="15">
        <f t="shared" si="0"/>
        <v>3000</v>
      </c>
      <c r="M6" s="15">
        <v>0</v>
      </c>
      <c r="N6" s="15">
        <f t="shared" si="1"/>
        <v>30</v>
      </c>
      <c r="O6" s="15">
        <v>0</v>
      </c>
      <c r="P6" s="16">
        <f t="shared" si="2"/>
        <v>133.33333333333334</v>
      </c>
      <c r="Q6" s="16">
        <f t="shared" si="3"/>
        <v>100</v>
      </c>
      <c r="R6" s="16">
        <f t="shared" si="20"/>
        <v>233.33333333333334</v>
      </c>
      <c r="S6" s="16">
        <f t="shared" si="4"/>
        <v>16.666666666666668</v>
      </c>
      <c r="T6" s="15">
        <v>30</v>
      </c>
      <c r="U6" s="15">
        <f t="shared" si="5"/>
        <v>500.00000000000006</v>
      </c>
      <c r="V6" s="15">
        <v>300</v>
      </c>
      <c r="W6" s="17">
        <f t="shared" si="6"/>
        <v>7800</v>
      </c>
      <c r="X6" s="18">
        <v>0</v>
      </c>
      <c r="Y6" s="19">
        <f t="shared" si="21"/>
        <v>0</v>
      </c>
      <c r="Z6" s="20">
        <v>0</v>
      </c>
      <c r="AA6" s="19">
        <f t="shared" si="7"/>
        <v>0</v>
      </c>
      <c r="AB6" s="19">
        <v>0</v>
      </c>
      <c r="AC6" s="19">
        <f t="shared" si="8"/>
        <v>0</v>
      </c>
      <c r="AD6" s="21">
        <f t="shared" si="9"/>
        <v>0</v>
      </c>
      <c r="AE6" s="22">
        <f t="shared" si="10"/>
        <v>7800</v>
      </c>
      <c r="AF6" s="23">
        <f t="shared" si="11"/>
        <v>5384.6153846153848</v>
      </c>
      <c r="AG6" s="23">
        <f t="shared" si="12"/>
        <v>592.30769230769238</v>
      </c>
      <c r="AH6" s="24">
        <v>1666.6666666666667</v>
      </c>
      <c r="AI6" s="24">
        <f t="shared" si="13"/>
        <v>66492.307692307688</v>
      </c>
      <c r="AJ6" s="24">
        <f t="shared" si="14"/>
        <v>268.65384615384613</v>
      </c>
      <c r="AK6" s="23">
        <f t="shared" si="15"/>
        <v>3.9</v>
      </c>
      <c r="AL6" s="22">
        <f t="shared" si="16"/>
        <v>6935.1384615384623</v>
      </c>
      <c r="AM6" s="23">
        <v>0</v>
      </c>
      <c r="AN6" s="22">
        <f t="shared" si="17"/>
        <v>6935.1384615384623</v>
      </c>
      <c r="AO6" s="24">
        <f t="shared" si="18"/>
        <v>1009.6153846153846</v>
      </c>
      <c r="AP6" s="25"/>
      <c r="AQ6" s="26">
        <f t="shared" si="19"/>
        <v>8809.6153846153848</v>
      </c>
    </row>
    <row r="7" spans="1:43" ht="15.65" customHeight="1" x14ac:dyDescent="0.35">
      <c r="A7" s="10" t="s">
        <v>74</v>
      </c>
      <c r="B7" s="10" t="s">
        <v>50</v>
      </c>
      <c r="C7" s="11" t="s">
        <v>98</v>
      </c>
      <c r="D7" s="38" t="s">
        <v>148</v>
      </c>
      <c r="E7" s="11" t="s">
        <v>82</v>
      </c>
      <c r="F7" s="37" t="s">
        <v>89</v>
      </c>
      <c r="G7" s="12" t="s">
        <v>41</v>
      </c>
      <c r="H7" s="13">
        <v>4000</v>
      </c>
      <c r="I7" s="13">
        <v>3000</v>
      </c>
      <c r="J7" s="13">
        <v>0</v>
      </c>
      <c r="K7" s="14">
        <v>1</v>
      </c>
      <c r="L7" s="15">
        <f t="shared" si="0"/>
        <v>3000</v>
      </c>
      <c r="M7" s="15">
        <v>0</v>
      </c>
      <c r="N7" s="15">
        <f t="shared" si="1"/>
        <v>30</v>
      </c>
      <c r="O7" s="15">
        <v>0</v>
      </c>
      <c r="P7" s="16">
        <f t="shared" si="2"/>
        <v>133.33333333333334</v>
      </c>
      <c r="Q7" s="16">
        <f t="shared" si="3"/>
        <v>100</v>
      </c>
      <c r="R7" s="16">
        <f t="shared" si="20"/>
        <v>233.33333333333334</v>
      </c>
      <c r="S7" s="16">
        <f t="shared" si="4"/>
        <v>16.666666666666668</v>
      </c>
      <c r="T7" s="15">
        <v>30</v>
      </c>
      <c r="U7" s="15">
        <f t="shared" si="5"/>
        <v>500.00000000000006</v>
      </c>
      <c r="V7" s="15">
        <v>300</v>
      </c>
      <c r="W7" s="17">
        <f t="shared" si="6"/>
        <v>7800</v>
      </c>
      <c r="X7" s="18">
        <v>0</v>
      </c>
      <c r="Y7" s="19">
        <f t="shared" si="21"/>
        <v>0</v>
      </c>
      <c r="Z7" s="20">
        <v>0</v>
      </c>
      <c r="AA7" s="19">
        <f t="shared" si="7"/>
        <v>0</v>
      </c>
      <c r="AB7" s="19">
        <v>0</v>
      </c>
      <c r="AC7" s="19">
        <f t="shared" si="8"/>
        <v>0</v>
      </c>
      <c r="AD7" s="21">
        <f t="shared" si="9"/>
        <v>0</v>
      </c>
      <c r="AE7" s="22">
        <f t="shared" si="10"/>
        <v>7800</v>
      </c>
      <c r="AF7" s="23">
        <f t="shared" si="11"/>
        <v>5384.6153846153848</v>
      </c>
      <c r="AG7" s="23">
        <f t="shared" si="12"/>
        <v>592.30769230769238</v>
      </c>
      <c r="AH7" s="24">
        <v>1666.6666666666667</v>
      </c>
      <c r="AI7" s="24">
        <f t="shared" si="13"/>
        <v>66492.307692307688</v>
      </c>
      <c r="AJ7" s="24">
        <f t="shared" si="14"/>
        <v>268.65384615384613</v>
      </c>
      <c r="AK7" s="23">
        <f t="shared" si="15"/>
        <v>3.9</v>
      </c>
      <c r="AL7" s="22">
        <f t="shared" si="16"/>
        <v>6935.1384615384623</v>
      </c>
      <c r="AM7" s="23">
        <v>0</v>
      </c>
      <c r="AN7" s="22">
        <f t="shared" si="17"/>
        <v>6935.1384615384623</v>
      </c>
      <c r="AO7" s="24">
        <f t="shared" si="18"/>
        <v>1009.6153846153846</v>
      </c>
      <c r="AP7" s="25"/>
      <c r="AQ7" s="26">
        <f t="shared" si="19"/>
        <v>8809.6153846153848</v>
      </c>
    </row>
    <row r="8" spans="1:43" ht="15.65" customHeight="1" x14ac:dyDescent="0.35">
      <c r="A8" s="10" t="s">
        <v>74</v>
      </c>
      <c r="B8" s="10" t="s">
        <v>51</v>
      </c>
      <c r="C8" s="11" t="s">
        <v>99</v>
      </c>
      <c r="D8" s="38" t="s">
        <v>148</v>
      </c>
      <c r="E8" s="11" t="s">
        <v>83</v>
      </c>
      <c r="F8" s="37" t="s">
        <v>92</v>
      </c>
      <c r="G8" s="12" t="s">
        <v>41</v>
      </c>
      <c r="H8" s="13">
        <v>4000</v>
      </c>
      <c r="I8" s="13">
        <v>3000</v>
      </c>
      <c r="J8" s="13">
        <v>0</v>
      </c>
      <c r="K8" s="14">
        <v>1</v>
      </c>
      <c r="L8" s="15">
        <f t="shared" si="0"/>
        <v>3000</v>
      </c>
      <c r="M8" s="15">
        <v>0</v>
      </c>
      <c r="N8" s="15">
        <f t="shared" si="1"/>
        <v>30</v>
      </c>
      <c r="O8" s="15">
        <v>0</v>
      </c>
      <c r="P8" s="16">
        <f t="shared" si="2"/>
        <v>133.33333333333334</v>
      </c>
      <c r="Q8" s="16">
        <f t="shared" si="3"/>
        <v>100</v>
      </c>
      <c r="R8" s="16">
        <f t="shared" si="20"/>
        <v>233.33333333333334</v>
      </c>
      <c r="S8" s="16">
        <f t="shared" si="4"/>
        <v>16.666666666666668</v>
      </c>
      <c r="T8" s="15">
        <v>45</v>
      </c>
      <c r="U8" s="15">
        <f t="shared" si="5"/>
        <v>750</v>
      </c>
      <c r="V8" s="15">
        <v>0</v>
      </c>
      <c r="W8" s="17">
        <f t="shared" si="6"/>
        <v>7750</v>
      </c>
      <c r="X8" s="18">
        <v>0</v>
      </c>
      <c r="Y8" s="19">
        <f t="shared" si="21"/>
        <v>0</v>
      </c>
      <c r="Z8" s="20">
        <v>0</v>
      </c>
      <c r="AA8" s="19">
        <f t="shared" si="7"/>
        <v>0</v>
      </c>
      <c r="AB8" s="19">
        <v>0</v>
      </c>
      <c r="AC8" s="19">
        <f t="shared" si="8"/>
        <v>0</v>
      </c>
      <c r="AD8" s="21">
        <f t="shared" si="9"/>
        <v>0</v>
      </c>
      <c r="AE8" s="22">
        <f t="shared" si="10"/>
        <v>7750</v>
      </c>
      <c r="AF8" s="23">
        <f t="shared" si="11"/>
        <v>5384.6153846153848</v>
      </c>
      <c r="AG8" s="23">
        <f t="shared" si="12"/>
        <v>592.30769230769238</v>
      </c>
      <c r="AH8" s="24">
        <v>1666.6666666666667</v>
      </c>
      <c r="AI8" s="24">
        <f t="shared" si="13"/>
        <v>65892.307692307688</v>
      </c>
      <c r="AJ8" s="24">
        <f t="shared" si="14"/>
        <v>261.15384615384613</v>
      </c>
      <c r="AK8" s="23">
        <f t="shared" si="15"/>
        <v>3.875</v>
      </c>
      <c r="AL8" s="22">
        <f t="shared" si="16"/>
        <v>6892.6634615384619</v>
      </c>
      <c r="AM8" s="23">
        <v>0</v>
      </c>
      <c r="AN8" s="22">
        <f t="shared" si="17"/>
        <v>6892.6634615384619</v>
      </c>
      <c r="AO8" s="24">
        <f t="shared" si="18"/>
        <v>1009.6153846153846</v>
      </c>
      <c r="AP8" s="25"/>
      <c r="AQ8" s="26">
        <f t="shared" si="19"/>
        <v>8759.6153846153848</v>
      </c>
    </row>
    <row r="9" spans="1:43" ht="15.65" customHeight="1" x14ac:dyDescent="0.35">
      <c r="A9" s="10" t="s">
        <v>74</v>
      </c>
      <c r="B9" s="10" t="s">
        <v>52</v>
      </c>
      <c r="C9" s="37" t="s">
        <v>100</v>
      </c>
      <c r="D9" s="38" t="s">
        <v>148</v>
      </c>
      <c r="E9" s="11" t="s">
        <v>84</v>
      </c>
      <c r="F9" s="37" t="s">
        <v>90</v>
      </c>
      <c r="G9" s="12" t="s">
        <v>41</v>
      </c>
      <c r="H9" s="13">
        <v>4000</v>
      </c>
      <c r="I9" s="13">
        <v>3000</v>
      </c>
      <c r="J9" s="13">
        <v>0</v>
      </c>
      <c r="K9" s="14">
        <v>1</v>
      </c>
      <c r="L9" s="15">
        <f t="shared" si="0"/>
        <v>3000</v>
      </c>
      <c r="M9" s="15">
        <v>0</v>
      </c>
      <c r="N9" s="15">
        <f t="shared" si="1"/>
        <v>16</v>
      </c>
      <c r="O9" s="15">
        <v>0</v>
      </c>
      <c r="P9" s="16">
        <f t="shared" si="2"/>
        <v>133.33333333333334</v>
      </c>
      <c r="Q9" s="16">
        <f t="shared" si="3"/>
        <v>100</v>
      </c>
      <c r="R9" s="16">
        <f t="shared" si="20"/>
        <v>233.33333333333334</v>
      </c>
      <c r="S9" s="16">
        <f t="shared" si="4"/>
        <v>16.666666666666668</v>
      </c>
      <c r="T9" s="15">
        <v>15</v>
      </c>
      <c r="U9" s="15">
        <f t="shared" si="5"/>
        <v>250.00000000000003</v>
      </c>
      <c r="V9" s="15">
        <v>0</v>
      </c>
      <c r="W9" s="17">
        <f t="shared" si="6"/>
        <v>7250</v>
      </c>
      <c r="X9" s="18">
        <v>14</v>
      </c>
      <c r="Y9" s="19">
        <f t="shared" si="21"/>
        <v>1866.6666666666667</v>
      </c>
      <c r="Z9" s="20">
        <v>0</v>
      </c>
      <c r="AA9" s="19">
        <f t="shared" si="7"/>
        <v>0</v>
      </c>
      <c r="AB9" s="19">
        <v>0</v>
      </c>
      <c r="AC9" s="19">
        <f t="shared" si="8"/>
        <v>0</v>
      </c>
      <c r="AD9" s="21">
        <f t="shared" si="9"/>
        <v>1866.6666666666667</v>
      </c>
      <c r="AE9" s="22">
        <f t="shared" si="10"/>
        <v>5383.333333333333</v>
      </c>
      <c r="AF9" s="23">
        <v>0</v>
      </c>
      <c r="AG9" s="23">
        <f t="shared" si="12"/>
        <v>0</v>
      </c>
      <c r="AH9" s="24">
        <v>1666.6666666666667</v>
      </c>
      <c r="AI9" s="24">
        <f t="shared" si="13"/>
        <v>44599.999999999993</v>
      </c>
      <c r="AJ9" s="24">
        <f t="shared" si="14"/>
        <v>38.333333333333279</v>
      </c>
      <c r="AK9" s="23">
        <f t="shared" si="15"/>
        <v>2.6916666666666664</v>
      </c>
      <c r="AL9" s="22">
        <f t="shared" si="16"/>
        <v>5342.3083333333334</v>
      </c>
      <c r="AM9" s="23">
        <v>0</v>
      </c>
      <c r="AN9" s="22">
        <f t="shared" si="17"/>
        <v>5342.3083333333334</v>
      </c>
      <c r="AO9" s="24">
        <f t="shared" si="18"/>
        <v>0</v>
      </c>
      <c r="AP9" s="25"/>
      <c r="AQ9" s="26">
        <f t="shared" si="19"/>
        <v>5383.333333333333</v>
      </c>
    </row>
    <row r="10" spans="1:43" ht="15.65" customHeight="1" x14ac:dyDescent="0.35">
      <c r="A10" s="10" t="s">
        <v>74</v>
      </c>
      <c r="B10" s="10" t="s">
        <v>53</v>
      </c>
      <c r="C10" s="37" t="s">
        <v>101</v>
      </c>
      <c r="D10" s="38" t="s">
        <v>148</v>
      </c>
      <c r="E10" s="11" t="s">
        <v>85</v>
      </c>
      <c r="F10" s="37" t="s">
        <v>93</v>
      </c>
      <c r="G10" s="12" t="s">
        <v>41</v>
      </c>
      <c r="H10" s="13">
        <v>4000</v>
      </c>
      <c r="I10" s="13">
        <v>3000</v>
      </c>
      <c r="J10" s="13">
        <v>0</v>
      </c>
      <c r="K10" s="14">
        <v>1</v>
      </c>
      <c r="L10" s="15">
        <f t="shared" si="0"/>
        <v>3000</v>
      </c>
      <c r="M10" s="15">
        <v>0</v>
      </c>
      <c r="N10" s="15">
        <f t="shared" si="1"/>
        <v>8</v>
      </c>
      <c r="O10" s="15">
        <v>0</v>
      </c>
      <c r="P10" s="16">
        <f t="shared" si="2"/>
        <v>133.33333333333334</v>
      </c>
      <c r="Q10" s="16">
        <f t="shared" si="3"/>
        <v>100</v>
      </c>
      <c r="R10" s="16">
        <f t="shared" si="20"/>
        <v>233.33333333333334</v>
      </c>
      <c r="S10" s="16">
        <f t="shared" si="4"/>
        <v>16.666666666666668</v>
      </c>
      <c r="T10" s="15">
        <v>0</v>
      </c>
      <c r="U10" s="15">
        <f t="shared" si="5"/>
        <v>0</v>
      </c>
      <c r="V10" s="15">
        <v>0</v>
      </c>
      <c r="W10" s="17">
        <f t="shared" si="6"/>
        <v>7000</v>
      </c>
      <c r="X10" s="18">
        <v>22</v>
      </c>
      <c r="Y10" s="19">
        <f t="shared" si="21"/>
        <v>2933.3333333333335</v>
      </c>
      <c r="Z10" s="20">
        <v>1</v>
      </c>
      <c r="AA10" s="19">
        <f t="shared" si="7"/>
        <v>133.33333333333334</v>
      </c>
      <c r="AB10" s="19">
        <v>0</v>
      </c>
      <c r="AC10" s="19">
        <f t="shared" si="8"/>
        <v>0</v>
      </c>
      <c r="AD10" s="21">
        <f t="shared" si="9"/>
        <v>3066.666666666667</v>
      </c>
      <c r="AE10" s="22">
        <f t="shared" si="10"/>
        <v>3933.333333333333</v>
      </c>
      <c r="AF10" s="23">
        <v>0</v>
      </c>
      <c r="AG10" s="23">
        <f t="shared" si="12"/>
        <v>0</v>
      </c>
      <c r="AH10" s="24">
        <v>1666.6666666666667</v>
      </c>
      <c r="AI10" s="24">
        <f t="shared" si="13"/>
        <v>27199.999999999993</v>
      </c>
      <c r="AJ10" s="24">
        <f t="shared" si="14"/>
        <v>0</v>
      </c>
      <c r="AK10" s="23">
        <f t="shared" si="15"/>
        <v>1.9666666666666666</v>
      </c>
      <c r="AL10" s="22">
        <f t="shared" si="16"/>
        <v>3931.3666666666663</v>
      </c>
      <c r="AM10" s="23">
        <v>0</v>
      </c>
      <c r="AN10" s="22">
        <f t="shared" si="17"/>
        <v>3931.3666666666663</v>
      </c>
      <c r="AO10" s="24">
        <f t="shared" si="18"/>
        <v>0</v>
      </c>
      <c r="AP10" s="25"/>
      <c r="AQ10" s="26">
        <f t="shared" si="19"/>
        <v>3933.333333333333</v>
      </c>
    </row>
    <row r="11" spans="1:43" ht="15.65" customHeight="1" x14ac:dyDescent="0.35">
      <c r="A11" s="10" t="s">
        <v>74</v>
      </c>
      <c r="B11" s="10" t="s">
        <v>54</v>
      </c>
      <c r="C11" s="37" t="s">
        <v>102</v>
      </c>
      <c r="D11" s="38" t="s">
        <v>148</v>
      </c>
      <c r="E11" s="11" t="s">
        <v>86</v>
      </c>
      <c r="F11" s="37" t="s">
        <v>94</v>
      </c>
      <c r="G11" s="12" t="s">
        <v>41</v>
      </c>
      <c r="H11" s="13">
        <v>4000</v>
      </c>
      <c r="I11" s="13">
        <v>3000</v>
      </c>
      <c r="J11" s="13">
        <v>0</v>
      </c>
      <c r="K11" s="14">
        <v>1</v>
      </c>
      <c r="L11" s="15">
        <f t="shared" si="0"/>
        <v>3000</v>
      </c>
      <c r="M11" s="15">
        <v>0</v>
      </c>
      <c r="N11" s="15">
        <f t="shared" si="1"/>
        <v>5</v>
      </c>
      <c r="O11" s="15">
        <v>0</v>
      </c>
      <c r="P11" s="16">
        <f t="shared" si="2"/>
        <v>133.33333333333334</v>
      </c>
      <c r="Q11" s="16">
        <f t="shared" si="3"/>
        <v>100</v>
      </c>
      <c r="R11" s="16">
        <f t="shared" si="20"/>
        <v>233.33333333333334</v>
      </c>
      <c r="S11" s="16">
        <f t="shared" si="4"/>
        <v>16.666666666666668</v>
      </c>
      <c r="T11" s="15">
        <v>2</v>
      </c>
      <c r="U11" s="15">
        <f t="shared" si="5"/>
        <v>33.333333333333336</v>
      </c>
      <c r="V11" s="15">
        <v>0</v>
      </c>
      <c r="W11" s="17">
        <f t="shared" si="6"/>
        <v>7033.333333333333</v>
      </c>
      <c r="X11" s="18">
        <v>25</v>
      </c>
      <c r="Y11" s="19">
        <f t="shared" si="21"/>
        <v>3333.3333333333335</v>
      </c>
      <c r="Z11" s="20">
        <v>0</v>
      </c>
      <c r="AA11" s="19">
        <f t="shared" si="7"/>
        <v>0</v>
      </c>
      <c r="AB11" s="19">
        <v>0</v>
      </c>
      <c r="AC11" s="19">
        <f t="shared" si="8"/>
        <v>0</v>
      </c>
      <c r="AD11" s="21">
        <f t="shared" si="9"/>
        <v>3333.3333333333335</v>
      </c>
      <c r="AE11" s="22">
        <f t="shared" si="10"/>
        <v>3699.9999999999995</v>
      </c>
      <c r="AF11" s="23">
        <v>0</v>
      </c>
      <c r="AG11" s="23">
        <f t="shared" si="12"/>
        <v>0</v>
      </c>
      <c r="AH11" s="24">
        <v>1666.6666666666667</v>
      </c>
      <c r="AI11" s="24">
        <f t="shared" si="13"/>
        <v>24399.999999999993</v>
      </c>
      <c r="AJ11" s="24">
        <f t="shared" si="14"/>
        <v>0</v>
      </c>
      <c r="AK11" s="23">
        <f t="shared" si="15"/>
        <v>1.8499999999999999</v>
      </c>
      <c r="AL11" s="22">
        <f t="shared" si="16"/>
        <v>3698.1499999999996</v>
      </c>
      <c r="AM11" s="23">
        <v>0</v>
      </c>
      <c r="AN11" s="22">
        <f t="shared" si="17"/>
        <v>3698.1499999999996</v>
      </c>
      <c r="AO11" s="24">
        <f t="shared" si="18"/>
        <v>0</v>
      </c>
      <c r="AP11" s="25"/>
      <c r="AQ11" s="26">
        <f t="shared" si="19"/>
        <v>3699.9999999999995</v>
      </c>
    </row>
    <row r="12" spans="1:43" ht="15.65" customHeight="1" x14ac:dyDescent="0.35">
      <c r="A12" s="10" t="s">
        <v>74</v>
      </c>
      <c r="B12" s="10" t="s">
        <v>55</v>
      </c>
      <c r="C12" s="37" t="s">
        <v>104</v>
      </c>
      <c r="D12" s="38" t="s">
        <v>148</v>
      </c>
      <c r="E12" s="11" t="s">
        <v>103</v>
      </c>
      <c r="F12" s="37" t="s">
        <v>105</v>
      </c>
      <c r="G12" s="12" t="s">
        <v>41</v>
      </c>
      <c r="H12" s="13">
        <v>4000</v>
      </c>
      <c r="I12" s="13">
        <v>3000</v>
      </c>
      <c r="J12" s="13">
        <v>0</v>
      </c>
      <c r="K12" s="14">
        <v>1</v>
      </c>
      <c r="L12" s="15">
        <f t="shared" si="0"/>
        <v>3000</v>
      </c>
      <c r="M12" s="15">
        <v>0</v>
      </c>
      <c r="N12" s="15">
        <f t="shared" si="1"/>
        <v>15</v>
      </c>
      <c r="O12" s="15">
        <v>0</v>
      </c>
      <c r="P12" s="16">
        <f t="shared" si="2"/>
        <v>133.33333333333334</v>
      </c>
      <c r="Q12" s="16">
        <f t="shared" si="3"/>
        <v>100</v>
      </c>
      <c r="R12" s="16">
        <f t="shared" si="20"/>
        <v>233.33333333333334</v>
      </c>
      <c r="S12" s="16">
        <f t="shared" si="4"/>
        <v>16.666666666666668</v>
      </c>
      <c r="T12" s="15">
        <v>0</v>
      </c>
      <c r="U12" s="15">
        <f t="shared" si="5"/>
        <v>0</v>
      </c>
      <c r="V12" s="15">
        <v>0</v>
      </c>
      <c r="W12" s="17">
        <f t="shared" si="6"/>
        <v>7000</v>
      </c>
      <c r="X12" s="18">
        <v>15</v>
      </c>
      <c r="Y12" s="19">
        <f t="shared" si="21"/>
        <v>2000.0000000000002</v>
      </c>
      <c r="Z12" s="20">
        <v>0</v>
      </c>
      <c r="AA12" s="19">
        <f t="shared" si="7"/>
        <v>0</v>
      </c>
      <c r="AB12" s="19">
        <v>0</v>
      </c>
      <c r="AC12" s="19">
        <f t="shared" si="8"/>
        <v>0</v>
      </c>
      <c r="AD12" s="21">
        <f t="shared" si="9"/>
        <v>2000.0000000000002</v>
      </c>
      <c r="AE12" s="22">
        <f t="shared" si="10"/>
        <v>5000</v>
      </c>
      <c r="AF12" s="23">
        <v>0</v>
      </c>
      <c r="AG12" s="23">
        <f t="shared" si="12"/>
        <v>0</v>
      </c>
      <c r="AH12" s="24">
        <v>1666.6666666666667</v>
      </c>
      <c r="AI12" s="24">
        <f t="shared" si="13"/>
        <v>40000</v>
      </c>
      <c r="AJ12" s="24">
        <f t="shared" si="14"/>
        <v>0</v>
      </c>
      <c r="AK12" s="23">
        <f t="shared" si="15"/>
        <v>2.5</v>
      </c>
      <c r="AL12" s="22">
        <f t="shared" si="16"/>
        <v>4997.5</v>
      </c>
      <c r="AM12" s="23">
        <v>0</v>
      </c>
      <c r="AN12" s="22">
        <f t="shared" si="17"/>
        <v>4997.5</v>
      </c>
      <c r="AO12" s="24">
        <f t="shared" si="18"/>
        <v>0</v>
      </c>
      <c r="AP12" s="25"/>
      <c r="AQ12" s="26">
        <f t="shared" si="19"/>
        <v>5000</v>
      </c>
    </row>
    <row r="13" spans="1:43" ht="15.65" customHeight="1" x14ac:dyDescent="0.35">
      <c r="A13" s="10" t="s">
        <v>74</v>
      </c>
      <c r="B13" s="10" t="s">
        <v>56</v>
      </c>
      <c r="C13" s="37" t="s">
        <v>108</v>
      </c>
      <c r="D13" s="38" t="s">
        <v>148</v>
      </c>
      <c r="E13" s="11" t="s">
        <v>106</v>
      </c>
      <c r="F13" s="37" t="s">
        <v>107</v>
      </c>
      <c r="G13" s="12" t="s">
        <v>41</v>
      </c>
      <c r="H13" s="13">
        <v>4000</v>
      </c>
      <c r="I13" s="13">
        <v>3000</v>
      </c>
      <c r="J13" s="13">
        <v>0</v>
      </c>
      <c r="K13" s="14">
        <v>1</v>
      </c>
      <c r="L13" s="15">
        <f t="shared" si="0"/>
        <v>3000</v>
      </c>
      <c r="M13" s="15">
        <v>0</v>
      </c>
      <c r="N13" s="15">
        <f t="shared" si="1"/>
        <v>15</v>
      </c>
      <c r="O13" s="15">
        <v>0</v>
      </c>
      <c r="P13" s="16">
        <f t="shared" si="2"/>
        <v>133.33333333333334</v>
      </c>
      <c r="Q13" s="16">
        <f t="shared" si="3"/>
        <v>100</v>
      </c>
      <c r="R13" s="16">
        <f t="shared" si="20"/>
        <v>233.33333333333334</v>
      </c>
      <c r="S13" s="16">
        <f t="shared" si="4"/>
        <v>16.666666666666668</v>
      </c>
      <c r="T13" s="15">
        <v>0</v>
      </c>
      <c r="U13" s="15">
        <f t="shared" si="5"/>
        <v>0</v>
      </c>
      <c r="V13" s="15">
        <v>0</v>
      </c>
      <c r="W13" s="17">
        <f t="shared" si="6"/>
        <v>7000</v>
      </c>
      <c r="X13" s="18">
        <v>15</v>
      </c>
      <c r="Y13" s="19">
        <f t="shared" si="21"/>
        <v>2000.0000000000002</v>
      </c>
      <c r="Z13" s="20">
        <v>0</v>
      </c>
      <c r="AA13" s="19">
        <f t="shared" si="7"/>
        <v>0</v>
      </c>
      <c r="AB13" s="19">
        <v>0</v>
      </c>
      <c r="AC13" s="19">
        <f t="shared" si="8"/>
        <v>0</v>
      </c>
      <c r="AD13" s="21">
        <f t="shared" si="9"/>
        <v>2000.0000000000002</v>
      </c>
      <c r="AE13" s="22">
        <f t="shared" si="10"/>
        <v>5000</v>
      </c>
      <c r="AF13" s="23">
        <v>0</v>
      </c>
      <c r="AG13" s="23">
        <f t="shared" si="12"/>
        <v>0</v>
      </c>
      <c r="AH13" s="24">
        <v>1666.6666666666667</v>
      </c>
      <c r="AI13" s="24">
        <f t="shared" si="13"/>
        <v>40000</v>
      </c>
      <c r="AJ13" s="24">
        <f t="shared" si="14"/>
        <v>0</v>
      </c>
      <c r="AK13" s="23">
        <f t="shared" si="15"/>
        <v>2.5</v>
      </c>
      <c r="AL13" s="22">
        <f t="shared" si="16"/>
        <v>4997.5</v>
      </c>
      <c r="AM13" s="23">
        <v>0</v>
      </c>
      <c r="AN13" s="22">
        <f t="shared" si="17"/>
        <v>4997.5</v>
      </c>
      <c r="AO13" s="24">
        <f t="shared" si="18"/>
        <v>0</v>
      </c>
      <c r="AP13" s="25"/>
      <c r="AQ13" s="26">
        <f t="shared" si="19"/>
        <v>5000</v>
      </c>
    </row>
    <row r="14" spans="1:43" ht="15.65" customHeight="1" x14ac:dyDescent="0.35">
      <c r="A14" s="10" t="s">
        <v>74</v>
      </c>
      <c r="B14" s="10" t="s">
        <v>57</v>
      </c>
      <c r="C14" s="37" t="s">
        <v>110</v>
      </c>
      <c r="D14" s="38" t="s">
        <v>148</v>
      </c>
      <c r="E14" s="11" t="s">
        <v>109</v>
      </c>
      <c r="F14" s="37" t="s">
        <v>111</v>
      </c>
      <c r="G14" s="12" t="s">
        <v>41</v>
      </c>
      <c r="H14" s="13">
        <v>4000</v>
      </c>
      <c r="I14" s="13">
        <v>3000</v>
      </c>
      <c r="J14" s="13">
        <v>0</v>
      </c>
      <c r="K14" s="14">
        <v>1</v>
      </c>
      <c r="L14" s="15">
        <f t="shared" si="0"/>
        <v>3000</v>
      </c>
      <c r="M14" s="15">
        <v>0</v>
      </c>
      <c r="N14" s="15">
        <f t="shared" si="1"/>
        <v>23</v>
      </c>
      <c r="O14" s="15">
        <v>0</v>
      </c>
      <c r="P14" s="16">
        <f t="shared" si="2"/>
        <v>133.33333333333334</v>
      </c>
      <c r="Q14" s="16">
        <f t="shared" si="3"/>
        <v>100</v>
      </c>
      <c r="R14" s="16">
        <f t="shared" si="20"/>
        <v>233.33333333333334</v>
      </c>
      <c r="S14" s="16">
        <f t="shared" si="4"/>
        <v>16.666666666666668</v>
      </c>
      <c r="T14" s="15">
        <v>10</v>
      </c>
      <c r="U14" s="15">
        <f t="shared" si="5"/>
        <v>166.66666666666669</v>
      </c>
      <c r="V14" s="15">
        <v>250</v>
      </c>
      <c r="W14" s="17">
        <f t="shared" si="6"/>
        <v>7416.666666666667</v>
      </c>
      <c r="X14" s="18">
        <v>7</v>
      </c>
      <c r="Y14" s="19">
        <f t="shared" si="21"/>
        <v>933.33333333333337</v>
      </c>
      <c r="Z14" s="20">
        <v>0</v>
      </c>
      <c r="AA14" s="19">
        <f t="shared" si="7"/>
        <v>0</v>
      </c>
      <c r="AB14" s="19">
        <v>0</v>
      </c>
      <c r="AC14" s="19">
        <f t="shared" si="8"/>
        <v>0</v>
      </c>
      <c r="AD14" s="21">
        <f t="shared" si="9"/>
        <v>933.33333333333337</v>
      </c>
      <c r="AE14" s="22">
        <f t="shared" si="10"/>
        <v>6483.3333333333339</v>
      </c>
      <c r="AF14" s="23">
        <f t="shared" si="11"/>
        <v>5384.6153846153848</v>
      </c>
      <c r="AG14" s="23">
        <f t="shared" si="12"/>
        <v>592.30769230769238</v>
      </c>
      <c r="AH14" s="24">
        <v>1666.6666666666667</v>
      </c>
      <c r="AI14" s="24">
        <f t="shared" si="13"/>
        <v>50692.307692307695</v>
      </c>
      <c r="AJ14" s="24">
        <f t="shared" si="14"/>
        <v>89.102564102564131</v>
      </c>
      <c r="AK14" s="23">
        <f t="shared" si="15"/>
        <v>3.2416666666666671</v>
      </c>
      <c r="AL14" s="22">
        <f t="shared" si="16"/>
        <v>5798.6814102564103</v>
      </c>
      <c r="AM14" s="23">
        <v>0</v>
      </c>
      <c r="AN14" s="22">
        <f t="shared" si="17"/>
        <v>5798.6814102564103</v>
      </c>
      <c r="AO14" s="24">
        <f t="shared" si="18"/>
        <v>1009.6153846153846</v>
      </c>
      <c r="AP14" s="25"/>
      <c r="AQ14" s="26">
        <f t="shared" si="19"/>
        <v>7492.9487179487187</v>
      </c>
    </row>
    <row r="15" spans="1:43" ht="15.65" customHeight="1" x14ac:dyDescent="0.35">
      <c r="A15" s="10" t="s">
        <v>74</v>
      </c>
      <c r="B15" s="10" t="s">
        <v>58</v>
      </c>
      <c r="C15" s="11" t="s">
        <v>140</v>
      </c>
      <c r="D15" s="11" t="s">
        <v>140</v>
      </c>
      <c r="E15" s="11" t="s">
        <v>112</v>
      </c>
      <c r="F15" s="37" t="s">
        <v>123</v>
      </c>
      <c r="G15" s="12" t="s">
        <v>41</v>
      </c>
      <c r="H15" s="13">
        <v>4000</v>
      </c>
      <c r="I15" s="13">
        <v>3000</v>
      </c>
      <c r="J15" s="13">
        <v>0</v>
      </c>
      <c r="K15" s="14">
        <v>1</v>
      </c>
      <c r="L15" s="15">
        <f t="shared" si="0"/>
        <v>3000</v>
      </c>
      <c r="M15" s="15">
        <v>0</v>
      </c>
      <c r="N15" s="15">
        <f t="shared" si="1"/>
        <v>23</v>
      </c>
      <c r="O15" s="15">
        <v>0</v>
      </c>
      <c r="P15" s="16">
        <f t="shared" si="2"/>
        <v>133.33333333333334</v>
      </c>
      <c r="Q15" s="16">
        <f t="shared" si="3"/>
        <v>100</v>
      </c>
      <c r="R15" s="16">
        <f t="shared" si="20"/>
        <v>233.33333333333334</v>
      </c>
      <c r="S15" s="16">
        <f t="shared" si="4"/>
        <v>16.666666666666668</v>
      </c>
      <c r="T15" s="15">
        <v>10</v>
      </c>
      <c r="U15" s="15">
        <f t="shared" si="5"/>
        <v>166.66666666666669</v>
      </c>
      <c r="V15" s="15">
        <v>0</v>
      </c>
      <c r="W15" s="17">
        <f t="shared" si="6"/>
        <v>7166.666666666667</v>
      </c>
      <c r="X15" s="18">
        <v>7</v>
      </c>
      <c r="Y15" s="19">
        <f t="shared" si="21"/>
        <v>933.33333333333337</v>
      </c>
      <c r="Z15" s="20">
        <v>0</v>
      </c>
      <c r="AA15" s="19">
        <f t="shared" si="7"/>
        <v>0</v>
      </c>
      <c r="AB15" s="19">
        <v>0</v>
      </c>
      <c r="AC15" s="19">
        <f t="shared" si="8"/>
        <v>0</v>
      </c>
      <c r="AD15" s="21">
        <f t="shared" si="9"/>
        <v>933.33333333333337</v>
      </c>
      <c r="AE15" s="22">
        <f t="shared" si="10"/>
        <v>6233.3333333333339</v>
      </c>
      <c r="AF15" s="23">
        <f t="shared" si="11"/>
        <v>5384.6153846153848</v>
      </c>
      <c r="AG15" s="23">
        <f t="shared" si="12"/>
        <v>592.30769230769238</v>
      </c>
      <c r="AH15" s="24">
        <v>1666.6666666666667</v>
      </c>
      <c r="AI15" s="24">
        <f t="shared" si="13"/>
        <v>47692.307692307695</v>
      </c>
      <c r="AJ15" s="24">
        <f t="shared" si="14"/>
        <v>64.102564102564131</v>
      </c>
      <c r="AK15" s="23">
        <f t="shared" si="15"/>
        <v>3.1166666666666671</v>
      </c>
      <c r="AL15" s="22">
        <f t="shared" si="16"/>
        <v>5573.8064102564103</v>
      </c>
      <c r="AM15" s="23">
        <v>0</v>
      </c>
      <c r="AN15" s="22">
        <f t="shared" si="17"/>
        <v>5573.8064102564103</v>
      </c>
      <c r="AO15" s="24">
        <f t="shared" si="18"/>
        <v>1009.6153846153846</v>
      </c>
      <c r="AP15" s="25"/>
      <c r="AQ15" s="26">
        <f t="shared" si="19"/>
        <v>7242.9487179487187</v>
      </c>
    </row>
    <row r="16" spans="1:43" ht="15.65" customHeight="1" x14ac:dyDescent="0.35">
      <c r="A16" s="10" t="s">
        <v>74</v>
      </c>
      <c r="B16" s="10" t="s">
        <v>59</v>
      </c>
      <c r="C16" s="11" t="s">
        <v>140</v>
      </c>
      <c r="D16" s="11" t="s">
        <v>140</v>
      </c>
      <c r="E16" s="11" t="s">
        <v>113</v>
      </c>
      <c r="F16" s="37" t="s">
        <v>124</v>
      </c>
      <c r="G16" s="12" t="s">
        <v>41</v>
      </c>
      <c r="H16" s="13">
        <v>4000</v>
      </c>
      <c r="I16" s="13">
        <v>3000</v>
      </c>
      <c r="J16" s="13">
        <v>0</v>
      </c>
      <c r="K16" s="14">
        <v>1</v>
      </c>
      <c r="L16" s="15">
        <f t="shared" si="0"/>
        <v>3000</v>
      </c>
      <c r="M16" s="15">
        <v>0</v>
      </c>
      <c r="N16" s="15">
        <f t="shared" si="1"/>
        <v>23</v>
      </c>
      <c r="O16" s="15">
        <v>0</v>
      </c>
      <c r="P16" s="16">
        <f t="shared" si="2"/>
        <v>133.33333333333334</v>
      </c>
      <c r="Q16" s="16">
        <f t="shared" si="3"/>
        <v>100</v>
      </c>
      <c r="R16" s="16">
        <f t="shared" si="20"/>
        <v>233.33333333333334</v>
      </c>
      <c r="S16" s="16">
        <f t="shared" si="4"/>
        <v>16.666666666666668</v>
      </c>
      <c r="T16" s="15">
        <v>10</v>
      </c>
      <c r="U16" s="15">
        <f t="shared" si="5"/>
        <v>166.66666666666669</v>
      </c>
      <c r="V16" s="15">
        <v>250</v>
      </c>
      <c r="W16" s="17">
        <f t="shared" si="6"/>
        <v>7416.666666666667</v>
      </c>
      <c r="X16" s="18">
        <v>7</v>
      </c>
      <c r="Y16" s="19">
        <f t="shared" si="21"/>
        <v>933.33333333333337</v>
      </c>
      <c r="Z16" s="20">
        <v>0</v>
      </c>
      <c r="AA16" s="19">
        <f t="shared" si="7"/>
        <v>0</v>
      </c>
      <c r="AB16" s="19">
        <v>0</v>
      </c>
      <c r="AC16" s="19">
        <f t="shared" si="8"/>
        <v>0</v>
      </c>
      <c r="AD16" s="21">
        <f t="shared" si="9"/>
        <v>933.33333333333337</v>
      </c>
      <c r="AE16" s="22">
        <f t="shared" si="10"/>
        <v>6483.3333333333339</v>
      </c>
      <c r="AF16" s="23">
        <f t="shared" si="11"/>
        <v>5384.6153846153848</v>
      </c>
      <c r="AG16" s="23">
        <f t="shared" si="12"/>
        <v>592.30769230769238</v>
      </c>
      <c r="AH16" s="24">
        <v>1666.6666666666667</v>
      </c>
      <c r="AI16" s="24">
        <f t="shared" si="13"/>
        <v>50692.307692307695</v>
      </c>
      <c r="AJ16" s="24">
        <f t="shared" si="14"/>
        <v>89.102564102564131</v>
      </c>
      <c r="AK16" s="23">
        <f t="shared" si="15"/>
        <v>3.2416666666666671</v>
      </c>
      <c r="AL16" s="22">
        <f t="shared" si="16"/>
        <v>5798.6814102564103</v>
      </c>
      <c r="AM16" s="23">
        <v>0</v>
      </c>
      <c r="AN16" s="22">
        <f t="shared" si="17"/>
        <v>5798.6814102564103</v>
      </c>
      <c r="AO16" s="24">
        <f t="shared" si="18"/>
        <v>1009.6153846153846</v>
      </c>
      <c r="AP16" s="25"/>
      <c r="AQ16" s="26">
        <f t="shared" si="19"/>
        <v>7492.9487179487187</v>
      </c>
    </row>
    <row r="17" spans="1:44" ht="15.65" customHeight="1" x14ac:dyDescent="0.35">
      <c r="A17" s="10" t="s">
        <v>74</v>
      </c>
      <c r="B17" s="10" t="s">
        <v>60</v>
      </c>
      <c r="C17" s="11" t="s">
        <v>140</v>
      </c>
      <c r="D17" s="11" t="s">
        <v>140</v>
      </c>
      <c r="E17" s="11" t="s">
        <v>114</v>
      </c>
      <c r="F17" s="37" t="s">
        <v>125</v>
      </c>
      <c r="G17" s="12" t="s">
        <v>41</v>
      </c>
      <c r="H17" s="13">
        <v>4000</v>
      </c>
      <c r="I17" s="13">
        <v>3000</v>
      </c>
      <c r="J17" s="13">
        <v>0</v>
      </c>
      <c r="K17" s="14">
        <v>1</v>
      </c>
      <c r="L17" s="15">
        <f t="shared" si="0"/>
        <v>3000</v>
      </c>
      <c r="M17" s="15">
        <v>0</v>
      </c>
      <c r="N17" s="15">
        <f t="shared" si="1"/>
        <v>23</v>
      </c>
      <c r="O17" s="15">
        <v>0</v>
      </c>
      <c r="P17" s="16">
        <f t="shared" si="2"/>
        <v>133.33333333333334</v>
      </c>
      <c r="Q17" s="16">
        <f t="shared" si="3"/>
        <v>100</v>
      </c>
      <c r="R17" s="16">
        <f t="shared" si="20"/>
        <v>233.33333333333334</v>
      </c>
      <c r="S17" s="16">
        <f t="shared" si="4"/>
        <v>16.666666666666668</v>
      </c>
      <c r="T17" s="15">
        <v>10</v>
      </c>
      <c r="U17" s="15">
        <f t="shared" si="5"/>
        <v>166.66666666666669</v>
      </c>
      <c r="V17" s="15">
        <v>0</v>
      </c>
      <c r="W17" s="17">
        <f t="shared" si="6"/>
        <v>7166.666666666667</v>
      </c>
      <c r="X17" s="18">
        <v>7</v>
      </c>
      <c r="Y17" s="19">
        <f t="shared" si="21"/>
        <v>933.33333333333337</v>
      </c>
      <c r="Z17" s="20">
        <v>0</v>
      </c>
      <c r="AA17" s="19">
        <f t="shared" si="7"/>
        <v>0</v>
      </c>
      <c r="AB17" s="19">
        <v>0</v>
      </c>
      <c r="AC17" s="19">
        <f t="shared" si="8"/>
        <v>0</v>
      </c>
      <c r="AD17" s="21">
        <f t="shared" si="9"/>
        <v>933.33333333333337</v>
      </c>
      <c r="AE17" s="22">
        <f t="shared" si="10"/>
        <v>6233.3333333333339</v>
      </c>
      <c r="AF17" s="23">
        <f t="shared" si="11"/>
        <v>5384.6153846153848</v>
      </c>
      <c r="AG17" s="23">
        <f t="shared" si="12"/>
        <v>592.30769230769238</v>
      </c>
      <c r="AH17" s="24">
        <v>1666.6666666666667</v>
      </c>
      <c r="AI17" s="24">
        <f t="shared" si="13"/>
        <v>47692.307692307695</v>
      </c>
      <c r="AJ17" s="24">
        <f t="shared" si="14"/>
        <v>64.102564102564131</v>
      </c>
      <c r="AK17" s="23">
        <f t="shared" si="15"/>
        <v>3.1166666666666671</v>
      </c>
      <c r="AL17" s="22">
        <f t="shared" si="16"/>
        <v>5573.8064102564103</v>
      </c>
      <c r="AM17" s="23">
        <v>0</v>
      </c>
      <c r="AN17" s="22">
        <f t="shared" si="17"/>
        <v>5573.8064102564103</v>
      </c>
      <c r="AO17" s="24">
        <f t="shared" si="18"/>
        <v>1009.6153846153846</v>
      </c>
      <c r="AP17" s="25"/>
      <c r="AQ17" s="26">
        <f t="shared" si="19"/>
        <v>7242.9487179487187</v>
      </c>
    </row>
    <row r="18" spans="1:44" ht="15.65" customHeight="1" x14ac:dyDescent="0.35">
      <c r="A18" s="10" t="s">
        <v>74</v>
      </c>
      <c r="B18" s="10" t="s">
        <v>61</v>
      </c>
      <c r="C18" s="11" t="s">
        <v>140</v>
      </c>
      <c r="D18" s="11" t="s">
        <v>140</v>
      </c>
      <c r="E18" s="11" t="s">
        <v>115</v>
      </c>
      <c r="F18" s="37" t="s">
        <v>126</v>
      </c>
      <c r="G18" s="12" t="s">
        <v>41</v>
      </c>
      <c r="H18" s="13">
        <v>4000</v>
      </c>
      <c r="I18" s="13">
        <v>3000</v>
      </c>
      <c r="J18" s="13">
        <v>0</v>
      </c>
      <c r="K18" s="14">
        <v>1</v>
      </c>
      <c r="L18" s="15">
        <f t="shared" si="0"/>
        <v>3000</v>
      </c>
      <c r="M18" s="15">
        <v>0</v>
      </c>
      <c r="N18" s="15">
        <f t="shared" si="1"/>
        <v>23</v>
      </c>
      <c r="O18" s="15">
        <v>0</v>
      </c>
      <c r="P18" s="16">
        <f t="shared" si="2"/>
        <v>133.33333333333334</v>
      </c>
      <c r="Q18" s="16">
        <f t="shared" si="3"/>
        <v>100</v>
      </c>
      <c r="R18" s="16">
        <f t="shared" si="20"/>
        <v>233.33333333333334</v>
      </c>
      <c r="S18" s="16">
        <f t="shared" si="4"/>
        <v>16.666666666666668</v>
      </c>
      <c r="T18" s="15">
        <v>45</v>
      </c>
      <c r="U18" s="15">
        <f t="shared" si="5"/>
        <v>750</v>
      </c>
      <c r="V18" s="15">
        <v>250</v>
      </c>
      <c r="W18" s="17">
        <f t="shared" si="6"/>
        <v>8000</v>
      </c>
      <c r="X18" s="18">
        <v>7</v>
      </c>
      <c r="Y18" s="19">
        <f t="shared" si="21"/>
        <v>933.33333333333337</v>
      </c>
      <c r="Z18" s="20">
        <v>0</v>
      </c>
      <c r="AA18" s="19">
        <f t="shared" si="7"/>
        <v>0</v>
      </c>
      <c r="AB18" s="19">
        <v>0</v>
      </c>
      <c r="AC18" s="19">
        <f t="shared" si="8"/>
        <v>0</v>
      </c>
      <c r="AD18" s="21">
        <f t="shared" si="9"/>
        <v>933.33333333333337</v>
      </c>
      <c r="AE18" s="22">
        <f t="shared" si="10"/>
        <v>7066.666666666667</v>
      </c>
      <c r="AF18" s="23">
        <f t="shared" si="11"/>
        <v>5384.6153846153848</v>
      </c>
      <c r="AG18" s="23">
        <f t="shared" si="12"/>
        <v>592.30769230769238</v>
      </c>
      <c r="AH18" s="24">
        <v>1666.6666666666667</v>
      </c>
      <c r="AI18" s="24">
        <f t="shared" si="13"/>
        <v>57692.307692307688</v>
      </c>
      <c r="AJ18" s="24">
        <f t="shared" si="14"/>
        <v>158.6538461538461</v>
      </c>
      <c r="AK18" s="23">
        <f t="shared" si="15"/>
        <v>3.5333333333333337</v>
      </c>
      <c r="AL18" s="22">
        <f t="shared" si="16"/>
        <v>6312.1717948717951</v>
      </c>
      <c r="AM18" s="23">
        <v>0</v>
      </c>
      <c r="AN18" s="22">
        <f t="shared" si="17"/>
        <v>6312.1717948717951</v>
      </c>
      <c r="AO18" s="24">
        <f t="shared" si="18"/>
        <v>1009.6153846153846</v>
      </c>
      <c r="AP18" s="25"/>
      <c r="AQ18" s="26">
        <f t="shared" si="19"/>
        <v>8076.2820512820517</v>
      </c>
    </row>
    <row r="19" spans="1:44" ht="15.65" customHeight="1" x14ac:dyDescent="0.35">
      <c r="A19" s="10" t="s">
        <v>74</v>
      </c>
      <c r="B19" s="10" t="s">
        <v>62</v>
      </c>
      <c r="C19" s="11" t="s">
        <v>140</v>
      </c>
      <c r="D19" s="11" t="s">
        <v>140</v>
      </c>
      <c r="E19" s="11" t="s">
        <v>116</v>
      </c>
      <c r="F19" s="37" t="s">
        <v>127</v>
      </c>
      <c r="G19" s="12" t="s">
        <v>41</v>
      </c>
      <c r="H19" s="13">
        <v>4000</v>
      </c>
      <c r="I19" s="13">
        <v>3000</v>
      </c>
      <c r="J19" s="13">
        <v>0</v>
      </c>
      <c r="K19" s="14">
        <v>1</v>
      </c>
      <c r="L19" s="15">
        <f t="shared" si="0"/>
        <v>3000</v>
      </c>
      <c r="M19" s="15">
        <v>0</v>
      </c>
      <c r="N19" s="15">
        <f t="shared" si="1"/>
        <v>23</v>
      </c>
      <c r="O19" s="15">
        <v>0</v>
      </c>
      <c r="P19" s="16">
        <f t="shared" si="2"/>
        <v>133.33333333333334</v>
      </c>
      <c r="Q19" s="16">
        <f t="shared" si="3"/>
        <v>100</v>
      </c>
      <c r="R19" s="16">
        <f t="shared" si="20"/>
        <v>233.33333333333334</v>
      </c>
      <c r="S19" s="16">
        <f t="shared" si="4"/>
        <v>16.666666666666668</v>
      </c>
      <c r="T19" s="15">
        <v>10</v>
      </c>
      <c r="U19" s="15">
        <f t="shared" si="5"/>
        <v>166.66666666666669</v>
      </c>
      <c r="V19" s="15">
        <v>0</v>
      </c>
      <c r="W19" s="17">
        <f t="shared" si="6"/>
        <v>7166.666666666667</v>
      </c>
      <c r="X19" s="18">
        <v>7</v>
      </c>
      <c r="Y19" s="19">
        <f t="shared" si="21"/>
        <v>933.33333333333337</v>
      </c>
      <c r="Z19" s="20">
        <v>0</v>
      </c>
      <c r="AA19" s="19">
        <f t="shared" si="7"/>
        <v>0</v>
      </c>
      <c r="AB19" s="19">
        <v>0</v>
      </c>
      <c r="AC19" s="19">
        <f t="shared" si="8"/>
        <v>0</v>
      </c>
      <c r="AD19" s="21">
        <f t="shared" si="9"/>
        <v>933.33333333333337</v>
      </c>
      <c r="AE19" s="22">
        <f t="shared" si="10"/>
        <v>6233.3333333333339</v>
      </c>
      <c r="AF19" s="23">
        <f t="shared" si="11"/>
        <v>5384.6153846153848</v>
      </c>
      <c r="AG19" s="23">
        <f t="shared" si="12"/>
        <v>592.30769230769238</v>
      </c>
      <c r="AH19" s="24">
        <v>1666.6666666666667</v>
      </c>
      <c r="AI19" s="24">
        <f t="shared" si="13"/>
        <v>47692.307692307695</v>
      </c>
      <c r="AJ19" s="24">
        <f t="shared" si="14"/>
        <v>64.102564102564131</v>
      </c>
      <c r="AK19" s="23">
        <f t="shared" si="15"/>
        <v>3.1166666666666671</v>
      </c>
      <c r="AL19" s="22">
        <f t="shared" si="16"/>
        <v>5573.8064102564103</v>
      </c>
      <c r="AM19" s="23">
        <v>0</v>
      </c>
      <c r="AN19" s="22">
        <f t="shared" si="17"/>
        <v>5573.8064102564103</v>
      </c>
      <c r="AO19" s="24">
        <f t="shared" si="18"/>
        <v>1009.6153846153846</v>
      </c>
      <c r="AP19" s="25"/>
      <c r="AQ19" s="26">
        <f t="shared" si="19"/>
        <v>7242.9487179487187</v>
      </c>
    </row>
    <row r="20" spans="1:44" ht="15.65" customHeight="1" x14ac:dyDescent="0.35">
      <c r="A20" s="10" t="s">
        <v>74</v>
      </c>
      <c r="B20" s="10" t="s">
        <v>63</v>
      </c>
      <c r="C20" s="11" t="s">
        <v>140</v>
      </c>
      <c r="D20" s="11" t="s">
        <v>140</v>
      </c>
      <c r="E20" s="11" t="s">
        <v>117</v>
      </c>
      <c r="F20" s="37" t="s">
        <v>128</v>
      </c>
      <c r="G20" s="12" t="s">
        <v>41</v>
      </c>
      <c r="H20" s="13">
        <v>4000</v>
      </c>
      <c r="I20" s="13">
        <v>3000</v>
      </c>
      <c r="J20" s="13">
        <v>0</v>
      </c>
      <c r="K20" s="14">
        <v>1</v>
      </c>
      <c r="L20" s="15">
        <f t="shared" si="0"/>
        <v>3000</v>
      </c>
      <c r="M20" s="15">
        <v>0</v>
      </c>
      <c r="N20" s="15">
        <f t="shared" si="1"/>
        <v>22</v>
      </c>
      <c r="O20" s="15">
        <v>0</v>
      </c>
      <c r="P20" s="16">
        <f t="shared" si="2"/>
        <v>133.33333333333334</v>
      </c>
      <c r="Q20" s="16">
        <f t="shared" si="3"/>
        <v>100</v>
      </c>
      <c r="R20" s="16">
        <f t="shared" si="20"/>
        <v>233.33333333333334</v>
      </c>
      <c r="S20" s="16">
        <f t="shared" si="4"/>
        <v>16.666666666666668</v>
      </c>
      <c r="T20" s="15">
        <v>10</v>
      </c>
      <c r="U20" s="15">
        <f t="shared" si="5"/>
        <v>166.66666666666669</v>
      </c>
      <c r="V20" s="15">
        <v>0</v>
      </c>
      <c r="W20" s="17">
        <f t="shared" si="6"/>
        <v>7166.666666666667</v>
      </c>
      <c r="X20" s="18">
        <v>8</v>
      </c>
      <c r="Y20" s="19">
        <f t="shared" si="21"/>
        <v>1066.6666666666667</v>
      </c>
      <c r="Z20" s="20">
        <v>0</v>
      </c>
      <c r="AA20" s="19">
        <f t="shared" si="7"/>
        <v>0</v>
      </c>
      <c r="AB20" s="19">
        <v>0</v>
      </c>
      <c r="AC20" s="19">
        <f t="shared" si="8"/>
        <v>0</v>
      </c>
      <c r="AD20" s="21">
        <f t="shared" si="9"/>
        <v>1066.6666666666667</v>
      </c>
      <c r="AE20" s="22">
        <f t="shared" si="10"/>
        <v>6100</v>
      </c>
      <c r="AF20" s="23">
        <f t="shared" si="11"/>
        <v>5384.6153846153848</v>
      </c>
      <c r="AG20" s="23">
        <f t="shared" si="12"/>
        <v>592.30769230769238</v>
      </c>
      <c r="AH20" s="24">
        <v>1666.6666666666667</v>
      </c>
      <c r="AI20" s="24">
        <f t="shared" si="13"/>
        <v>46092.307692307688</v>
      </c>
      <c r="AJ20" s="24">
        <f t="shared" si="14"/>
        <v>50.769230769230738</v>
      </c>
      <c r="AK20" s="23">
        <f t="shared" si="15"/>
        <v>3.0500000000000003</v>
      </c>
      <c r="AL20" s="22">
        <f t="shared" si="16"/>
        <v>5453.873076923077</v>
      </c>
      <c r="AM20" s="23">
        <v>0</v>
      </c>
      <c r="AN20" s="22">
        <f t="shared" si="17"/>
        <v>5453.873076923077</v>
      </c>
      <c r="AO20" s="24">
        <f t="shared" si="18"/>
        <v>1009.6153846153846</v>
      </c>
      <c r="AP20" s="25"/>
      <c r="AQ20" s="26">
        <f t="shared" si="19"/>
        <v>7109.6153846153848</v>
      </c>
    </row>
    <row r="21" spans="1:44" ht="15.65" customHeight="1" x14ac:dyDescent="0.35">
      <c r="A21" s="10" t="s">
        <v>74</v>
      </c>
      <c r="B21" s="10" t="s">
        <v>64</v>
      </c>
      <c r="C21" s="11" t="s">
        <v>140</v>
      </c>
      <c r="D21" s="11" t="s">
        <v>140</v>
      </c>
      <c r="E21" s="11" t="s">
        <v>118</v>
      </c>
      <c r="F21" s="37" t="s">
        <v>129</v>
      </c>
      <c r="G21" s="12" t="s">
        <v>41</v>
      </c>
      <c r="H21" s="13">
        <v>4000</v>
      </c>
      <c r="I21" s="13">
        <v>3000</v>
      </c>
      <c r="J21" s="13">
        <v>0</v>
      </c>
      <c r="K21" s="14">
        <v>1</v>
      </c>
      <c r="L21" s="15">
        <f t="shared" si="0"/>
        <v>3000</v>
      </c>
      <c r="M21" s="15">
        <v>0</v>
      </c>
      <c r="N21" s="15">
        <f t="shared" si="1"/>
        <v>23</v>
      </c>
      <c r="O21" s="15">
        <v>0</v>
      </c>
      <c r="P21" s="16">
        <f t="shared" si="2"/>
        <v>133.33333333333334</v>
      </c>
      <c r="Q21" s="16">
        <f t="shared" si="3"/>
        <v>100</v>
      </c>
      <c r="R21" s="16">
        <f t="shared" si="20"/>
        <v>233.33333333333334</v>
      </c>
      <c r="S21" s="16">
        <f t="shared" si="4"/>
        <v>16.666666666666668</v>
      </c>
      <c r="T21" s="15">
        <v>25</v>
      </c>
      <c r="U21" s="15">
        <f t="shared" si="5"/>
        <v>416.66666666666669</v>
      </c>
      <c r="V21" s="15">
        <v>250</v>
      </c>
      <c r="W21" s="17">
        <f t="shared" si="6"/>
        <v>7666.666666666667</v>
      </c>
      <c r="X21" s="18">
        <v>7</v>
      </c>
      <c r="Y21" s="19">
        <f t="shared" si="21"/>
        <v>933.33333333333337</v>
      </c>
      <c r="Z21" s="20">
        <v>0</v>
      </c>
      <c r="AA21" s="19">
        <f t="shared" si="7"/>
        <v>0</v>
      </c>
      <c r="AB21" s="19">
        <v>0</v>
      </c>
      <c r="AC21" s="19">
        <f t="shared" si="8"/>
        <v>0</v>
      </c>
      <c r="AD21" s="21">
        <f t="shared" si="9"/>
        <v>933.33333333333337</v>
      </c>
      <c r="AE21" s="22">
        <f t="shared" si="10"/>
        <v>6733.3333333333339</v>
      </c>
      <c r="AF21" s="23">
        <f t="shared" si="11"/>
        <v>5384.6153846153848</v>
      </c>
      <c r="AG21" s="23">
        <f t="shared" si="12"/>
        <v>592.30769230769238</v>
      </c>
      <c r="AH21" s="24">
        <v>1666.6666666666667</v>
      </c>
      <c r="AI21" s="24">
        <f t="shared" si="13"/>
        <v>53692.307692307695</v>
      </c>
      <c r="AJ21" s="24">
        <f t="shared" si="14"/>
        <v>114.10256410256413</v>
      </c>
      <c r="AK21" s="23">
        <f t="shared" si="15"/>
        <v>3.3666666666666671</v>
      </c>
      <c r="AL21" s="22">
        <f t="shared" si="16"/>
        <v>6023.5564102564103</v>
      </c>
      <c r="AM21" s="23">
        <v>0</v>
      </c>
      <c r="AN21" s="22">
        <f t="shared" si="17"/>
        <v>6023.5564102564103</v>
      </c>
      <c r="AO21" s="24">
        <f t="shared" si="18"/>
        <v>1009.6153846153846</v>
      </c>
      <c r="AP21" s="25"/>
      <c r="AQ21" s="26">
        <f t="shared" si="19"/>
        <v>7742.9487179487187</v>
      </c>
    </row>
    <row r="22" spans="1:44" ht="15.65" customHeight="1" x14ac:dyDescent="0.35">
      <c r="A22" s="10" t="s">
        <v>74</v>
      </c>
      <c r="B22" s="10" t="s">
        <v>65</v>
      </c>
      <c r="C22" s="11" t="s">
        <v>140</v>
      </c>
      <c r="D22" s="11" t="s">
        <v>140</v>
      </c>
      <c r="E22" s="11" t="s">
        <v>119</v>
      </c>
      <c r="F22" s="37" t="s">
        <v>130</v>
      </c>
      <c r="G22" s="12" t="s">
        <v>41</v>
      </c>
      <c r="H22" s="13">
        <v>4000</v>
      </c>
      <c r="I22" s="13">
        <v>3000</v>
      </c>
      <c r="J22" s="13">
        <v>0</v>
      </c>
      <c r="K22" s="14">
        <v>1</v>
      </c>
      <c r="L22" s="15">
        <f t="shared" si="0"/>
        <v>3000</v>
      </c>
      <c r="M22" s="15">
        <v>0</v>
      </c>
      <c r="N22" s="15">
        <f t="shared" si="1"/>
        <v>14</v>
      </c>
      <c r="O22" s="15">
        <v>0</v>
      </c>
      <c r="P22" s="16">
        <f t="shared" si="2"/>
        <v>133.33333333333334</v>
      </c>
      <c r="Q22" s="16">
        <f t="shared" si="3"/>
        <v>100</v>
      </c>
      <c r="R22" s="16">
        <f t="shared" si="20"/>
        <v>233.33333333333334</v>
      </c>
      <c r="S22" s="16">
        <f t="shared" si="4"/>
        <v>16.666666666666668</v>
      </c>
      <c r="T22" s="15">
        <v>0</v>
      </c>
      <c r="U22" s="15">
        <f t="shared" si="5"/>
        <v>0</v>
      </c>
      <c r="V22" s="15">
        <v>0</v>
      </c>
      <c r="W22" s="17">
        <f t="shared" si="6"/>
        <v>7000</v>
      </c>
      <c r="X22" s="18">
        <v>16</v>
      </c>
      <c r="Y22" s="19">
        <f t="shared" si="21"/>
        <v>2133.3333333333335</v>
      </c>
      <c r="Z22" s="20">
        <v>1</v>
      </c>
      <c r="AA22" s="19">
        <f t="shared" si="7"/>
        <v>133.33333333333334</v>
      </c>
      <c r="AB22" s="19">
        <v>0</v>
      </c>
      <c r="AC22" s="19">
        <f t="shared" si="8"/>
        <v>0</v>
      </c>
      <c r="AD22" s="21">
        <f t="shared" si="9"/>
        <v>2266.666666666667</v>
      </c>
      <c r="AE22" s="22">
        <f t="shared" si="10"/>
        <v>4733.333333333333</v>
      </c>
      <c r="AF22" s="23">
        <v>0</v>
      </c>
      <c r="AG22" s="23">
        <f t="shared" si="12"/>
        <v>0</v>
      </c>
      <c r="AH22" s="24">
        <v>1666.6666666666667</v>
      </c>
      <c r="AI22" s="24">
        <f t="shared" si="13"/>
        <v>36799.999999999993</v>
      </c>
      <c r="AJ22" s="24">
        <f t="shared" si="14"/>
        <v>0</v>
      </c>
      <c r="AK22" s="23">
        <f t="shared" si="15"/>
        <v>2.3666666666666667</v>
      </c>
      <c r="AL22" s="22">
        <f t="shared" si="16"/>
        <v>4730.9666666666662</v>
      </c>
      <c r="AM22" s="23">
        <v>0</v>
      </c>
      <c r="AN22" s="22">
        <f t="shared" si="17"/>
        <v>4730.9666666666662</v>
      </c>
      <c r="AO22" s="24">
        <f t="shared" si="18"/>
        <v>0</v>
      </c>
      <c r="AP22" s="25"/>
      <c r="AQ22" s="26">
        <f t="shared" si="19"/>
        <v>4733.333333333333</v>
      </c>
    </row>
    <row r="23" spans="1:44" ht="15.65" customHeight="1" x14ac:dyDescent="0.35">
      <c r="A23" s="10" t="s">
        <v>74</v>
      </c>
      <c r="B23" s="10" t="s">
        <v>66</v>
      </c>
      <c r="C23" s="11" t="s">
        <v>140</v>
      </c>
      <c r="D23" s="11" t="s">
        <v>140</v>
      </c>
      <c r="E23" s="11" t="s">
        <v>120</v>
      </c>
      <c r="F23" s="37" t="s">
        <v>131</v>
      </c>
      <c r="G23" s="12" t="s">
        <v>41</v>
      </c>
      <c r="H23" s="13">
        <v>4000</v>
      </c>
      <c r="I23" s="13">
        <v>3000</v>
      </c>
      <c r="J23" s="13">
        <v>0</v>
      </c>
      <c r="K23" s="14">
        <v>1</v>
      </c>
      <c r="L23" s="15">
        <f t="shared" si="0"/>
        <v>3000</v>
      </c>
      <c r="M23" s="15">
        <v>0</v>
      </c>
      <c r="N23" s="15">
        <f t="shared" si="1"/>
        <v>23</v>
      </c>
      <c r="O23" s="15">
        <v>0</v>
      </c>
      <c r="P23" s="16">
        <f t="shared" si="2"/>
        <v>133.33333333333334</v>
      </c>
      <c r="Q23" s="16">
        <f t="shared" si="3"/>
        <v>100</v>
      </c>
      <c r="R23" s="16">
        <f t="shared" si="20"/>
        <v>233.33333333333334</v>
      </c>
      <c r="S23" s="16">
        <f t="shared" si="4"/>
        <v>16.666666666666668</v>
      </c>
      <c r="T23" s="15">
        <v>25</v>
      </c>
      <c r="U23" s="15">
        <f t="shared" si="5"/>
        <v>416.66666666666669</v>
      </c>
      <c r="V23" s="15">
        <v>250</v>
      </c>
      <c r="W23" s="17">
        <f t="shared" si="6"/>
        <v>7666.666666666667</v>
      </c>
      <c r="X23" s="18">
        <v>7</v>
      </c>
      <c r="Y23" s="19">
        <f t="shared" si="21"/>
        <v>933.33333333333337</v>
      </c>
      <c r="Z23" s="20">
        <v>0</v>
      </c>
      <c r="AA23" s="19">
        <f t="shared" si="7"/>
        <v>0</v>
      </c>
      <c r="AB23" s="19">
        <v>0</v>
      </c>
      <c r="AC23" s="19">
        <f t="shared" si="8"/>
        <v>0</v>
      </c>
      <c r="AD23" s="21">
        <f t="shared" si="9"/>
        <v>933.33333333333337</v>
      </c>
      <c r="AE23" s="22">
        <f t="shared" si="10"/>
        <v>6733.3333333333339</v>
      </c>
      <c r="AF23" s="23">
        <f t="shared" si="11"/>
        <v>5384.6153846153848</v>
      </c>
      <c r="AG23" s="23">
        <f t="shared" si="12"/>
        <v>592.30769230769238</v>
      </c>
      <c r="AH23" s="24">
        <v>1666.6666666666667</v>
      </c>
      <c r="AI23" s="24">
        <f t="shared" si="13"/>
        <v>53692.307692307695</v>
      </c>
      <c r="AJ23" s="24">
        <f t="shared" si="14"/>
        <v>114.10256410256413</v>
      </c>
      <c r="AK23" s="23">
        <f t="shared" si="15"/>
        <v>3.3666666666666671</v>
      </c>
      <c r="AL23" s="22">
        <f t="shared" si="16"/>
        <v>6023.5564102564103</v>
      </c>
      <c r="AM23" s="23">
        <v>0</v>
      </c>
      <c r="AN23" s="22">
        <f t="shared" si="17"/>
        <v>6023.5564102564103</v>
      </c>
      <c r="AO23" s="24">
        <f t="shared" si="18"/>
        <v>1009.6153846153846</v>
      </c>
      <c r="AP23" s="25"/>
      <c r="AQ23" s="26">
        <f t="shared" si="19"/>
        <v>7742.9487179487187</v>
      </c>
    </row>
    <row r="24" spans="1:44" ht="15.65" customHeight="1" x14ac:dyDescent="0.35">
      <c r="A24" s="10" t="s">
        <v>74</v>
      </c>
      <c r="B24" s="10" t="s">
        <v>67</v>
      </c>
      <c r="C24" s="11" t="s">
        <v>140</v>
      </c>
      <c r="D24" s="11" t="s">
        <v>140</v>
      </c>
      <c r="E24" s="11" t="s">
        <v>121</v>
      </c>
      <c r="F24" s="37" t="s">
        <v>132</v>
      </c>
      <c r="G24" s="12" t="s">
        <v>41</v>
      </c>
      <c r="H24" s="13">
        <v>4000</v>
      </c>
      <c r="I24" s="13">
        <v>3000</v>
      </c>
      <c r="J24" s="13">
        <v>0</v>
      </c>
      <c r="K24" s="14">
        <v>1</v>
      </c>
      <c r="L24" s="15">
        <f t="shared" si="0"/>
        <v>3000</v>
      </c>
      <c r="M24" s="15">
        <v>0</v>
      </c>
      <c r="N24" s="15">
        <f t="shared" si="1"/>
        <v>14</v>
      </c>
      <c r="O24" s="15">
        <v>0</v>
      </c>
      <c r="P24" s="16">
        <f t="shared" si="2"/>
        <v>133.33333333333334</v>
      </c>
      <c r="Q24" s="16">
        <f t="shared" si="3"/>
        <v>100</v>
      </c>
      <c r="R24" s="16">
        <f t="shared" si="20"/>
        <v>233.33333333333334</v>
      </c>
      <c r="S24" s="16">
        <f t="shared" si="4"/>
        <v>16.666666666666668</v>
      </c>
      <c r="T24" s="15">
        <v>0</v>
      </c>
      <c r="U24" s="15">
        <f t="shared" si="5"/>
        <v>0</v>
      </c>
      <c r="V24" s="15">
        <v>0</v>
      </c>
      <c r="W24" s="17">
        <f t="shared" si="6"/>
        <v>7000</v>
      </c>
      <c r="X24" s="18">
        <v>16</v>
      </c>
      <c r="Y24" s="19">
        <f t="shared" si="21"/>
        <v>2133.3333333333335</v>
      </c>
      <c r="Z24" s="20">
        <v>0</v>
      </c>
      <c r="AA24" s="19">
        <f t="shared" si="7"/>
        <v>0</v>
      </c>
      <c r="AB24" s="19">
        <v>0</v>
      </c>
      <c r="AC24" s="19">
        <f t="shared" si="8"/>
        <v>0</v>
      </c>
      <c r="AD24" s="21">
        <f t="shared" si="9"/>
        <v>2133.3333333333335</v>
      </c>
      <c r="AE24" s="22">
        <f t="shared" si="10"/>
        <v>4866.6666666666661</v>
      </c>
      <c r="AF24" s="23">
        <v>0</v>
      </c>
      <c r="AG24" s="23">
        <f t="shared" si="12"/>
        <v>0</v>
      </c>
      <c r="AH24" s="24">
        <v>1666.6666666666667</v>
      </c>
      <c r="AI24" s="24">
        <f t="shared" si="13"/>
        <v>38399.999999999985</v>
      </c>
      <c r="AJ24" s="24">
        <f t="shared" si="14"/>
        <v>0</v>
      </c>
      <c r="AK24" s="23">
        <f t="shared" si="15"/>
        <v>2.4333333333333331</v>
      </c>
      <c r="AL24" s="22">
        <f t="shared" si="16"/>
        <v>4864.2333333333327</v>
      </c>
      <c r="AM24" s="23">
        <v>0</v>
      </c>
      <c r="AN24" s="22">
        <f t="shared" si="17"/>
        <v>4864.2333333333327</v>
      </c>
      <c r="AO24" s="24">
        <f t="shared" si="18"/>
        <v>0</v>
      </c>
      <c r="AP24" s="25"/>
      <c r="AQ24" s="26">
        <f t="shared" si="19"/>
        <v>4866.6666666666661</v>
      </c>
    </row>
    <row r="25" spans="1:44" ht="15.65" customHeight="1" x14ac:dyDescent="0.35">
      <c r="A25" s="10" t="s">
        <v>74</v>
      </c>
      <c r="B25" s="10" t="s">
        <v>68</v>
      </c>
      <c r="C25" s="11" t="s">
        <v>140</v>
      </c>
      <c r="D25" s="11" t="s">
        <v>140</v>
      </c>
      <c r="E25" s="11" t="s">
        <v>122</v>
      </c>
      <c r="F25" s="37" t="s">
        <v>133</v>
      </c>
      <c r="G25" s="12" t="s">
        <v>41</v>
      </c>
      <c r="H25" s="13">
        <v>4000</v>
      </c>
      <c r="I25" s="13">
        <v>3000</v>
      </c>
      <c r="J25" s="13">
        <v>0</v>
      </c>
      <c r="K25" s="14">
        <v>1</v>
      </c>
      <c r="L25" s="15">
        <f t="shared" si="0"/>
        <v>3000</v>
      </c>
      <c r="M25" s="15">
        <v>0</v>
      </c>
      <c r="N25" s="15">
        <f t="shared" si="1"/>
        <v>16</v>
      </c>
      <c r="O25" s="15">
        <v>0</v>
      </c>
      <c r="P25" s="16">
        <f t="shared" si="2"/>
        <v>133.33333333333334</v>
      </c>
      <c r="Q25" s="16">
        <f t="shared" si="3"/>
        <v>100</v>
      </c>
      <c r="R25" s="16">
        <f t="shared" si="20"/>
        <v>233.33333333333334</v>
      </c>
      <c r="S25" s="16">
        <f t="shared" si="4"/>
        <v>16.666666666666668</v>
      </c>
      <c r="T25" s="15">
        <v>10</v>
      </c>
      <c r="U25" s="15">
        <f t="shared" si="5"/>
        <v>166.66666666666669</v>
      </c>
      <c r="V25" s="15">
        <v>0</v>
      </c>
      <c r="W25" s="17">
        <f t="shared" si="6"/>
        <v>7166.666666666667</v>
      </c>
      <c r="X25" s="18">
        <v>14</v>
      </c>
      <c r="Y25" s="19">
        <f t="shared" si="21"/>
        <v>1866.6666666666667</v>
      </c>
      <c r="Z25" s="20">
        <v>0</v>
      </c>
      <c r="AA25" s="19">
        <f t="shared" si="7"/>
        <v>0</v>
      </c>
      <c r="AB25" s="19">
        <v>0</v>
      </c>
      <c r="AC25" s="19">
        <f t="shared" si="8"/>
        <v>0</v>
      </c>
      <c r="AD25" s="21">
        <f t="shared" si="9"/>
        <v>1866.6666666666667</v>
      </c>
      <c r="AE25" s="22">
        <f t="shared" si="10"/>
        <v>5300</v>
      </c>
      <c r="AF25" s="23">
        <v>0</v>
      </c>
      <c r="AG25" s="23">
        <f t="shared" si="12"/>
        <v>0</v>
      </c>
      <c r="AH25" s="24">
        <v>1666.6666666666667</v>
      </c>
      <c r="AI25" s="24">
        <f t="shared" si="13"/>
        <v>43600</v>
      </c>
      <c r="AJ25" s="24">
        <f t="shared" si="14"/>
        <v>30</v>
      </c>
      <c r="AK25" s="23">
        <f t="shared" si="15"/>
        <v>2.65</v>
      </c>
      <c r="AL25" s="22">
        <f t="shared" si="16"/>
        <v>5267.35</v>
      </c>
      <c r="AM25" s="23">
        <v>0</v>
      </c>
      <c r="AN25" s="22">
        <f t="shared" si="17"/>
        <v>5267.35</v>
      </c>
      <c r="AO25" s="24">
        <f t="shared" si="18"/>
        <v>0</v>
      </c>
      <c r="AP25" s="25"/>
      <c r="AQ25" s="26">
        <f t="shared" si="19"/>
        <v>5300</v>
      </c>
    </row>
    <row r="26" spans="1:44" ht="15.65" customHeight="1" x14ac:dyDescent="0.35">
      <c r="A26" s="10" t="s">
        <v>74</v>
      </c>
      <c r="B26" s="10" t="s">
        <v>69</v>
      </c>
      <c r="C26" s="11" t="s">
        <v>140</v>
      </c>
      <c r="D26" s="11" t="s">
        <v>140</v>
      </c>
      <c r="E26" s="11" t="s">
        <v>134</v>
      </c>
      <c r="F26" s="37" t="s">
        <v>135</v>
      </c>
      <c r="G26" s="12" t="s">
        <v>41</v>
      </c>
      <c r="H26" s="13">
        <v>4000</v>
      </c>
      <c r="I26" s="13">
        <v>3000</v>
      </c>
      <c r="J26" s="13">
        <v>0</v>
      </c>
      <c r="K26" s="14">
        <v>1</v>
      </c>
      <c r="L26" s="15">
        <f t="shared" si="0"/>
        <v>3000</v>
      </c>
      <c r="M26" s="15">
        <v>0</v>
      </c>
      <c r="N26" s="15">
        <f t="shared" si="1"/>
        <v>23</v>
      </c>
      <c r="O26" s="15">
        <v>0</v>
      </c>
      <c r="P26" s="16">
        <f t="shared" si="2"/>
        <v>133.33333333333334</v>
      </c>
      <c r="Q26" s="16">
        <f t="shared" si="3"/>
        <v>100</v>
      </c>
      <c r="R26" s="16">
        <f t="shared" si="20"/>
        <v>233.33333333333334</v>
      </c>
      <c r="S26" s="16">
        <f t="shared" si="4"/>
        <v>16.666666666666668</v>
      </c>
      <c r="T26" s="15">
        <v>10</v>
      </c>
      <c r="U26" s="15">
        <f t="shared" si="5"/>
        <v>166.66666666666669</v>
      </c>
      <c r="V26" s="15">
        <v>0</v>
      </c>
      <c r="W26" s="17">
        <f t="shared" si="6"/>
        <v>7166.666666666667</v>
      </c>
      <c r="X26" s="18">
        <v>7</v>
      </c>
      <c r="Y26" s="19">
        <f t="shared" si="21"/>
        <v>933.33333333333337</v>
      </c>
      <c r="Z26" s="20">
        <v>0</v>
      </c>
      <c r="AA26" s="19">
        <f t="shared" si="7"/>
        <v>0</v>
      </c>
      <c r="AB26" s="19">
        <v>0</v>
      </c>
      <c r="AC26" s="19">
        <f t="shared" si="8"/>
        <v>0</v>
      </c>
      <c r="AD26" s="21">
        <f t="shared" si="9"/>
        <v>933.33333333333337</v>
      </c>
      <c r="AE26" s="22">
        <f t="shared" si="10"/>
        <v>6233.3333333333339</v>
      </c>
      <c r="AF26" s="23">
        <f t="shared" si="11"/>
        <v>5384.6153846153848</v>
      </c>
      <c r="AG26" s="23">
        <f t="shared" si="12"/>
        <v>592.30769230769238</v>
      </c>
      <c r="AH26" s="24">
        <v>1666.6666666666667</v>
      </c>
      <c r="AI26" s="24">
        <f t="shared" si="13"/>
        <v>47692.307692307695</v>
      </c>
      <c r="AJ26" s="24">
        <f t="shared" si="14"/>
        <v>64.102564102564131</v>
      </c>
      <c r="AK26" s="23">
        <f t="shared" si="15"/>
        <v>3.1166666666666671</v>
      </c>
      <c r="AL26" s="22">
        <f t="shared" si="16"/>
        <v>5573.8064102564103</v>
      </c>
      <c r="AM26" s="23">
        <v>0</v>
      </c>
      <c r="AN26" s="22">
        <f t="shared" si="17"/>
        <v>5573.8064102564103</v>
      </c>
      <c r="AO26" s="24">
        <f t="shared" si="18"/>
        <v>1009.6153846153846</v>
      </c>
      <c r="AP26" s="25"/>
      <c r="AQ26" s="26">
        <f t="shared" si="19"/>
        <v>7242.9487179487187</v>
      </c>
    </row>
    <row r="27" spans="1:44" ht="15.65" customHeight="1" x14ac:dyDescent="0.35">
      <c r="A27" s="10" t="s">
        <v>74</v>
      </c>
      <c r="B27" s="10" t="s">
        <v>70</v>
      </c>
      <c r="C27" s="11" t="s">
        <v>140</v>
      </c>
      <c r="D27" s="11" t="s">
        <v>140</v>
      </c>
      <c r="E27" s="11" t="s">
        <v>136</v>
      </c>
      <c r="F27" s="37" t="s">
        <v>137</v>
      </c>
      <c r="G27" s="12" t="s">
        <v>41</v>
      </c>
      <c r="H27" s="13">
        <v>4000</v>
      </c>
      <c r="I27" s="13">
        <v>3000</v>
      </c>
      <c r="J27" s="13">
        <v>0</v>
      </c>
      <c r="K27" s="14">
        <v>1</v>
      </c>
      <c r="L27" s="15">
        <f t="shared" si="0"/>
        <v>3000</v>
      </c>
      <c r="M27" s="15">
        <v>0</v>
      </c>
      <c r="N27" s="15">
        <f t="shared" si="1"/>
        <v>3</v>
      </c>
      <c r="O27" s="15">
        <v>0</v>
      </c>
      <c r="P27" s="16">
        <f t="shared" si="2"/>
        <v>133.33333333333334</v>
      </c>
      <c r="Q27" s="16">
        <f t="shared" si="3"/>
        <v>100</v>
      </c>
      <c r="R27" s="16">
        <f t="shared" si="20"/>
        <v>233.33333333333334</v>
      </c>
      <c r="S27" s="16">
        <f t="shared" si="4"/>
        <v>16.666666666666668</v>
      </c>
      <c r="T27" s="15">
        <v>0</v>
      </c>
      <c r="U27" s="15">
        <f t="shared" si="5"/>
        <v>0</v>
      </c>
      <c r="V27" s="15">
        <v>0</v>
      </c>
      <c r="W27" s="17">
        <f t="shared" si="6"/>
        <v>7000</v>
      </c>
      <c r="X27" s="18">
        <v>27</v>
      </c>
      <c r="Y27" s="19">
        <f t="shared" si="21"/>
        <v>3600.0000000000005</v>
      </c>
      <c r="Z27" s="20">
        <v>0</v>
      </c>
      <c r="AA27" s="19">
        <f t="shared" si="7"/>
        <v>0</v>
      </c>
      <c r="AB27" s="19">
        <v>0</v>
      </c>
      <c r="AC27" s="19">
        <f t="shared" si="8"/>
        <v>0</v>
      </c>
      <c r="AD27" s="21">
        <f t="shared" si="9"/>
        <v>3600.0000000000005</v>
      </c>
      <c r="AE27" s="22">
        <f t="shared" si="10"/>
        <v>3399.9999999999995</v>
      </c>
      <c r="AF27" s="23">
        <v>0</v>
      </c>
      <c r="AG27" s="23">
        <f t="shared" si="12"/>
        <v>0</v>
      </c>
      <c r="AH27" s="24">
        <v>1666.6666666666667</v>
      </c>
      <c r="AI27" s="24">
        <f t="shared" si="13"/>
        <v>20799.999999999993</v>
      </c>
      <c r="AJ27" s="24">
        <f t="shared" si="14"/>
        <v>0</v>
      </c>
      <c r="AK27" s="23">
        <f t="shared" si="15"/>
        <v>1.6999999999999997</v>
      </c>
      <c r="AL27" s="22">
        <f t="shared" si="16"/>
        <v>3398.2999999999997</v>
      </c>
      <c r="AM27" s="23">
        <v>0</v>
      </c>
      <c r="AN27" s="22">
        <f t="shared" si="17"/>
        <v>3398.2999999999997</v>
      </c>
      <c r="AO27" s="24">
        <f t="shared" si="18"/>
        <v>0</v>
      </c>
      <c r="AP27" s="25"/>
      <c r="AQ27" s="26">
        <f t="shared" si="19"/>
        <v>3399.9999999999995</v>
      </c>
    </row>
    <row r="28" spans="1:44" ht="15.65" customHeight="1" x14ac:dyDescent="0.35">
      <c r="A28" s="10" t="s">
        <v>74</v>
      </c>
      <c r="B28" s="10" t="s">
        <v>71</v>
      </c>
      <c r="C28" s="11" t="s">
        <v>140</v>
      </c>
      <c r="D28" s="11" t="s">
        <v>140</v>
      </c>
      <c r="E28" s="11" t="s">
        <v>139</v>
      </c>
      <c r="F28" s="37" t="s">
        <v>138</v>
      </c>
      <c r="G28" s="12" t="s">
        <v>41</v>
      </c>
      <c r="H28" s="13">
        <v>4000</v>
      </c>
      <c r="I28" s="13">
        <v>3000</v>
      </c>
      <c r="J28" s="13">
        <v>0</v>
      </c>
      <c r="K28" s="14">
        <v>1</v>
      </c>
      <c r="L28" s="15">
        <f t="shared" si="0"/>
        <v>3000</v>
      </c>
      <c r="M28" s="15">
        <v>0</v>
      </c>
      <c r="N28" s="15">
        <f t="shared" si="1"/>
        <v>2</v>
      </c>
      <c r="O28" s="15">
        <v>0</v>
      </c>
      <c r="P28" s="16">
        <f t="shared" si="2"/>
        <v>133.33333333333334</v>
      </c>
      <c r="Q28" s="16">
        <f t="shared" si="3"/>
        <v>100</v>
      </c>
      <c r="R28" s="16">
        <f t="shared" si="20"/>
        <v>233.33333333333334</v>
      </c>
      <c r="S28" s="16">
        <f t="shared" si="4"/>
        <v>16.666666666666668</v>
      </c>
      <c r="T28" s="15">
        <v>0</v>
      </c>
      <c r="U28" s="15">
        <f t="shared" si="5"/>
        <v>0</v>
      </c>
      <c r="V28" s="15">
        <v>0</v>
      </c>
      <c r="W28" s="17">
        <f t="shared" si="6"/>
        <v>7000</v>
      </c>
      <c r="X28" s="18">
        <v>28</v>
      </c>
      <c r="Y28" s="19">
        <f t="shared" si="21"/>
        <v>3733.3333333333335</v>
      </c>
      <c r="Z28" s="20">
        <v>0</v>
      </c>
      <c r="AA28" s="19">
        <f t="shared" si="7"/>
        <v>0</v>
      </c>
      <c r="AB28" s="19">
        <v>0</v>
      </c>
      <c r="AC28" s="19">
        <f t="shared" si="8"/>
        <v>0</v>
      </c>
      <c r="AD28" s="21">
        <f t="shared" si="9"/>
        <v>3733.3333333333335</v>
      </c>
      <c r="AE28" s="22">
        <f t="shared" si="10"/>
        <v>3266.6666666666665</v>
      </c>
      <c r="AF28" s="23">
        <v>0</v>
      </c>
      <c r="AG28" s="23">
        <f t="shared" si="12"/>
        <v>0</v>
      </c>
      <c r="AH28" s="24">
        <v>1666.6666666666667</v>
      </c>
      <c r="AI28" s="24">
        <f t="shared" si="13"/>
        <v>19199.999999999996</v>
      </c>
      <c r="AJ28" s="24">
        <f t="shared" si="14"/>
        <v>0</v>
      </c>
      <c r="AK28" s="23">
        <f t="shared" si="15"/>
        <v>1.6333333333333333</v>
      </c>
      <c r="AL28" s="22">
        <f t="shared" si="16"/>
        <v>3265.0333333333333</v>
      </c>
      <c r="AM28" s="23">
        <v>0</v>
      </c>
      <c r="AN28" s="22">
        <f t="shared" si="17"/>
        <v>3265.0333333333333</v>
      </c>
      <c r="AO28" s="24">
        <f t="shared" si="18"/>
        <v>0</v>
      </c>
      <c r="AP28" s="25"/>
      <c r="AQ28" s="26">
        <f t="shared" si="19"/>
        <v>3266.6666666666665</v>
      </c>
    </row>
    <row r="29" spans="1:44" ht="15.65" customHeight="1" x14ac:dyDescent="0.35">
      <c r="A29" s="10" t="s">
        <v>74</v>
      </c>
      <c r="B29" s="10" t="s">
        <v>72</v>
      </c>
      <c r="C29" s="37" t="s">
        <v>143</v>
      </c>
      <c r="D29" s="11" t="s">
        <v>42</v>
      </c>
      <c r="E29" s="11" t="s">
        <v>141</v>
      </c>
      <c r="F29" s="37" t="s">
        <v>142</v>
      </c>
      <c r="G29" s="12" t="s">
        <v>41</v>
      </c>
      <c r="H29" s="13">
        <v>4000</v>
      </c>
      <c r="I29" s="13">
        <v>3000</v>
      </c>
      <c r="J29" s="13">
        <v>0</v>
      </c>
      <c r="K29" s="14">
        <v>1</v>
      </c>
      <c r="L29" s="15">
        <f t="shared" si="0"/>
        <v>3000</v>
      </c>
      <c r="M29" s="15">
        <v>0</v>
      </c>
      <c r="N29" s="15">
        <f t="shared" si="1"/>
        <v>9</v>
      </c>
      <c r="O29" s="15">
        <v>0</v>
      </c>
      <c r="P29" s="16">
        <f t="shared" si="2"/>
        <v>133.33333333333334</v>
      </c>
      <c r="Q29" s="16">
        <f t="shared" si="3"/>
        <v>100</v>
      </c>
      <c r="R29" s="16">
        <f t="shared" si="20"/>
        <v>233.33333333333334</v>
      </c>
      <c r="S29" s="16">
        <f t="shared" si="4"/>
        <v>16.666666666666668</v>
      </c>
      <c r="T29" s="15">
        <v>0</v>
      </c>
      <c r="U29" s="15">
        <f t="shared" si="5"/>
        <v>0</v>
      </c>
      <c r="V29" s="15">
        <v>0</v>
      </c>
      <c r="W29" s="17">
        <f t="shared" si="6"/>
        <v>7000</v>
      </c>
      <c r="X29" s="18">
        <v>21</v>
      </c>
      <c r="Y29" s="19">
        <f t="shared" si="21"/>
        <v>2800</v>
      </c>
      <c r="Z29" s="20">
        <v>0</v>
      </c>
      <c r="AA29" s="19">
        <f t="shared" si="7"/>
        <v>0</v>
      </c>
      <c r="AB29" s="19">
        <v>0</v>
      </c>
      <c r="AC29" s="19">
        <f t="shared" si="8"/>
        <v>0</v>
      </c>
      <c r="AD29" s="21">
        <f t="shared" si="9"/>
        <v>2800</v>
      </c>
      <c r="AE29" s="22">
        <f t="shared" si="10"/>
        <v>4200</v>
      </c>
      <c r="AF29" s="23">
        <v>0</v>
      </c>
      <c r="AG29" s="23">
        <f t="shared" si="12"/>
        <v>0</v>
      </c>
      <c r="AH29" s="24">
        <v>1666.6666666666667</v>
      </c>
      <c r="AI29" s="24">
        <f t="shared" si="13"/>
        <v>30399.999999999996</v>
      </c>
      <c r="AJ29" s="24">
        <f t="shared" si="14"/>
        <v>0</v>
      </c>
      <c r="AK29" s="23">
        <f t="shared" si="15"/>
        <v>2.1</v>
      </c>
      <c r="AL29" s="22">
        <f t="shared" si="16"/>
        <v>4197.8999999999996</v>
      </c>
      <c r="AM29" s="23">
        <v>0</v>
      </c>
      <c r="AN29" s="22">
        <f t="shared" si="17"/>
        <v>4197.8999999999996</v>
      </c>
      <c r="AO29" s="24">
        <f t="shared" si="18"/>
        <v>0</v>
      </c>
      <c r="AP29" s="25"/>
      <c r="AQ29" s="26">
        <f t="shared" si="19"/>
        <v>4200</v>
      </c>
    </row>
    <row r="30" spans="1:44" ht="16" customHeight="1" x14ac:dyDescent="0.35">
      <c r="A30" s="10" t="s">
        <v>74</v>
      </c>
      <c r="B30" s="10" t="s">
        <v>73</v>
      </c>
      <c r="C30" s="11" t="s">
        <v>140</v>
      </c>
      <c r="D30" s="11" t="s">
        <v>140</v>
      </c>
      <c r="E30" s="11" t="s">
        <v>144</v>
      </c>
      <c r="F30" s="37"/>
      <c r="G30" s="12" t="s">
        <v>41</v>
      </c>
      <c r="H30" s="13">
        <v>4000</v>
      </c>
      <c r="I30" s="13">
        <v>3000</v>
      </c>
      <c r="J30" s="13">
        <v>0</v>
      </c>
      <c r="K30" s="14">
        <v>1</v>
      </c>
      <c r="L30" s="15">
        <f t="shared" si="0"/>
        <v>3000</v>
      </c>
      <c r="M30" s="15">
        <v>0</v>
      </c>
      <c r="N30" s="15">
        <f t="shared" si="1"/>
        <v>23</v>
      </c>
      <c r="O30" s="15">
        <v>0</v>
      </c>
      <c r="P30" s="16">
        <f t="shared" si="2"/>
        <v>133.33333333333334</v>
      </c>
      <c r="Q30" s="16">
        <f t="shared" si="3"/>
        <v>100</v>
      </c>
      <c r="R30" s="16">
        <f t="shared" si="20"/>
        <v>233.33333333333334</v>
      </c>
      <c r="S30" s="16">
        <f t="shared" si="4"/>
        <v>16.666666666666668</v>
      </c>
      <c r="T30" s="15">
        <v>5</v>
      </c>
      <c r="U30" s="15">
        <f t="shared" si="5"/>
        <v>83.333333333333343</v>
      </c>
      <c r="V30" s="15">
        <v>0</v>
      </c>
      <c r="W30" s="17">
        <f t="shared" si="6"/>
        <v>7083.333333333333</v>
      </c>
      <c r="X30" s="18">
        <v>7</v>
      </c>
      <c r="Y30" s="19">
        <f t="shared" si="21"/>
        <v>933.33333333333337</v>
      </c>
      <c r="Z30" s="20">
        <v>0</v>
      </c>
      <c r="AA30" s="19">
        <f t="shared" si="7"/>
        <v>0</v>
      </c>
      <c r="AB30" s="19">
        <v>0</v>
      </c>
      <c r="AC30" s="19">
        <f t="shared" si="8"/>
        <v>0</v>
      </c>
      <c r="AD30" s="21">
        <f t="shared" si="9"/>
        <v>933.33333333333337</v>
      </c>
      <c r="AE30" s="22">
        <f t="shared" si="10"/>
        <v>6150</v>
      </c>
      <c r="AF30" s="23">
        <f t="shared" si="11"/>
        <v>5384.6153846153848</v>
      </c>
      <c r="AG30" s="23">
        <f t="shared" si="12"/>
        <v>592.30769230769238</v>
      </c>
      <c r="AH30" s="24">
        <v>1666.6666666666667</v>
      </c>
      <c r="AI30" s="24">
        <f t="shared" si="13"/>
        <v>46692.307692307688</v>
      </c>
      <c r="AJ30" s="24">
        <f t="shared" si="14"/>
        <v>55.769230769230738</v>
      </c>
      <c r="AK30" s="23">
        <f t="shared" si="15"/>
        <v>3.0750000000000002</v>
      </c>
      <c r="AL30" s="22">
        <f t="shared" si="16"/>
        <v>5498.8480769230773</v>
      </c>
      <c r="AM30" s="23">
        <v>0</v>
      </c>
      <c r="AN30" s="22">
        <f t="shared" si="17"/>
        <v>5498.8480769230773</v>
      </c>
      <c r="AO30" s="24">
        <f t="shared" si="18"/>
        <v>1009.6153846153846</v>
      </c>
      <c r="AP30" s="25"/>
      <c r="AQ30" s="26">
        <f t="shared" si="19"/>
        <v>7159.6153846153848</v>
      </c>
    </row>
    <row r="31" spans="1:44" ht="16" customHeight="1" x14ac:dyDescent="0.35">
      <c r="A31" s="10" t="s">
        <v>74</v>
      </c>
      <c r="B31" s="10" t="s">
        <v>147</v>
      </c>
      <c r="C31" s="11" t="s">
        <v>140</v>
      </c>
      <c r="D31" s="11" t="s">
        <v>140</v>
      </c>
      <c r="E31" s="11" t="s">
        <v>145</v>
      </c>
      <c r="F31" s="37" t="s">
        <v>146</v>
      </c>
      <c r="G31" s="12" t="s">
        <v>41</v>
      </c>
      <c r="H31" s="13">
        <v>4000</v>
      </c>
      <c r="I31" s="13">
        <v>3000</v>
      </c>
      <c r="J31" s="13">
        <v>0</v>
      </c>
      <c r="K31" s="14">
        <v>1</v>
      </c>
      <c r="L31" s="15">
        <f t="shared" si="0"/>
        <v>3000</v>
      </c>
      <c r="M31" s="15"/>
      <c r="N31" s="15">
        <f t="shared" si="1"/>
        <v>4</v>
      </c>
      <c r="O31" s="15">
        <v>0</v>
      </c>
      <c r="P31" s="16">
        <f t="shared" si="2"/>
        <v>133.33333333333334</v>
      </c>
      <c r="Q31" s="16">
        <f t="shared" si="3"/>
        <v>100</v>
      </c>
      <c r="R31" s="16">
        <f t="shared" si="20"/>
        <v>233.33333333333334</v>
      </c>
      <c r="S31" s="16">
        <f t="shared" si="4"/>
        <v>16.666666666666668</v>
      </c>
      <c r="T31" s="15">
        <v>5</v>
      </c>
      <c r="U31" s="15">
        <f t="shared" si="5"/>
        <v>83.333333333333343</v>
      </c>
      <c r="V31" s="15">
        <v>0</v>
      </c>
      <c r="W31" s="17">
        <f t="shared" si="6"/>
        <v>7083.333333333333</v>
      </c>
      <c r="X31" s="18">
        <v>26</v>
      </c>
      <c r="Y31" s="19">
        <f t="shared" si="21"/>
        <v>3466.666666666667</v>
      </c>
      <c r="Z31" s="20">
        <v>0</v>
      </c>
      <c r="AA31" s="19">
        <f t="shared" si="7"/>
        <v>0</v>
      </c>
      <c r="AB31" s="19">
        <v>0</v>
      </c>
      <c r="AC31" s="19">
        <f t="shared" si="8"/>
        <v>0</v>
      </c>
      <c r="AD31" s="21">
        <f t="shared" si="9"/>
        <v>3466.666666666667</v>
      </c>
      <c r="AE31" s="22">
        <f t="shared" si="10"/>
        <v>3616.6666666666661</v>
      </c>
      <c r="AF31" s="23">
        <v>0</v>
      </c>
      <c r="AG31" s="23">
        <f t="shared" si="12"/>
        <v>0</v>
      </c>
      <c r="AH31" s="24">
        <v>1666.6666666666667</v>
      </c>
      <c r="AI31" s="24">
        <f t="shared" si="13"/>
        <v>23399.999999999993</v>
      </c>
      <c r="AJ31" s="24">
        <f t="shared" si="14"/>
        <v>0</v>
      </c>
      <c r="AK31" s="23">
        <f t="shared" si="15"/>
        <v>1.8083333333333331</v>
      </c>
      <c r="AL31" s="22">
        <f t="shared" si="16"/>
        <v>3614.8583333333327</v>
      </c>
      <c r="AM31" s="23">
        <v>0</v>
      </c>
      <c r="AN31" s="22">
        <f t="shared" si="17"/>
        <v>3614.8583333333327</v>
      </c>
      <c r="AO31" s="24">
        <f t="shared" si="18"/>
        <v>0</v>
      </c>
      <c r="AP31" s="25"/>
      <c r="AQ31" s="26">
        <f t="shared" si="19"/>
        <v>3616.6666666666661</v>
      </c>
    </row>
    <row r="32" spans="1:44" s="31" customFormat="1" ht="21" customHeight="1" x14ac:dyDescent="0.35">
      <c r="A32" s="40" t="s">
        <v>43</v>
      </c>
      <c r="B32" s="41"/>
      <c r="C32" s="41"/>
      <c r="D32" s="41"/>
      <c r="E32" s="41"/>
      <c r="F32" s="27"/>
      <c r="G32" s="28"/>
      <c r="H32" s="29">
        <f>SUM(H3:H31)</f>
        <v>117000</v>
      </c>
      <c r="I32" s="29">
        <f t="shared" ref="I32:AQ32" si="22">SUM(I3:I31)</f>
        <v>87000</v>
      </c>
      <c r="J32" s="29">
        <f t="shared" si="22"/>
        <v>0</v>
      </c>
      <c r="K32" s="29">
        <f t="shared" si="22"/>
        <v>29</v>
      </c>
      <c r="L32" s="29">
        <f t="shared" si="22"/>
        <v>87000</v>
      </c>
      <c r="M32" s="29">
        <f t="shared" si="22"/>
        <v>0</v>
      </c>
      <c r="N32" s="29">
        <f t="shared" si="22"/>
        <v>553</v>
      </c>
      <c r="O32" s="29">
        <f t="shared" si="22"/>
        <v>0</v>
      </c>
      <c r="P32" s="29">
        <f t="shared" si="22"/>
        <v>3900.0000000000018</v>
      </c>
      <c r="Q32" s="29">
        <f t="shared" si="22"/>
        <v>2900</v>
      </c>
      <c r="R32" s="29">
        <f t="shared" si="22"/>
        <v>6799.9999999999973</v>
      </c>
      <c r="S32" s="29">
        <f t="shared" si="22"/>
        <v>487.50000000000023</v>
      </c>
      <c r="T32" s="29">
        <f t="shared" si="22"/>
        <v>397</v>
      </c>
      <c r="U32" s="29">
        <f t="shared" si="22"/>
        <v>6741.6666666666679</v>
      </c>
      <c r="V32" s="29">
        <f t="shared" si="22"/>
        <v>2550</v>
      </c>
      <c r="W32" s="29">
        <f t="shared" si="22"/>
        <v>213291.66666666666</v>
      </c>
      <c r="X32" s="29">
        <f t="shared" si="22"/>
        <v>317</v>
      </c>
      <c r="Y32" s="29">
        <f t="shared" si="22"/>
        <v>42266.666666666664</v>
      </c>
      <c r="Z32" s="29">
        <f t="shared" si="22"/>
        <v>2</v>
      </c>
      <c r="AA32" s="29">
        <f t="shared" si="22"/>
        <v>266.66666666666669</v>
      </c>
      <c r="AB32" s="29">
        <f t="shared" si="22"/>
        <v>0</v>
      </c>
      <c r="AC32" s="29">
        <f t="shared" si="22"/>
        <v>0</v>
      </c>
      <c r="AD32" s="29">
        <f t="shared" si="22"/>
        <v>42533.333333333336</v>
      </c>
      <c r="AE32" s="29">
        <f t="shared" si="22"/>
        <v>170758.33333333328</v>
      </c>
      <c r="AF32" s="29">
        <f t="shared" si="22"/>
        <v>91538.461538461546</v>
      </c>
      <c r="AG32" s="29">
        <f t="shared" si="22"/>
        <v>10069.23076923077</v>
      </c>
      <c r="AH32" s="29">
        <f t="shared" si="22"/>
        <v>48333.333333333321</v>
      </c>
      <c r="AI32" s="29">
        <f t="shared" si="22"/>
        <v>1348269.2307692312</v>
      </c>
      <c r="AJ32" s="29">
        <f t="shared" si="22"/>
        <v>2801.1538461538462</v>
      </c>
      <c r="AK32" s="29">
        <f t="shared" si="22"/>
        <v>85.379166666666677</v>
      </c>
      <c r="AL32" s="29">
        <f t="shared" si="22"/>
        <v>157802.56955128204</v>
      </c>
      <c r="AM32" s="29">
        <f t="shared" si="22"/>
        <v>0</v>
      </c>
      <c r="AN32" s="29">
        <f t="shared" si="22"/>
        <v>157802.56955128204</v>
      </c>
      <c r="AO32" s="29">
        <f t="shared" si="22"/>
        <v>17163.461538461539</v>
      </c>
      <c r="AP32" s="29">
        <f t="shared" si="22"/>
        <v>0</v>
      </c>
      <c r="AQ32" s="29">
        <f t="shared" si="22"/>
        <v>187921.79487179485</v>
      </c>
      <c r="AR32" s="30"/>
    </row>
    <row r="33" spans="1:43" x14ac:dyDescent="0.35">
      <c r="P33" s="2"/>
    </row>
    <row r="34" spans="1:43" s="31" customFormat="1" ht="19" thickBot="1" x14ac:dyDescent="0.4">
      <c r="C34" s="34"/>
      <c r="D34" s="34"/>
      <c r="E34" s="35"/>
      <c r="P34"/>
      <c r="AQ34"/>
    </row>
    <row r="35" spans="1:43" ht="19" thickBot="1" x14ac:dyDescent="0.4">
      <c r="A35" s="42" t="s">
        <v>44</v>
      </c>
      <c r="B35" s="43"/>
      <c r="C35" s="43"/>
      <c r="D35" s="44"/>
      <c r="E35" s="36">
        <f>AN32</f>
        <v>157802.56955128204</v>
      </c>
    </row>
    <row r="36" spans="1:43" ht="19" thickBot="1" x14ac:dyDescent="0.4">
      <c r="A36" s="42" t="s">
        <v>45</v>
      </c>
      <c r="B36" s="43"/>
      <c r="C36" s="43"/>
      <c r="D36" s="44"/>
      <c r="E36" s="36">
        <f>AQ32+AQ34</f>
        <v>187921.79487179485</v>
      </c>
    </row>
    <row r="42" spans="1:43" customFormat="1" ht="14.5" x14ac:dyDescent="0.35"/>
    <row r="43" spans="1:43" customFormat="1" ht="14.5" x14ac:dyDescent="0.35"/>
    <row r="44" spans="1:43" customFormat="1" ht="14.5" x14ac:dyDescent="0.35"/>
    <row r="45" spans="1:43" customFormat="1" ht="14.5" x14ac:dyDescent="0.35"/>
    <row r="46" spans="1:43" customFormat="1" ht="14.5" x14ac:dyDescent="0.35"/>
    <row r="47" spans="1:43" customFormat="1" ht="14.5" x14ac:dyDescent="0.35"/>
    <row r="48" spans="1:43" customFormat="1" ht="14.5" x14ac:dyDescent="0.35"/>
    <row r="49" spans="5:5" customFormat="1" ht="14.5" x14ac:dyDescent="0.35"/>
    <row r="50" spans="5:5" customFormat="1" ht="14.5" x14ac:dyDescent="0.35"/>
    <row r="51" spans="5:5" customFormat="1" ht="14.5" x14ac:dyDescent="0.35"/>
    <row r="52" spans="5:5" customFormat="1" ht="14.5" x14ac:dyDescent="0.35"/>
    <row r="53" spans="5:5" customFormat="1" ht="14.5" x14ac:dyDescent="0.35"/>
    <row r="54" spans="5:5" customFormat="1" ht="14.5" x14ac:dyDescent="0.35"/>
    <row r="55" spans="5:5" customFormat="1" ht="14.5" x14ac:dyDescent="0.35"/>
    <row r="56" spans="5:5" customFormat="1" ht="14.5" x14ac:dyDescent="0.35"/>
    <row r="57" spans="5:5" customFormat="1" ht="14.5" x14ac:dyDescent="0.35"/>
    <row r="58" spans="5:5" customFormat="1" ht="14.5" x14ac:dyDescent="0.35"/>
    <row r="61" spans="5:5" x14ac:dyDescent="0.35">
      <c r="E61" s="33">
        <f>2-25</f>
        <v>-23</v>
      </c>
    </row>
  </sheetData>
  <protectedRanges>
    <protectedRange sqref="C3:C14 E4 C29:C31" name="Range3_1_2_1"/>
    <protectedRange sqref="C3:C14 E4 C29:C31" name="Range2_1_2_1"/>
    <protectedRange sqref="E3 E5:E31" name="Range1_1_2_1"/>
    <protectedRange sqref="F3:F31" name="Range1_2_2_1"/>
    <protectedRange sqref="C15:C28 D3:D31" name="Range3_1_2_3_1_1"/>
    <protectedRange sqref="C15:C28 D3:D31" name="Range2_1_2_3_1_1"/>
  </protectedRanges>
  <mergeCells count="4">
    <mergeCell ref="A1:E1"/>
    <mergeCell ref="A32:E32"/>
    <mergeCell ref="A35:D35"/>
    <mergeCell ref="A36:D36"/>
  </mergeCells>
  <conditionalFormatting sqref="C3:C14 E3:F31 C29:C31">
    <cfRule type="duplicateValues" dxfId="1" priority="2"/>
  </conditionalFormatting>
  <conditionalFormatting sqref="F59:F63">
    <cfRule type="duplicateValues" dxfId="0" priority="1"/>
  </conditionalFormatting>
  <dataValidations count="1">
    <dataValidation allowBlank="1" showInputMessage="1" sqref="J2 P59:P1048576 P34:P41 P2:P31" xr:uid="{3E35E4E4-424F-4DA9-BE82-8CE45409340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ahmed</dc:creator>
  <cp:lastModifiedBy>hassan ahmed</cp:lastModifiedBy>
  <dcterms:created xsi:type="dcterms:W3CDTF">2015-06-05T18:17:20Z</dcterms:created>
  <dcterms:modified xsi:type="dcterms:W3CDTF">2026-03-01T07:28:13Z</dcterms:modified>
</cp:coreProperties>
</file>
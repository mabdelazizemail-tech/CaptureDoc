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man\Desktop\Feb -2026\Employee payroll\"/>
    </mc:Choice>
  </mc:AlternateContent>
  <bookViews>
    <workbookView xWindow="0" yWindow="0" windowWidth="23000" windowHeight="7730"/>
  </bookViews>
  <sheets>
    <sheet name="Hussien" sheetId="3" r:id="rId1"/>
    <sheet name="Mosky" sheetId="4" r:id="rId2"/>
  </sheets>
  <definedNames>
    <definedName name="_xlnm._FilterDatabase" localSheetId="0" hidden="1">Hussien!$A$2:$AP$85</definedName>
    <definedName name="_xlnm._FilterDatabase" localSheetId="1" hidden="1">Mosky!$A$2:$AP$128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5" i="3" l="1"/>
  <c r="H85" i="3"/>
  <c r="T85" i="3"/>
  <c r="Z85" i="3"/>
  <c r="X85" i="3"/>
  <c r="AG84" i="3" l="1"/>
  <c r="AO83" i="3"/>
  <c r="AG82" i="3"/>
  <c r="AG104" i="3"/>
  <c r="AG81" i="3"/>
  <c r="AO103" i="3"/>
  <c r="AG80" i="3"/>
  <c r="AG102" i="3"/>
  <c r="AG101" i="3"/>
  <c r="AG79" i="3"/>
  <c r="AG78" i="3"/>
  <c r="AG77" i="3"/>
  <c r="AG100" i="3"/>
  <c r="AG75" i="3"/>
  <c r="AO74" i="3"/>
  <c r="AG73" i="3"/>
  <c r="AO99" i="3"/>
  <c r="AG72" i="3"/>
  <c r="AG71" i="3"/>
  <c r="AO70" i="3"/>
  <c r="AG69" i="3"/>
  <c r="AO68" i="3"/>
  <c r="AG67" i="3"/>
  <c r="AG66" i="3"/>
  <c r="AF65" i="3"/>
  <c r="AO65" i="3" s="1"/>
  <c r="AF64" i="3"/>
  <c r="AG64" i="3" s="1"/>
  <c r="AF63" i="3"/>
  <c r="AG63" i="3" s="1"/>
  <c r="AF62" i="3"/>
  <c r="AG62" i="3" s="1"/>
  <c r="AF61" i="3"/>
  <c r="AO61" i="3" s="1"/>
  <c r="AF60" i="3"/>
  <c r="AG60" i="3" s="1"/>
  <c r="AF59" i="3"/>
  <c r="AG59" i="3" s="1"/>
  <c r="AF58" i="3"/>
  <c r="AG58" i="3" s="1"/>
  <c r="AF57" i="3"/>
  <c r="AG57" i="3" s="1"/>
  <c r="AG98" i="3"/>
  <c r="AF56" i="3"/>
  <c r="AG56" i="3" s="1"/>
  <c r="AF55" i="3"/>
  <c r="AG55" i="3" s="1"/>
  <c r="AF54" i="3"/>
  <c r="AG54" i="3" s="1"/>
  <c r="AF53" i="3"/>
  <c r="AG53" i="3" s="1"/>
  <c r="AG97" i="3"/>
  <c r="AG96" i="3"/>
  <c r="AF52" i="3"/>
  <c r="AG52" i="3" s="1"/>
  <c r="AF51" i="3"/>
  <c r="AG51" i="3" s="1"/>
  <c r="AF50" i="3"/>
  <c r="AG50" i="3" s="1"/>
  <c r="AF49" i="3"/>
  <c r="AG49" i="3" s="1"/>
  <c r="AF48" i="3"/>
  <c r="AG48" i="3" s="1"/>
  <c r="AF47" i="3"/>
  <c r="AG47" i="3" s="1"/>
  <c r="AF46" i="3"/>
  <c r="AG46" i="3" s="1"/>
  <c r="AG95" i="3"/>
  <c r="AF45" i="3"/>
  <c r="AG45" i="3" s="1"/>
  <c r="AF44" i="3"/>
  <c r="AG44" i="3" s="1"/>
  <c r="AG94" i="3"/>
  <c r="AF43" i="3"/>
  <c r="AG43" i="3" s="1"/>
  <c r="AF42" i="3"/>
  <c r="AG42" i="3" s="1"/>
  <c r="AG41" i="3"/>
  <c r="AF40" i="3"/>
  <c r="AG40" i="3" s="1"/>
  <c r="AF39" i="3"/>
  <c r="AG39" i="3" s="1"/>
  <c r="AF38" i="3"/>
  <c r="AG38" i="3" s="1"/>
  <c r="AF37" i="3"/>
  <c r="AG37" i="3" s="1"/>
  <c r="AF36" i="3"/>
  <c r="AG36" i="3" s="1"/>
  <c r="AF35" i="3"/>
  <c r="AG35" i="3" s="1"/>
  <c r="AF34" i="3"/>
  <c r="AG34" i="3" s="1"/>
  <c r="AF33" i="3"/>
  <c r="AG33" i="3" s="1"/>
  <c r="AF32" i="3"/>
  <c r="AG32" i="3" s="1"/>
  <c r="AF31" i="3"/>
  <c r="AG31" i="3" s="1"/>
  <c r="AG93" i="3"/>
  <c r="AF30" i="3"/>
  <c r="AG30" i="3" s="1"/>
  <c r="AF29" i="3"/>
  <c r="AG29" i="3" s="1"/>
  <c r="AF28" i="3"/>
  <c r="AG28" i="3" s="1"/>
  <c r="AF27" i="3"/>
  <c r="AG27" i="3" s="1"/>
  <c r="AF26" i="3"/>
  <c r="AG26" i="3" s="1"/>
  <c r="AG92" i="3"/>
  <c r="AF25" i="3"/>
  <c r="AG25" i="3" s="1"/>
  <c r="AF24" i="3"/>
  <c r="AG24" i="3" s="1"/>
  <c r="AF23" i="3"/>
  <c r="AG23" i="3" s="1"/>
  <c r="AF22" i="3"/>
  <c r="AG22" i="3" s="1"/>
  <c r="AF21" i="3"/>
  <c r="AG21" i="3" s="1"/>
  <c r="AF20" i="3"/>
  <c r="AG20" i="3" s="1"/>
  <c r="AF19" i="3"/>
  <c r="AG19" i="3" s="1"/>
  <c r="AF18" i="3"/>
  <c r="AG18" i="3" s="1"/>
  <c r="AG91" i="3"/>
  <c r="AF17" i="3"/>
  <c r="AG17" i="3" s="1"/>
  <c r="AF16" i="3"/>
  <c r="AG16" i="3" s="1"/>
  <c r="AF15" i="3"/>
  <c r="AG15" i="3" s="1"/>
  <c r="AF14" i="3"/>
  <c r="AG14" i="3" s="1"/>
  <c r="AF13" i="3"/>
  <c r="AG13" i="3" s="1"/>
  <c r="AF12" i="3"/>
  <c r="AG12" i="3" s="1"/>
  <c r="AF11" i="3"/>
  <c r="AG11" i="3" s="1"/>
  <c r="AF10" i="3"/>
  <c r="AG10" i="3" s="1"/>
  <c r="AF9" i="3"/>
  <c r="AG9" i="3" s="1"/>
  <c r="AF8" i="3"/>
  <c r="AG8" i="3" s="1"/>
  <c r="AF7" i="3"/>
  <c r="AG7" i="3" s="1"/>
  <c r="AF6" i="3"/>
  <c r="AG6" i="3" s="1"/>
  <c r="AG90" i="3"/>
  <c r="AF5" i="3"/>
  <c r="AG5" i="3" s="1"/>
  <c r="AF4" i="3"/>
  <c r="AG4" i="3" s="1"/>
  <c r="AG89" i="3"/>
  <c r="P83" i="3"/>
  <c r="AA83" i="3" s="1"/>
  <c r="N83" i="3"/>
  <c r="O83" i="3" s="1"/>
  <c r="L83" i="3"/>
  <c r="P82" i="3"/>
  <c r="AA82" i="3" s="1"/>
  <c r="N82" i="3"/>
  <c r="O82" i="3" s="1"/>
  <c r="L82" i="3"/>
  <c r="Q82" i="3" s="1"/>
  <c r="P104" i="3"/>
  <c r="AA104" i="3" s="1"/>
  <c r="N104" i="3"/>
  <c r="O104" i="3" s="1"/>
  <c r="L104" i="3"/>
  <c r="Q104" i="3" s="1"/>
  <c r="P81" i="3"/>
  <c r="AA81" i="3" s="1"/>
  <c r="N81" i="3"/>
  <c r="O81" i="3" s="1"/>
  <c r="L81" i="3"/>
  <c r="P103" i="3"/>
  <c r="AA103" i="3" s="1"/>
  <c r="N103" i="3"/>
  <c r="O103" i="3" s="1"/>
  <c r="L103" i="3"/>
  <c r="P80" i="3"/>
  <c r="AA80" i="3" s="1"/>
  <c r="N80" i="3"/>
  <c r="O80" i="3" s="1"/>
  <c r="L80" i="3"/>
  <c r="P102" i="3"/>
  <c r="AA102" i="3" s="1"/>
  <c r="N102" i="3"/>
  <c r="O102" i="3" s="1"/>
  <c r="L102" i="3"/>
  <c r="Q102" i="3" s="1"/>
  <c r="P101" i="3"/>
  <c r="AA101" i="3" s="1"/>
  <c r="N101" i="3"/>
  <c r="O101" i="3" s="1"/>
  <c r="L101" i="3"/>
  <c r="Q101" i="3" s="1"/>
  <c r="P79" i="3"/>
  <c r="AA79" i="3" s="1"/>
  <c r="N79" i="3"/>
  <c r="O79" i="3" s="1"/>
  <c r="L79" i="3"/>
  <c r="Q79" i="3" s="1"/>
  <c r="P78" i="3"/>
  <c r="AA78" i="3" s="1"/>
  <c r="N78" i="3"/>
  <c r="O78" i="3" s="1"/>
  <c r="L78" i="3"/>
  <c r="P77" i="3"/>
  <c r="AA77" i="3" s="1"/>
  <c r="N77" i="3"/>
  <c r="O77" i="3" s="1"/>
  <c r="L77" i="3"/>
  <c r="P76" i="3"/>
  <c r="AA76" i="3" s="1"/>
  <c r="N76" i="3"/>
  <c r="O76" i="3" s="1"/>
  <c r="L76" i="3"/>
  <c r="Q76" i="3" s="1"/>
  <c r="P100" i="3"/>
  <c r="AA100" i="3" s="1"/>
  <c r="N100" i="3"/>
  <c r="O100" i="3" s="1"/>
  <c r="L100" i="3"/>
  <c r="Q100" i="3" s="1"/>
  <c r="P75" i="3"/>
  <c r="AA75" i="3" s="1"/>
  <c r="N75" i="3"/>
  <c r="O75" i="3" s="1"/>
  <c r="L75" i="3"/>
  <c r="Q75" i="3" s="1"/>
  <c r="P74" i="3"/>
  <c r="AA74" i="3" s="1"/>
  <c r="N74" i="3"/>
  <c r="O74" i="3" s="1"/>
  <c r="L74" i="3"/>
  <c r="P73" i="3"/>
  <c r="AA73" i="3" s="1"/>
  <c r="N73" i="3"/>
  <c r="O73" i="3" s="1"/>
  <c r="L73" i="3"/>
  <c r="Q73" i="3" s="1"/>
  <c r="P99" i="3"/>
  <c r="AA99" i="3" s="1"/>
  <c r="N99" i="3"/>
  <c r="O99" i="3" s="1"/>
  <c r="L99" i="3"/>
  <c r="P72" i="3"/>
  <c r="AA72" i="3" s="1"/>
  <c r="N72" i="3"/>
  <c r="O72" i="3" s="1"/>
  <c r="L72" i="3"/>
  <c r="P71" i="3"/>
  <c r="AA71" i="3" s="1"/>
  <c r="N71" i="3"/>
  <c r="O71" i="3" s="1"/>
  <c r="L71" i="3"/>
  <c r="P70" i="3"/>
  <c r="AA70" i="3" s="1"/>
  <c r="N70" i="3"/>
  <c r="O70" i="3" s="1"/>
  <c r="L70" i="3"/>
  <c r="P69" i="3"/>
  <c r="AA69" i="3" s="1"/>
  <c r="N69" i="3"/>
  <c r="O69" i="3" s="1"/>
  <c r="L69" i="3"/>
  <c r="P68" i="3"/>
  <c r="S68" i="3" s="1"/>
  <c r="U68" i="3" s="1"/>
  <c r="N68" i="3"/>
  <c r="O68" i="3" s="1"/>
  <c r="L68" i="3"/>
  <c r="P67" i="3"/>
  <c r="AA67" i="3" s="1"/>
  <c r="N67" i="3"/>
  <c r="O67" i="3" s="1"/>
  <c r="L67" i="3"/>
  <c r="Q67" i="3" s="1"/>
  <c r="P66" i="3"/>
  <c r="AA66" i="3" s="1"/>
  <c r="N66" i="3"/>
  <c r="O66" i="3" s="1"/>
  <c r="L66" i="3"/>
  <c r="P65" i="3"/>
  <c r="AA65" i="3" s="1"/>
  <c r="N65" i="3"/>
  <c r="O65" i="3" s="1"/>
  <c r="L65" i="3"/>
  <c r="P64" i="3"/>
  <c r="S64" i="3" s="1"/>
  <c r="U64" i="3" s="1"/>
  <c r="N64" i="3"/>
  <c r="O64" i="3" s="1"/>
  <c r="L64" i="3"/>
  <c r="P63" i="3"/>
  <c r="AA63" i="3" s="1"/>
  <c r="N63" i="3"/>
  <c r="O63" i="3" s="1"/>
  <c r="L63" i="3"/>
  <c r="Q63" i="3" s="1"/>
  <c r="P62" i="3"/>
  <c r="AA62" i="3" s="1"/>
  <c r="N62" i="3"/>
  <c r="O62" i="3" s="1"/>
  <c r="L62" i="3"/>
  <c r="P61" i="3"/>
  <c r="S61" i="3" s="1"/>
  <c r="U61" i="3" s="1"/>
  <c r="N61" i="3"/>
  <c r="O61" i="3" s="1"/>
  <c r="L61" i="3"/>
  <c r="P60" i="3"/>
  <c r="AA60" i="3" s="1"/>
  <c r="N60" i="3"/>
  <c r="O60" i="3" s="1"/>
  <c r="L60" i="3"/>
  <c r="P59" i="3"/>
  <c r="AA59" i="3" s="1"/>
  <c r="N59" i="3"/>
  <c r="O59" i="3" s="1"/>
  <c r="L59" i="3"/>
  <c r="AO69" i="3" l="1"/>
  <c r="AO64" i="3"/>
  <c r="AO60" i="3"/>
  <c r="AO59" i="3"/>
  <c r="AO72" i="3"/>
  <c r="AO63" i="3"/>
  <c r="AO81" i="3"/>
  <c r="AO102" i="3"/>
  <c r="AO79" i="3"/>
  <c r="AO75" i="3"/>
  <c r="AG74" i="3"/>
  <c r="AO66" i="3"/>
  <c r="AO100" i="3"/>
  <c r="AO71" i="3"/>
  <c r="AG61" i="3"/>
  <c r="AG70" i="3"/>
  <c r="AG99" i="3"/>
  <c r="AG65" i="3"/>
  <c r="AG68" i="3"/>
  <c r="AO101" i="3"/>
  <c r="AO78" i="3"/>
  <c r="AO76" i="3"/>
  <c r="AG76" i="3"/>
  <c r="AG103" i="3"/>
  <c r="AG83" i="3"/>
  <c r="AO67" i="3"/>
  <c r="AO77" i="3"/>
  <c r="S83" i="3"/>
  <c r="U83" i="3" s="1"/>
  <c r="W83" i="3" s="1"/>
  <c r="Q83" i="3"/>
  <c r="AC82" i="3"/>
  <c r="R82" i="3"/>
  <c r="Y82" i="3" s="1"/>
  <c r="AD82" i="3" s="1"/>
  <c r="AO82" i="3"/>
  <c r="S82" i="3"/>
  <c r="U82" i="3" s="1"/>
  <c r="W82" i="3" s="1"/>
  <c r="R104" i="3"/>
  <c r="Y104" i="3" s="1"/>
  <c r="AC104" i="3"/>
  <c r="S104" i="3"/>
  <c r="U104" i="3" s="1"/>
  <c r="W104" i="3" s="1"/>
  <c r="AO104" i="3"/>
  <c r="Q81" i="3"/>
  <c r="S81" i="3"/>
  <c r="U81" i="3" s="1"/>
  <c r="W81" i="3" s="1"/>
  <c r="Q103" i="3"/>
  <c r="S103" i="3"/>
  <c r="U103" i="3" s="1"/>
  <c r="W103" i="3" s="1"/>
  <c r="S80" i="3"/>
  <c r="U80" i="3" s="1"/>
  <c r="W80" i="3" s="1"/>
  <c r="AO80" i="3"/>
  <c r="Q80" i="3"/>
  <c r="R102" i="3"/>
  <c r="Y102" i="3" s="1"/>
  <c r="AC102" i="3"/>
  <c r="S102" i="3"/>
  <c r="U102" i="3" s="1"/>
  <c r="W102" i="3" s="1"/>
  <c r="AC101" i="3"/>
  <c r="R101" i="3"/>
  <c r="Y101" i="3" s="1"/>
  <c r="S101" i="3"/>
  <c r="U101" i="3" s="1"/>
  <c r="W101" i="3" s="1"/>
  <c r="R79" i="3"/>
  <c r="Y79" i="3" s="1"/>
  <c r="AC79" i="3"/>
  <c r="S79" i="3"/>
  <c r="U79" i="3" s="1"/>
  <c r="W79" i="3" s="1"/>
  <c r="Q78" i="3"/>
  <c r="S78" i="3"/>
  <c r="U78" i="3" s="1"/>
  <c r="W78" i="3" s="1"/>
  <c r="Q77" i="3"/>
  <c r="S77" i="3"/>
  <c r="U77" i="3" s="1"/>
  <c r="W77" i="3" s="1"/>
  <c r="R76" i="3"/>
  <c r="Y76" i="3" s="1"/>
  <c r="AC76" i="3"/>
  <c r="S76" i="3"/>
  <c r="U76" i="3" s="1"/>
  <c r="W76" i="3" s="1"/>
  <c r="R100" i="3"/>
  <c r="Y100" i="3" s="1"/>
  <c r="AC100" i="3"/>
  <c r="S100" i="3"/>
  <c r="U100" i="3" s="1"/>
  <c r="W100" i="3" s="1"/>
  <c r="R75" i="3"/>
  <c r="Y75" i="3" s="1"/>
  <c r="AC75" i="3"/>
  <c r="S75" i="3"/>
  <c r="U75" i="3" s="1"/>
  <c r="W75" i="3" s="1"/>
  <c r="Q74" i="3"/>
  <c r="S74" i="3"/>
  <c r="U74" i="3" s="1"/>
  <c r="W74" i="3" s="1"/>
  <c r="AC73" i="3"/>
  <c r="R73" i="3"/>
  <c r="Y73" i="3" s="1"/>
  <c r="S73" i="3"/>
  <c r="U73" i="3" s="1"/>
  <c r="W73" i="3" s="1"/>
  <c r="AO73" i="3"/>
  <c r="Q99" i="3"/>
  <c r="S99" i="3"/>
  <c r="U99" i="3" s="1"/>
  <c r="W99" i="3" s="1"/>
  <c r="Q72" i="3"/>
  <c r="S72" i="3"/>
  <c r="U72" i="3" s="1"/>
  <c r="W72" i="3" s="1"/>
  <c r="Q71" i="3"/>
  <c r="S71" i="3"/>
  <c r="U71" i="3" s="1"/>
  <c r="W71" i="3" s="1"/>
  <c r="Q70" i="3"/>
  <c r="S70" i="3"/>
  <c r="U70" i="3" s="1"/>
  <c r="W70" i="3" s="1"/>
  <c r="Q69" i="3"/>
  <c r="S69" i="3"/>
  <c r="U69" i="3" s="1"/>
  <c r="W69" i="3" s="1"/>
  <c r="AA68" i="3"/>
  <c r="W68" i="3"/>
  <c r="Q68" i="3"/>
  <c r="W64" i="3"/>
  <c r="R67" i="3"/>
  <c r="Y67" i="3" s="1"/>
  <c r="AC67" i="3"/>
  <c r="S67" i="3"/>
  <c r="U67" i="3" s="1"/>
  <c r="W67" i="3" s="1"/>
  <c r="S66" i="3"/>
  <c r="U66" i="3" s="1"/>
  <c r="W66" i="3" s="1"/>
  <c r="Q66" i="3"/>
  <c r="Q65" i="3"/>
  <c r="S65" i="3"/>
  <c r="U65" i="3" s="1"/>
  <c r="W65" i="3" s="1"/>
  <c r="AA64" i="3"/>
  <c r="Q64" i="3"/>
  <c r="AC63" i="3"/>
  <c r="R63" i="3"/>
  <c r="Y63" i="3" s="1"/>
  <c r="S63" i="3"/>
  <c r="U63" i="3" s="1"/>
  <c r="W63" i="3" s="1"/>
  <c r="Q62" i="3"/>
  <c r="S62" i="3"/>
  <c r="U62" i="3" s="1"/>
  <c r="W62" i="3" s="1"/>
  <c r="AO62" i="3"/>
  <c r="AA61" i="3"/>
  <c r="W61" i="3"/>
  <c r="Q61" i="3"/>
  <c r="Q60" i="3"/>
  <c r="S60" i="3"/>
  <c r="U60" i="3" s="1"/>
  <c r="W60" i="3" s="1"/>
  <c r="S59" i="3"/>
  <c r="U59" i="3" s="1"/>
  <c r="W59" i="3" s="1"/>
  <c r="Q59" i="3"/>
  <c r="H128" i="4"/>
  <c r="I128" i="4"/>
  <c r="T128" i="4"/>
  <c r="V128" i="4"/>
  <c r="X128" i="4"/>
  <c r="Z128" i="4"/>
  <c r="AB128" i="4"/>
  <c r="AF128" i="4"/>
  <c r="AE82" i="3" l="1"/>
  <c r="AK82" i="3" s="1"/>
  <c r="AD63" i="3"/>
  <c r="R83" i="3"/>
  <c r="Y83" i="3" s="1"/>
  <c r="AC83" i="3"/>
  <c r="AQ82" i="3"/>
  <c r="AD104" i="3"/>
  <c r="AE104" i="3" s="1"/>
  <c r="R81" i="3"/>
  <c r="Y81" i="3" s="1"/>
  <c r="AC81" i="3"/>
  <c r="AC103" i="3"/>
  <c r="R103" i="3"/>
  <c r="Y103" i="3" s="1"/>
  <c r="AD103" i="3" s="1"/>
  <c r="AE103" i="3" s="1"/>
  <c r="AK103" i="3" s="1"/>
  <c r="AD101" i="3"/>
  <c r="AE101" i="3" s="1"/>
  <c r="R80" i="3"/>
  <c r="Y80" i="3" s="1"/>
  <c r="AC80" i="3"/>
  <c r="AD102" i="3"/>
  <c r="AE102" i="3" s="1"/>
  <c r="AD79" i="3"/>
  <c r="AE79" i="3" s="1"/>
  <c r="AC78" i="3"/>
  <c r="R78" i="3"/>
  <c r="Y78" i="3" s="1"/>
  <c r="AD73" i="3"/>
  <c r="AE73" i="3" s="1"/>
  <c r="R77" i="3"/>
  <c r="Y77" i="3" s="1"/>
  <c r="AC77" i="3"/>
  <c r="AD76" i="3"/>
  <c r="AE76" i="3" s="1"/>
  <c r="AK76" i="3" s="1"/>
  <c r="AD100" i="3"/>
  <c r="AE100" i="3" s="1"/>
  <c r="AD75" i="3"/>
  <c r="AE75" i="3" s="1"/>
  <c r="R74" i="3"/>
  <c r="Y74" i="3" s="1"/>
  <c r="AC74" i="3"/>
  <c r="R99" i="3"/>
  <c r="Y99" i="3" s="1"/>
  <c r="AC99" i="3"/>
  <c r="R72" i="3"/>
  <c r="Y72" i="3" s="1"/>
  <c r="AC72" i="3"/>
  <c r="R71" i="3"/>
  <c r="Y71" i="3" s="1"/>
  <c r="AC71" i="3"/>
  <c r="AC70" i="3"/>
  <c r="R70" i="3"/>
  <c r="Y70" i="3" s="1"/>
  <c r="AD70" i="3" s="1"/>
  <c r="AE70" i="3" s="1"/>
  <c r="AK70" i="3" s="1"/>
  <c r="R69" i="3"/>
  <c r="Y69" i="3" s="1"/>
  <c r="AC69" i="3"/>
  <c r="R68" i="3"/>
  <c r="Y68" i="3" s="1"/>
  <c r="AC68" i="3"/>
  <c r="AD67" i="3"/>
  <c r="AE67" i="3" s="1"/>
  <c r="R66" i="3"/>
  <c r="Y66" i="3" s="1"/>
  <c r="AC66" i="3"/>
  <c r="AE63" i="3"/>
  <c r="R65" i="3"/>
  <c r="Y65" i="3" s="1"/>
  <c r="AC65" i="3"/>
  <c r="R64" i="3"/>
  <c r="Y64" i="3" s="1"/>
  <c r="AC64" i="3"/>
  <c r="AC62" i="3"/>
  <c r="R62" i="3"/>
  <c r="Y62" i="3" s="1"/>
  <c r="R61" i="3"/>
  <c r="Y61" i="3" s="1"/>
  <c r="AC61" i="3"/>
  <c r="AC60" i="3"/>
  <c r="R60" i="3"/>
  <c r="Y60" i="3" s="1"/>
  <c r="R59" i="3"/>
  <c r="Y59" i="3" s="1"/>
  <c r="AC59" i="3"/>
  <c r="AF4" i="4"/>
  <c r="AG4" i="4" s="1"/>
  <c r="AF5" i="4"/>
  <c r="AG5" i="4" s="1"/>
  <c r="AF6" i="4"/>
  <c r="AG6" i="4" s="1"/>
  <c r="AF7" i="4"/>
  <c r="AG7" i="4" s="1"/>
  <c r="AF8" i="4"/>
  <c r="AG8" i="4"/>
  <c r="AG131" i="4"/>
  <c r="AG132" i="4"/>
  <c r="AF9" i="4"/>
  <c r="AG9" i="4" s="1"/>
  <c r="AF10" i="4"/>
  <c r="AG10" i="4" s="1"/>
  <c r="AF11" i="4"/>
  <c r="AG11" i="4" s="1"/>
  <c r="AF12" i="4"/>
  <c r="AG12" i="4" s="1"/>
  <c r="AF13" i="4"/>
  <c r="AG13" i="4" s="1"/>
  <c r="AF14" i="4"/>
  <c r="AG14" i="4" s="1"/>
  <c r="AF15" i="4"/>
  <c r="AG15" i="4" s="1"/>
  <c r="AF16" i="4"/>
  <c r="AG16" i="4"/>
  <c r="AG137" i="4"/>
  <c r="AF17" i="4"/>
  <c r="AG17" i="4"/>
  <c r="AF18" i="4"/>
  <c r="AG18" i="4"/>
  <c r="AG133" i="4"/>
  <c r="AF19" i="4"/>
  <c r="AG19" i="4" s="1"/>
  <c r="AF20" i="4"/>
  <c r="AG20" i="4"/>
  <c r="AF21" i="4"/>
  <c r="AG21" i="4" s="1"/>
  <c r="AF22" i="4"/>
  <c r="AG22" i="4"/>
  <c r="AF23" i="4"/>
  <c r="AG23" i="4" s="1"/>
  <c r="AF24" i="4"/>
  <c r="AG24" i="4" s="1"/>
  <c r="AF25" i="4"/>
  <c r="AG25" i="4"/>
  <c r="AF26" i="4"/>
  <c r="AG26" i="4" s="1"/>
  <c r="AF27" i="4"/>
  <c r="AG27" i="4" s="1"/>
  <c r="AF28" i="4"/>
  <c r="AG28" i="4" s="1"/>
  <c r="AF29" i="4"/>
  <c r="AG29" i="4" s="1"/>
  <c r="AF30" i="4"/>
  <c r="AG30" i="4" s="1"/>
  <c r="AF31" i="4"/>
  <c r="AG31" i="4" s="1"/>
  <c r="AF32" i="4"/>
  <c r="AG32" i="4" s="1"/>
  <c r="AF33" i="4"/>
  <c r="AG33" i="4" s="1"/>
  <c r="AF34" i="4"/>
  <c r="AG34" i="4" s="1"/>
  <c r="AF35" i="4"/>
  <c r="AG35" i="4" s="1"/>
  <c r="AF36" i="4"/>
  <c r="AG36" i="4" s="1"/>
  <c r="AF37" i="4"/>
  <c r="AG37" i="4" s="1"/>
  <c r="AF38" i="4"/>
  <c r="AG38" i="4" s="1"/>
  <c r="AF39" i="4"/>
  <c r="AG39" i="4" s="1"/>
  <c r="AF40" i="4"/>
  <c r="AG40" i="4"/>
  <c r="AG134" i="4"/>
  <c r="AF41" i="4"/>
  <c r="AG41" i="4" s="1"/>
  <c r="AF42" i="4"/>
  <c r="AG42" i="4" s="1"/>
  <c r="AF43" i="4"/>
  <c r="AG43" i="4" s="1"/>
  <c r="AF44" i="4"/>
  <c r="AG44" i="4" s="1"/>
  <c r="AF45" i="4"/>
  <c r="AG45" i="4" s="1"/>
  <c r="AF46" i="4"/>
  <c r="AG46" i="4" s="1"/>
  <c r="AF47" i="4"/>
  <c r="AG47" i="4" s="1"/>
  <c r="AF48" i="4"/>
  <c r="AG48" i="4" s="1"/>
  <c r="AG135" i="4"/>
  <c r="AF49" i="4"/>
  <c r="AG49" i="4" s="1"/>
  <c r="AF50" i="4"/>
  <c r="AG50" i="4"/>
  <c r="AF51" i="4"/>
  <c r="AG51" i="4" s="1"/>
  <c r="AF52" i="4"/>
  <c r="AG52" i="4" s="1"/>
  <c r="AF53" i="4"/>
  <c r="AG53" i="4" s="1"/>
  <c r="AF54" i="4"/>
  <c r="AG54" i="4" s="1"/>
  <c r="AF55" i="4"/>
  <c r="AG55" i="4" s="1"/>
  <c r="AF56" i="4"/>
  <c r="AG56" i="4" s="1"/>
  <c r="AF57" i="4"/>
  <c r="AG57" i="4" s="1"/>
  <c r="AF58" i="4"/>
  <c r="AG58" i="4" s="1"/>
  <c r="AF59" i="4"/>
  <c r="AG59" i="4" s="1"/>
  <c r="AF60" i="4"/>
  <c r="AG60" i="4"/>
  <c r="AF61" i="4"/>
  <c r="AG61" i="4" s="1"/>
  <c r="AF62" i="4"/>
  <c r="AG62" i="4" s="1"/>
  <c r="AF63" i="4"/>
  <c r="AG63" i="4" s="1"/>
  <c r="AF64" i="4"/>
  <c r="AG64" i="4" s="1"/>
  <c r="AF65" i="4"/>
  <c r="AG65" i="4" s="1"/>
  <c r="AF66" i="4"/>
  <c r="AG66" i="4"/>
  <c r="AF67" i="4"/>
  <c r="AG67" i="4" s="1"/>
  <c r="AF68" i="4"/>
  <c r="AG68" i="4"/>
  <c r="AF69" i="4"/>
  <c r="AG69" i="4" s="1"/>
  <c r="AF70" i="4"/>
  <c r="AG70" i="4" s="1"/>
  <c r="AF71" i="4"/>
  <c r="AG71" i="4"/>
  <c r="AF72" i="4"/>
  <c r="AG72" i="4"/>
  <c r="AF73" i="4"/>
  <c r="AG73" i="4" s="1"/>
  <c r="AF74" i="4"/>
  <c r="AG74" i="4" s="1"/>
  <c r="AF75" i="4"/>
  <c r="AG75" i="4" s="1"/>
  <c r="AF76" i="4"/>
  <c r="AG76" i="4" s="1"/>
  <c r="AF77" i="4"/>
  <c r="AG77" i="4" s="1"/>
  <c r="AG136" i="4"/>
  <c r="AF78" i="4"/>
  <c r="AG78" i="4" s="1"/>
  <c r="AF79" i="4"/>
  <c r="AG79" i="4"/>
  <c r="AF80" i="4"/>
  <c r="AG80" i="4" s="1"/>
  <c r="AF81" i="4"/>
  <c r="AG81" i="4" s="1"/>
  <c r="AF82" i="4"/>
  <c r="AG82" i="4"/>
  <c r="AF83" i="4"/>
  <c r="AG83" i="4" s="1"/>
  <c r="AF84" i="4"/>
  <c r="AG84" i="4" s="1"/>
  <c r="AF85" i="4"/>
  <c r="AG85" i="4" s="1"/>
  <c r="AF86" i="4"/>
  <c r="AG86" i="4" s="1"/>
  <c r="AF87" i="4"/>
  <c r="AG87" i="4" s="1"/>
  <c r="AF88" i="4"/>
  <c r="AG88" i="4" s="1"/>
  <c r="AF89" i="4"/>
  <c r="AG89" i="4" s="1"/>
  <c r="AF90" i="4"/>
  <c r="AG90" i="4" s="1"/>
  <c r="AF91" i="4"/>
  <c r="AG91" i="4" s="1"/>
  <c r="AF92" i="4"/>
  <c r="AG92" i="4" s="1"/>
  <c r="AF93" i="4"/>
  <c r="AG93" i="4" s="1"/>
  <c r="AF94" i="4"/>
  <c r="AG94" i="4"/>
  <c r="AF95" i="4"/>
  <c r="AG95" i="4"/>
  <c r="AF96" i="4"/>
  <c r="AG96" i="4" s="1"/>
  <c r="AF97" i="4"/>
  <c r="AG97" i="4" s="1"/>
  <c r="AF98" i="4"/>
  <c r="AG98" i="4"/>
  <c r="AF99" i="4"/>
  <c r="AG99" i="4" s="1"/>
  <c r="AF100" i="4"/>
  <c r="AG100" i="4" s="1"/>
  <c r="AF101" i="4"/>
  <c r="AG101" i="4"/>
  <c r="AF102" i="4"/>
  <c r="AG102" i="4" s="1"/>
  <c r="AF103" i="4"/>
  <c r="AG103" i="4" s="1"/>
  <c r="AF104" i="4"/>
  <c r="AG104" i="4" s="1"/>
  <c r="AF105" i="4"/>
  <c r="AG105" i="4" s="1"/>
  <c r="AF106" i="4"/>
  <c r="AG106" i="4"/>
  <c r="AF107" i="4"/>
  <c r="AG107" i="4"/>
  <c r="AF108" i="4"/>
  <c r="AG108" i="4" s="1"/>
  <c r="AF109" i="4"/>
  <c r="AG109" i="4"/>
  <c r="AF110" i="4"/>
  <c r="AG110" i="4" s="1"/>
  <c r="AF111" i="4"/>
  <c r="AG111" i="4" s="1"/>
  <c r="AF112" i="4"/>
  <c r="AG112" i="4" s="1"/>
  <c r="AF113" i="4"/>
  <c r="AG113" i="4"/>
  <c r="AF114" i="4"/>
  <c r="AG114" i="4" s="1"/>
  <c r="AF115" i="4"/>
  <c r="AG115" i="4" s="1"/>
  <c r="AF116" i="4"/>
  <c r="AG116" i="4"/>
  <c r="AF117" i="4"/>
  <c r="AG117" i="4" s="1"/>
  <c r="AF118" i="4"/>
  <c r="AG118" i="4" s="1"/>
  <c r="AF119" i="4"/>
  <c r="AG119" i="4" s="1"/>
  <c r="AF120" i="4"/>
  <c r="AG120" i="4"/>
  <c r="AG121" i="4"/>
  <c r="AG122" i="4"/>
  <c r="AG123" i="4"/>
  <c r="AG124" i="4"/>
  <c r="AG125" i="4"/>
  <c r="AG126" i="4"/>
  <c r="AG127" i="4"/>
  <c r="AI82" i="3" l="1"/>
  <c r="AJ82" i="3" s="1"/>
  <c r="AL82" i="3" s="1"/>
  <c r="AN82" i="3" s="1"/>
  <c r="AI76" i="3"/>
  <c r="AJ76" i="3" s="1"/>
  <c r="AI103" i="3"/>
  <c r="AJ103" i="3" s="1"/>
  <c r="AL103" i="3" s="1"/>
  <c r="AN103" i="3" s="1"/>
  <c r="AK101" i="3"/>
  <c r="AI101" i="3"/>
  <c r="AJ101" i="3" s="1"/>
  <c r="AI70" i="3"/>
  <c r="AJ70" i="3" s="1"/>
  <c r="AK79" i="3"/>
  <c r="AI79" i="3"/>
  <c r="AJ79" i="3" s="1"/>
  <c r="AL79" i="3" s="1"/>
  <c r="AN79" i="3" s="1"/>
  <c r="AK75" i="3"/>
  <c r="AI75" i="3"/>
  <c r="AJ75" i="3" s="1"/>
  <c r="AK100" i="3"/>
  <c r="AI100" i="3"/>
  <c r="AJ100" i="3" s="1"/>
  <c r="AK67" i="3"/>
  <c r="AI67" i="3"/>
  <c r="AJ67" i="3" s="1"/>
  <c r="AK102" i="3"/>
  <c r="AI102" i="3"/>
  <c r="AJ102" i="3" s="1"/>
  <c r="AK73" i="3"/>
  <c r="AI73" i="3"/>
  <c r="AJ73" i="3" s="1"/>
  <c r="AK104" i="3"/>
  <c r="AI104" i="3"/>
  <c r="AJ104" i="3" s="1"/>
  <c r="AK63" i="3"/>
  <c r="AI63" i="3"/>
  <c r="AJ63" i="3" s="1"/>
  <c r="AD83" i="3"/>
  <c r="AE83" i="3" s="1"/>
  <c r="AQ104" i="3"/>
  <c r="AD81" i="3"/>
  <c r="AE81" i="3" s="1"/>
  <c r="AQ101" i="3"/>
  <c r="AQ103" i="3"/>
  <c r="AD78" i="3"/>
  <c r="AE78" i="3" s="1"/>
  <c r="AD80" i="3"/>
  <c r="AE80" i="3" s="1"/>
  <c r="AQ102" i="3"/>
  <c r="AQ79" i="3"/>
  <c r="AQ73" i="3"/>
  <c r="AD77" i="3"/>
  <c r="AE77" i="3" s="1"/>
  <c r="AQ76" i="3"/>
  <c r="AQ100" i="3"/>
  <c r="AQ75" i="3"/>
  <c r="AD74" i="3"/>
  <c r="AE74" i="3" s="1"/>
  <c r="AD99" i="3"/>
  <c r="AE99" i="3" s="1"/>
  <c r="AD60" i="3"/>
  <c r="AE60" i="3" s="1"/>
  <c r="AD72" i="3"/>
  <c r="AE72" i="3" s="1"/>
  <c r="AD71" i="3"/>
  <c r="AE71" i="3" s="1"/>
  <c r="AQ70" i="3"/>
  <c r="AQ63" i="3"/>
  <c r="AD69" i="3"/>
  <c r="AE69" i="3" s="1"/>
  <c r="AD68" i="3"/>
  <c r="AE68" i="3" s="1"/>
  <c r="AQ67" i="3"/>
  <c r="AD66" i="3"/>
  <c r="AE66" i="3" s="1"/>
  <c r="AD62" i="3"/>
  <c r="AE62" i="3" s="1"/>
  <c r="AD65" i="3"/>
  <c r="AE65" i="3" s="1"/>
  <c r="AD64" i="3"/>
  <c r="AE64" i="3" s="1"/>
  <c r="AD61" i="3"/>
  <c r="AE61" i="3" s="1"/>
  <c r="AD59" i="3"/>
  <c r="AE59" i="3" s="1"/>
  <c r="AO127" i="4"/>
  <c r="P127" i="4"/>
  <c r="AA127" i="4" s="1"/>
  <c r="N127" i="4"/>
  <c r="O127" i="4" s="1"/>
  <c r="L127" i="4"/>
  <c r="AO126" i="4"/>
  <c r="P126" i="4"/>
  <c r="AA126" i="4" s="1"/>
  <c r="N126" i="4"/>
  <c r="O126" i="4" s="1"/>
  <c r="L126" i="4"/>
  <c r="AO125" i="4"/>
  <c r="P125" i="4"/>
  <c r="AA125" i="4" s="1"/>
  <c r="N125" i="4"/>
  <c r="O125" i="4" s="1"/>
  <c r="L125" i="4"/>
  <c r="AO124" i="4"/>
  <c r="P124" i="4"/>
  <c r="AA124" i="4" s="1"/>
  <c r="N124" i="4"/>
  <c r="O124" i="4" s="1"/>
  <c r="L124" i="4"/>
  <c r="AO123" i="4"/>
  <c r="P123" i="4"/>
  <c r="AA123" i="4" s="1"/>
  <c r="N123" i="4"/>
  <c r="O123" i="4" s="1"/>
  <c r="L123" i="4"/>
  <c r="AO122" i="4"/>
  <c r="P122" i="4"/>
  <c r="S122" i="4" s="1"/>
  <c r="U122" i="4" s="1"/>
  <c r="N122" i="4"/>
  <c r="O122" i="4" s="1"/>
  <c r="L122" i="4"/>
  <c r="AO121" i="4"/>
  <c r="P121" i="4"/>
  <c r="AA121" i="4" s="1"/>
  <c r="N121" i="4"/>
  <c r="O121" i="4" s="1"/>
  <c r="L121" i="4"/>
  <c r="P120" i="4"/>
  <c r="AA120" i="4" s="1"/>
  <c r="N120" i="4"/>
  <c r="O120" i="4" s="1"/>
  <c r="L120" i="4"/>
  <c r="Q120" i="4" s="1"/>
  <c r="AL101" i="3" l="1"/>
  <c r="AN101" i="3" s="1"/>
  <c r="AL63" i="3"/>
  <c r="AN63" i="3" s="1"/>
  <c r="AL75" i="3"/>
  <c r="AN75" i="3" s="1"/>
  <c r="AK66" i="3"/>
  <c r="AI66" i="3"/>
  <c r="AJ66" i="3" s="1"/>
  <c r="AK71" i="3"/>
  <c r="AI71" i="3"/>
  <c r="AJ71" i="3" s="1"/>
  <c r="AK80" i="3"/>
  <c r="AI80" i="3"/>
  <c r="AJ80" i="3" s="1"/>
  <c r="AQ78" i="3"/>
  <c r="AK78" i="3"/>
  <c r="AI78" i="3"/>
  <c r="AJ78" i="3" s="1"/>
  <c r="AK83" i="3"/>
  <c r="AI83" i="3"/>
  <c r="AJ83" i="3" s="1"/>
  <c r="AK99" i="3"/>
  <c r="AI99" i="3"/>
  <c r="AJ99" i="3" s="1"/>
  <c r="AK74" i="3"/>
  <c r="AI74" i="3"/>
  <c r="AJ74" i="3" s="1"/>
  <c r="AK68" i="3"/>
  <c r="AI68" i="3"/>
  <c r="AJ68" i="3" s="1"/>
  <c r="AK81" i="3"/>
  <c r="AI81" i="3"/>
  <c r="AJ81" i="3" s="1"/>
  <c r="AI69" i="3"/>
  <c r="AJ69" i="3" s="1"/>
  <c r="AK69" i="3"/>
  <c r="AK77" i="3"/>
  <c r="AI77" i="3"/>
  <c r="AJ77" i="3" s="1"/>
  <c r="AK72" i="3"/>
  <c r="AI72" i="3"/>
  <c r="AJ72" i="3" s="1"/>
  <c r="AK65" i="3"/>
  <c r="AI65" i="3"/>
  <c r="AJ65" i="3" s="1"/>
  <c r="AK61" i="3"/>
  <c r="AI61" i="3"/>
  <c r="AJ61" i="3" s="1"/>
  <c r="AK64" i="3"/>
  <c r="AI64" i="3"/>
  <c r="AJ64" i="3" s="1"/>
  <c r="AQ60" i="3"/>
  <c r="AK60" i="3"/>
  <c r="AI60" i="3"/>
  <c r="AJ60" i="3" s="1"/>
  <c r="AK62" i="3"/>
  <c r="AI62" i="3"/>
  <c r="AJ62" i="3" s="1"/>
  <c r="AK59" i="3"/>
  <c r="AI59" i="3"/>
  <c r="AJ59" i="3" s="1"/>
  <c r="AL100" i="3"/>
  <c r="AN100" i="3" s="1"/>
  <c r="AL104" i="3"/>
  <c r="AN104" i="3" s="1"/>
  <c r="AQ83" i="3"/>
  <c r="AL102" i="3"/>
  <c r="AN102" i="3" s="1"/>
  <c r="AQ81" i="3"/>
  <c r="AQ80" i="3"/>
  <c r="AL76" i="3"/>
  <c r="AN76" i="3" s="1"/>
  <c r="AL73" i="3"/>
  <c r="AN73" i="3" s="1"/>
  <c r="AQ77" i="3"/>
  <c r="AQ62" i="3"/>
  <c r="AL70" i="3"/>
  <c r="AN70" i="3" s="1"/>
  <c r="AQ74" i="3"/>
  <c r="AQ99" i="3"/>
  <c r="AQ72" i="3"/>
  <c r="AL67" i="3"/>
  <c r="AN67" i="3" s="1"/>
  <c r="AQ71" i="3"/>
  <c r="AQ69" i="3"/>
  <c r="AQ68" i="3"/>
  <c r="AQ66" i="3"/>
  <c r="AQ65" i="3"/>
  <c r="AQ64" i="3"/>
  <c r="AQ61" i="3"/>
  <c r="AQ59" i="3"/>
  <c r="AA122" i="4"/>
  <c r="AO120" i="4"/>
  <c r="Q127" i="4"/>
  <c r="S127" i="4"/>
  <c r="U127" i="4" s="1"/>
  <c r="W127" i="4" s="1"/>
  <c r="Q126" i="4"/>
  <c r="S126" i="4"/>
  <c r="U126" i="4" s="1"/>
  <c r="W126" i="4" s="1"/>
  <c r="Q125" i="4"/>
  <c r="S125" i="4"/>
  <c r="U125" i="4" s="1"/>
  <c r="W125" i="4" s="1"/>
  <c r="Q124" i="4"/>
  <c r="S124" i="4"/>
  <c r="U124" i="4" s="1"/>
  <c r="W124" i="4" s="1"/>
  <c r="S123" i="4"/>
  <c r="U123" i="4" s="1"/>
  <c r="W123" i="4" s="1"/>
  <c r="Q123" i="4"/>
  <c r="W122" i="4"/>
  <c r="Q122" i="4"/>
  <c r="Q121" i="4"/>
  <c r="S121" i="4"/>
  <c r="U121" i="4" s="1"/>
  <c r="W121" i="4" s="1"/>
  <c r="R120" i="4"/>
  <c r="Y120" i="4" s="1"/>
  <c r="AC120" i="4"/>
  <c r="S120" i="4"/>
  <c r="U120" i="4" s="1"/>
  <c r="W120" i="4" s="1"/>
  <c r="AL62" i="3" l="1"/>
  <c r="AN62" i="3" s="1"/>
  <c r="AL81" i="3"/>
  <c r="AN81" i="3" s="1"/>
  <c r="AL83" i="3"/>
  <c r="AN83" i="3" s="1"/>
  <c r="AL80" i="3"/>
  <c r="AN80" i="3" s="1"/>
  <c r="AL78" i="3"/>
  <c r="AN78" i="3" s="1"/>
  <c r="AL71" i="3"/>
  <c r="AN71" i="3" s="1"/>
  <c r="AL60" i="3"/>
  <c r="AN60" i="3" s="1"/>
  <c r="AL77" i="3"/>
  <c r="AN77" i="3" s="1"/>
  <c r="AL74" i="3"/>
  <c r="AN74" i="3" s="1"/>
  <c r="AL69" i="3"/>
  <c r="AN69" i="3" s="1"/>
  <c r="AL72" i="3"/>
  <c r="AN72" i="3" s="1"/>
  <c r="AL66" i="3"/>
  <c r="AN66" i="3" s="1"/>
  <c r="AL59" i="3"/>
  <c r="AN59" i="3" s="1"/>
  <c r="AL99" i="3"/>
  <c r="AN99" i="3" s="1"/>
  <c r="AL65" i="3"/>
  <c r="AN65" i="3" s="1"/>
  <c r="AL64" i="3"/>
  <c r="AN64" i="3" s="1"/>
  <c r="AL68" i="3"/>
  <c r="AN68" i="3" s="1"/>
  <c r="AL61" i="3"/>
  <c r="AN61" i="3" s="1"/>
  <c r="R127" i="4"/>
  <c r="Y127" i="4" s="1"/>
  <c r="AC127" i="4"/>
  <c r="R126" i="4"/>
  <c r="Y126" i="4" s="1"/>
  <c r="AC126" i="4"/>
  <c r="R125" i="4"/>
  <c r="Y125" i="4" s="1"/>
  <c r="AC125" i="4"/>
  <c r="R124" i="4"/>
  <c r="Y124" i="4" s="1"/>
  <c r="AC124" i="4"/>
  <c r="R123" i="4"/>
  <c r="Y123" i="4" s="1"/>
  <c r="AC123" i="4"/>
  <c r="R122" i="4"/>
  <c r="Y122" i="4" s="1"/>
  <c r="AC122" i="4"/>
  <c r="R121" i="4"/>
  <c r="Y121" i="4" s="1"/>
  <c r="AC121" i="4"/>
  <c r="AD120" i="4"/>
  <c r="AE120" i="4" l="1"/>
  <c r="AI120" i="4" s="1"/>
  <c r="AJ120" i="4" s="1"/>
  <c r="AK120" i="4"/>
  <c r="AD127" i="4"/>
  <c r="AE127" i="4" s="1"/>
  <c r="AD126" i="4"/>
  <c r="AE126" i="4" s="1"/>
  <c r="AD125" i="4"/>
  <c r="AE125" i="4" s="1"/>
  <c r="AD124" i="4"/>
  <c r="AE124" i="4" s="1"/>
  <c r="AD123" i="4"/>
  <c r="AE123" i="4" s="1"/>
  <c r="AD122" i="4"/>
  <c r="AE122" i="4" s="1"/>
  <c r="AD121" i="4"/>
  <c r="AE121" i="4" s="1"/>
  <c r="AQ120" i="4"/>
  <c r="AL120" i="4" l="1"/>
  <c r="AK122" i="4"/>
  <c r="AI122" i="4"/>
  <c r="AJ122" i="4" s="1"/>
  <c r="AI125" i="4"/>
  <c r="AJ125" i="4" s="1"/>
  <c r="AK125" i="4"/>
  <c r="AK121" i="4"/>
  <c r="AI121" i="4"/>
  <c r="AJ121" i="4" s="1"/>
  <c r="AL121" i="4" s="1"/>
  <c r="AN121" i="4" s="1"/>
  <c r="AK123" i="4"/>
  <c r="AI123" i="4"/>
  <c r="AJ123" i="4" s="1"/>
  <c r="AL123" i="4" s="1"/>
  <c r="AN123" i="4" s="1"/>
  <c r="AK124" i="4"/>
  <c r="AI124" i="4"/>
  <c r="AJ124" i="4" s="1"/>
  <c r="AK126" i="4"/>
  <c r="AI126" i="4"/>
  <c r="AJ126" i="4" s="1"/>
  <c r="AK127" i="4"/>
  <c r="AI127" i="4"/>
  <c r="AJ127" i="4" s="1"/>
  <c r="AQ127" i="4"/>
  <c r="AQ126" i="4"/>
  <c r="AQ125" i="4"/>
  <c r="AQ124" i="4"/>
  <c r="AQ123" i="4"/>
  <c r="AQ122" i="4"/>
  <c r="AQ121" i="4"/>
  <c r="AN120" i="4" l="1"/>
  <c r="AL127" i="4"/>
  <c r="AN127" i="4" s="1"/>
  <c r="AL122" i="4"/>
  <c r="AN122" i="4" s="1"/>
  <c r="AL126" i="4"/>
  <c r="AN126" i="4" s="1"/>
  <c r="AL125" i="4"/>
  <c r="AN125" i="4" s="1"/>
  <c r="AL124" i="4"/>
  <c r="AN124" i="4" s="1"/>
  <c r="AO118" i="4" l="1"/>
  <c r="P118" i="4"/>
  <c r="S118" i="4" s="1"/>
  <c r="U118" i="4" s="1"/>
  <c r="N118" i="4"/>
  <c r="O118" i="4" s="1"/>
  <c r="L118" i="4"/>
  <c r="W118" i="4" l="1"/>
  <c r="AA118" i="4"/>
  <c r="Q118" i="4"/>
  <c r="AO92" i="3"/>
  <c r="AO26" i="3"/>
  <c r="AO28" i="3"/>
  <c r="AO30" i="3"/>
  <c r="AO93" i="3"/>
  <c r="AO31" i="3"/>
  <c r="AO33" i="3"/>
  <c r="AO34" i="3"/>
  <c r="AO35" i="3"/>
  <c r="AO36" i="3"/>
  <c r="AO38" i="3"/>
  <c r="AO39" i="3"/>
  <c r="AO41" i="3"/>
  <c r="AO42" i="3"/>
  <c r="AO43" i="3"/>
  <c r="AO94" i="3"/>
  <c r="AO44" i="3"/>
  <c r="AO95" i="3"/>
  <c r="AO46" i="3"/>
  <c r="AO47" i="3"/>
  <c r="AO48" i="3"/>
  <c r="AO50" i="3"/>
  <c r="AO96" i="3"/>
  <c r="AO97" i="3"/>
  <c r="AO53" i="3"/>
  <c r="AO54" i="3"/>
  <c r="AO55" i="3"/>
  <c r="AO56" i="3"/>
  <c r="AO98" i="3"/>
  <c r="AO58" i="3"/>
  <c r="AO84" i="3"/>
  <c r="AO90" i="3"/>
  <c r="AO7" i="3"/>
  <c r="AO9" i="3"/>
  <c r="AO10" i="3"/>
  <c r="AO11" i="3"/>
  <c r="AO12" i="3"/>
  <c r="AO13" i="3"/>
  <c r="AO14" i="3"/>
  <c r="AO17" i="3"/>
  <c r="AO91" i="3"/>
  <c r="AO18" i="3"/>
  <c r="AO19" i="3"/>
  <c r="AO20" i="3"/>
  <c r="AO22" i="3"/>
  <c r="AO24" i="3"/>
  <c r="P98" i="3"/>
  <c r="S98" i="3" s="1"/>
  <c r="U98" i="3" s="1"/>
  <c r="N98" i="3"/>
  <c r="O98" i="3" s="1"/>
  <c r="L98" i="3"/>
  <c r="P56" i="3"/>
  <c r="S56" i="3" s="1"/>
  <c r="U56" i="3" s="1"/>
  <c r="N56" i="3"/>
  <c r="O56" i="3" s="1"/>
  <c r="L56" i="3"/>
  <c r="P57" i="3"/>
  <c r="S57" i="3" s="1"/>
  <c r="U57" i="3" s="1"/>
  <c r="N57" i="3"/>
  <c r="O57" i="3" s="1"/>
  <c r="L57" i="3"/>
  <c r="P58" i="3"/>
  <c r="S58" i="3" s="1"/>
  <c r="U58" i="3" s="1"/>
  <c r="N58" i="3"/>
  <c r="O58" i="3" s="1"/>
  <c r="L58" i="3"/>
  <c r="Q58" i="3" s="1"/>
  <c r="P55" i="3"/>
  <c r="S55" i="3" s="1"/>
  <c r="U55" i="3" s="1"/>
  <c r="N55" i="3"/>
  <c r="O55" i="3" s="1"/>
  <c r="L55" i="3"/>
  <c r="P84" i="3"/>
  <c r="N84" i="3"/>
  <c r="O84" i="3" s="1"/>
  <c r="L84" i="3"/>
  <c r="R118" i="4" l="1"/>
  <c r="Y118" i="4" s="1"/>
  <c r="AC118" i="4"/>
  <c r="AO5" i="3"/>
  <c r="AA98" i="3"/>
  <c r="AO52" i="3"/>
  <c r="AO4" i="3"/>
  <c r="AO89" i="3"/>
  <c r="AO21" i="3"/>
  <c r="AO16" i="3"/>
  <c r="AO49" i="3"/>
  <c r="AO15" i="3"/>
  <c r="AO32" i="3"/>
  <c r="AO27" i="3"/>
  <c r="AO6" i="3"/>
  <c r="AO23" i="3"/>
  <c r="S84" i="3"/>
  <c r="U84" i="3" s="1"/>
  <c r="W84" i="3" s="1"/>
  <c r="AA84" i="3"/>
  <c r="AO8" i="3"/>
  <c r="AO25" i="3"/>
  <c r="AO45" i="3"/>
  <c r="AO57" i="3"/>
  <c r="AO51" i="3"/>
  <c r="W98" i="3"/>
  <c r="AO40" i="3"/>
  <c r="AO29" i="3"/>
  <c r="AO37" i="3"/>
  <c r="AA57" i="3"/>
  <c r="W57" i="3"/>
  <c r="Q98" i="3"/>
  <c r="AA56" i="3"/>
  <c r="W56" i="3"/>
  <c r="Q56" i="3"/>
  <c r="AA58" i="3"/>
  <c r="Q57" i="3"/>
  <c r="W58" i="3"/>
  <c r="R58" i="3"/>
  <c r="Y58" i="3" s="1"/>
  <c r="AC58" i="3"/>
  <c r="AA55" i="3"/>
  <c r="W55" i="3"/>
  <c r="Q55" i="3"/>
  <c r="Q84" i="3"/>
  <c r="AD118" i="4" l="1"/>
  <c r="AE118" i="4" s="1"/>
  <c r="R98" i="3"/>
  <c r="Y98" i="3" s="1"/>
  <c r="AC98" i="3"/>
  <c r="R56" i="3"/>
  <c r="Y56" i="3" s="1"/>
  <c r="AC56" i="3"/>
  <c r="R57" i="3"/>
  <c r="Y57" i="3" s="1"/>
  <c r="AC57" i="3"/>
  <c r="AD58" i="3"/>
  <c r="AE58" i="3" s="1"/>
  <c r="AC55" i="3"/>
  <c r="R55" i="3"/>
  <c r="Y55" i="3" s="1"/>
  <c r="R84" i="3"/>
  <c r="Y84" i="3" s="1"/>
  <c r="AC84" i="3"/>
  <c r="AM128" i="4"/>
  <c r="J128" i="4"/>
  <c r="AO69" i="4"/>
  <c r="AO72" i="4"/>
  <c r="AO73" i="4"/>
  <c r="AO75" i="4"/>
  <c r="AO76" i="4"/>
  <c r="AO136" i="4"/>
  <c r="AO80" i="4"/>
  <c r="AO81" i="4"/>
  <c r="AO83" i="4"/>
  <c r="AO84" i="4"/>
  <c r="AO87" i="4"/>
  <c r="AO88" i="4"/>
  <c r="AO95" i="4"/>
  <c r="AO96" i="4"/>
  <c r="AO100" i="4"/>
  <c r="AO104" i="4"/>
  <c r="AO105" i="4"/>
  <c r="AO107" i="4"/>
  <c r="AO108" i="4"/>
  <c r="AO111" i="4"/>
  <c r="AO112" i="4"/>
  <c r="AO116" i="4"/>
  <c r="AO119" i="4"/>
  <c r="P4" i="4"/>
  <c r="S4" i="4" s="1"/>
  <c r="U4" i="4" s="1"/>
  <c r="P5" i="4"/>
  <c r="AA5" i="4" s="1"/>
  <c r="P6" i="4"/>
  <c r="AA6" i="4" s="1"/>
  <c r="P7" i="4"/>
  <c r="AA7" i="4" s="1"/>
  <c r="P8" i="4"/>
  <c r="S8" i="4" s="1"/>
  <c r="U8" i="4" s="1"/>
  <c r="P131" i="4"/>
  <c r="S131" i="4" s="1"/>
  <c r="U131" i="4" s="1"/>
  <c r="P132" i="4"/>
  <c r="S132" i="4" s="1"/>
  <c r="U132" i="4" s="1"/>
  <c r="P9" i="4"/>
  <c r="S9" i="4" s="1"/>
  <c r="U9" i="4" s="1"/>
  <c r="P10" i="4"/>
  <c r="P11" i="4"/>
  <c r="AA11" i="4" s="1"/>
  <c r="P12" i="4"/>
  <c r="AA12" i="4" s="1"/>
  <c r="P13" i="4"/>
  <c r="AA13" i="4" s="1"/>
  <c r="P14" i="4"/>
  <c r="AA14" i="4" s="1"/>
  <c r="P15" i="4"/>
  <c r="AA15" i="4" s="1"/>
  <c r="P16" i="4"/>
  <c r="AA16" i="4" s="1"/>
  <c r="P137" i="4"/>
  <c r="S137" i="4" s="1"/>
  <c r="U137" i="4" s="1"/>
  <c r="P17" i="4"/>
  <c r="S17" i="4" s="1"/>
  <c r="U17" i="4" s="1"/>
  <c r="P18" i="4"/>
  <c r="S18" i="4" s="1"/>
  <c r="U18" i="4" s="1"/>
  <c r="P133" i="4"/>
  <c r="S133" i="4" s="1"/>
  <c r="U133" i="4" s="1"/>
  <c r="P19" i="4"/>
  <c r="S19" i="4" s="1"/>
  <c r="U19" i="4" s="1"/>
  <c r="P20" i="4"/>
  <c r="S20" i="4" s="1"/>
  <c r="U20" i="4" s="1"/>
  <c r="P21" i="4"/>
  <c r="P22" i="4"/>
  <c r="AA22" i="4" s="1"/>
  <c r="P23" i="4"/>
  <c r="AA23" i="4" s="1"/>
  <c r="P24" i="4"/>
  <c r="AA24" i="4" s="1"/>
  <c r="P25" i="4"/>
  <c r="AA25" i="4" s="1"/>
  <c r="P26" i="4"/>
  <c r="AA26" i="4" s="1"/>
  <c r="P27" i="4"/>
  <c r="AA27" i="4" s="1"/>
  <c r="P28" i="4"/>
  <c r="S28" i="4" s="1"/>
  <c r="U28" i="4" s="1"/>
  <c r="P29" i="4"/>
  <c r="S29" i="4" s="1"/>
  <c r="U29" i="4" s="1"/>
  <c r="P30" i="4"/>
  <c r="S30" i="4" s="1"/>
  <c r="U30" i="4" s="1"/>
  <c r="P31" i="4"/>
  <c r="AA31" i="4" s="1"/>
  <c r="P32" i="4"/>
  <c r="AA32" i="4" s="1"/>
  <c r="P33" i="4"/>
  <c r="P34" i="4"/>
  <c r="AA34" i="4" s="1"/>
  <c r="P35" i="4"/>
  <c r="AA35" i="4" s="1"/>
  <c r="P36" i="4"/>
  <c r="AA36" i="4" s="1"/>
  <c r="P37" i="4"/>
  <c r="S37" i="4" s="1"/>
  <c r="U37" i="4" s="1"/>
  <c r="P38" i="4"/>
  <c r="S38" i="4" s="1"/>
  <c r="U38" i="4" s="1"/>
  <c r="P39" i="4"/>
  <c r="AA39" i="4" s="1"/>
  <c r="P40" i="4"/>
  <c r="P134" i="4"/>
  <c r="P41" i="4"/>
  <c r="S41" i="4" s="1"/>
  <c r="U41" i="4" s="1"/>
  <c r="P42" i="4"/>
  <c r="S42" i="4" s="1"/>
  <c r="U42" i="4" s="1"/>
  <c r="P43" i="4"/>
  <c r="S43" i="4" s="1"/>
  <c r="U43" i="4" s="1"/>
  <c r="P44" i="4"/>
  <c r="AA44" i="4" s="1"/>
  <c r="P45" i="4"/>
  <c r="AA45" i="4" s="1"/>
  <c r="P46" i="4"/>
  <c r="AA46" i="4" s="1"/>
  <c r="P47" i="4"/>
  <c r="S47" i="4" s="1"/>
  <c r="U47" i="4" s="1"/>
  <c r="P48" i="4"/>
  <c r="S48" i="4" s="1"/>
  <c r="U48" i="4" s="1"/>
  <c r="P135" i="4"/>
  <c r="S135" i="4" s="1"/>
  <c r="U135" i="4" s="1"/>
  <c r="P49" i="4"/>
  <c r="S49" i="4" s="1"/>
  <c r="U49" i="4" s="1"/>
  <c r="P50" i="4"/>
  <c r="S50" i="4" s="1"/>
  <c r="U50" i="4" s="1"/>
  <c r="P51" i="4"/>
  <c r="P52" i="4"/>
  <c r="AA52" i="4" s="1"/>
  <c r="P53" i="4"/>
  <c r="AA53" i="4" s="1"/>
  <c r="P54" i="4"/>
  <c r="P55" i="4"/>
  <c r="AA55" i="4" s="1"/>
  <c r="P56" i="4"/>
  <c r="AA56" i="4" s="1"/>
  <c r="P57" i="4"/>
  <c r="AA57" i="4" s="1"/>
  <c r="P58" i="4"/>
  <c r="AA58" i="4" s="1"/>
  <c r="P59" i="4"/>
  <c r="S59" i="4" s="1"/>
  <c r="U59" i="4" s="1"/>
  <c r="P60" i="4"/>
  <c r="S60" i="4" s="1"/>
  <c r="U60" i="4" s="1"/>
  <c r="P61" i="4"/>
  <c r="S61" i="4" s="1"/>
  <c r="U61" i="4" s="1"/>
  <c r="P62" i="4"/>
  <c r="S62" i="4" s="1"/>
  <c r="U62" i="4" s="1"/>
  <c r="P63" i="4"/>
  <c r="S63" i="4" s="1"/>
  <c r="U63" i="4" s="1"/>
  <c r="P64" i="4"/>
  <c r="S64" i="4" s="1"/>
  <c r="U64" i="4" s="1"/>
  <c r="P65" i="4"/>
  <c r="P66" i="4"/>
  <c r="AA66" i="4" s="1"/>
  <c r="P67" i="4"/>
  <c r="AA67" i="4" s="1"/>
  <c r="P68" i="4"/>
  <c r="AA68" i="4" s="1"/>
  <c r="P69" i="4"/>
  <c r="AA69" i="4" s="1"/>
  <c r="P70" i="4"/>
  <c r="AA70" i="4" s="1"/>
  <c r="P71" i="4"/>
  <c r="S71" i="4" s="1"/>
  <c r="U71" i="4" s="1"/>
  <c r="P72" i="4"/>
  <c r="S72" i="4" s="1"/>
  <c r="U72" i="4" s="1"/>
  <c r="P73" i="4"/>
  <c r="S73" i="4" s="1"/>
  <c r="U73" i="4" s="1"/>
  <c r="P74" i="4"/>
  <c r="AA74" i="4" s="1"/>
  <c r="P75" i="4"/>
  <c r="S75" i="4" s="1"/>
  <c r="U75" i="4" s="1"/>
  <c r="P76" i="4"/>
  <c r="P77" i="4"/>
  <c r="AA77" i="4" s="1"/>
  <c r="P136" i="4"/>
  <c r="AA136" i="4" s="1"/>
  <c r="P78" i="4"/>
  <c r="AA78" i="4" s="1"/>
  <c r="P79" i="4"/>
  <c r="AA79" i="4" s="1"/>
  <c r="P80" i="4"/>
  <c r="AA80" i="4" s="1"/>
  <c r="P81" i="4"/>
  <c r="AA81" i="4" s="1"/>
  <c r="P82" i="4"/>
  <c r="P83" i="4"/>
  <c r="P84" i="4"/>
  <c r="P85" i="4"/>
  <c r="AA85" i="4" s="1"/>
  <c r="P86" i="4"/>
  <c r="S86" i="4" s="1"/>
  <c r="U86" i="4" s="1"/>
  <c r="P87" i="4"/>
  <c r="S87" i="4" s="1"/>
  <c r="U87" i="4" s="1"/>
  <c r="P88" i="4"/>
  <c r="AA88" i="4" s="1"/>
  <c r="P89" i="4"/>
  <c r="AA89" i="4" s="1"/>
  <c r="P90" i="4"/>
  <c r="AA90" i="4" s="1"/>
  <c r="P91" i="4"/>
  <c r="S91" i="4" s="1"/>
  <c r="U91" i="4" s="1"/>
  <c r="P92" i="4"/>
  <c r="S92" i="4" s="1"/>
  <c r="U92" i="4" s="1"/>
  <c r="P93" i="4"/>
  <c r="AA93" i="4" s="1"/>
  <c r="P94" i="4"/>
  <c r="S94" i="4" s="1"/>
  <c r="U94" i="4" s="1"/>
  <c r="P95" i="4"/>
  <c r="S95" i="4" s="1"/>
  <c r="U95" i="4" s="1"/>
  <c r="P96" i="4"/>
  <c r="P97" i="4"/>
  <c r="AA97" i="4" s="1"/>
  <c r="P98" i="4"/>
  <c r="AA98" i="4" s="1"/>
  <c r="P99" i="4"/>
  <c r="P100" i="4"/>
  <c r="AA100" i="4" s="1"/>
  <c r="P101" i="4"/>
  <c r="AA101" i="4" s="1"/>
  <c r="P102" i="4"/>
  <c r="AA102" i="4" s="1"/>
  <c r="P103" i="4"/>
  <c r="S103" i="4" s="1"/>
  <c r="U103" i="4" s="1"/>
  <c r="P104" i="4"/>
  <c r="S104" i="4" s="1"/>
  <c r="U104" i="4" s="1"/>
  <c r="P105" i="4"/>
  <c r="S105" i="4" s="1"/>
  <c r="U105" i="4" s="1"/>
  <c r="P106" i="4"/>
  <c r="S106" i="4" s="1"/>
  <c r="U106" i="4" s="1"/>
  <c r="P107" i="4"/>
  <c r="S107" i="4" s="1"/>
  <c r="U107" i="4" s="1"/>
  <c r="P108" i="4"/>
  <c r="S108" i="4" s="1"/>
  <c r="U108" i="4" s="1"/>
  <c r="P109" i="4"/>
  <c r="S109" i="4" s="1"/>
  <c r="U109" i="4" s="1"/>
  <c r="P110" i="4"/>
  <c r="S110" i="4" s="1"/>
  <c r="U110" i="4" s="1"/>
  <c r="P111" i="4"/>
  <c r="AA111" i="4" s="1"/>
  <c r="P112" i="4"/>
  <c r="AA112" i="4" s="1"/>
  <c r="P113" i="4"/>
  <c r="AA113" i="4" s="1"/>
  <c r="P114" i="4"/>
  <c r="AA114" i="4" s="1"/>
  <c r="P115" i="4"/>
  <c r="AA115" i="4" s="1"/>
  <c r="P116" i="4"/>
  <c r="AA116" i="4" s="1"/>
  <c r="P117" i="4"/>
  <c r="S117" i="4" s="1"/>
  <c r="U117" i="4" s="1"/>
  <c r="P119" i="4"/>
  <c r="S119" i="4" s="1"/>
  <c r="U119" i="4" s="1"/>
  <c r="N4" i="4"/>
  <c r="O4" i="4" s="1"/>
  <c r="N5" i="4"/>
  <c r="O5" i="4" s="1"/>
  <c r="N6" i="4"/>
  <c r="O6" i="4" s="1"/>
  <c r="N7" i="4"/>
  <c r="O7" i="4" s="1"/>
  <c r="N8" i="4"/>
  <c r="O8" i="4" s="1"/>
  <c r="N131" i="4"/>
  <c r="O131" i="4" s="1"/>
  <c r="N132" i="4"/>
  <c r="O132" i="4" s="1"/>
  <c r="N9" i="4"/>
  <c r="O9" i="4" s="1"/>
  <c r="N10" i="4"/>
  <c r="O10" i="4" s="1"/>
  <c r="N11" i="4"/>
  <c r="O11" i="4" s="1"/>
  <c r="N12" i="4"/>
  <c r="O12" i="4" s="1"/>
  <c r="N13" i="4"/>
  <c r="O13" i="4" s="1"/>
  <c r="N14" i="4"/>
  <c r="O14" i="4" s="1"/>
  <c r="N15" i="4"/>
  <c r="O15" i="4" s="1"/>
  <c r="N16" i="4"/>
  <c r="O16" i="4" s="1"/>
  <c r="N137" i="4"/>
  <c r="O137" i="4" s="1"/>
  <c r="N17" i="4"/>
  <c r="O17" i="4" s="1"/>
  <c r="N18" i="4"/>
  <c r="O18" i="4" s="1"/>
  <c r="N133" i="4"/>
  <c r="O133" i="4" s="1"/>
  <c r="N19" i="4"/>
  <c r="O19" i="4" s="1"/>
  <c r="N20" i="4"/>
  <c r="O20" i="4" s="1"/>
  <c r="N21" i="4"/>
  <c r="O21" i="4" s="1"/>
  <c r="N22" i="4"/>
  <c r="O22" i="4" s="1"/>
  <c r="N23" i="4"/>
  <c r="O23" i="4" s="1"/>
  <c r="N24" i="4"/>
  <c r="O24" i="4" s="1"/>
  <c r="N25" i="4"/>
  <c r="O25" i="4" s="1"/>
  <c r="N26" i="4"/>
  <c r="O26" i="4" s="1"/>
  <c r="N27" i="4"/>
  <c r="O27" i="4" s="1"/>
  <c r="N28" i="4"/>
  <c r="O28" i="4" s="1"/>
  <c r="N29" i="4"/>
  <c r="O29" i="4" s="1"/>
  <c r="N30" i="4"/>
  <c r="O30" i="4" s="1"/>
  <c r="N31" i="4"/>
  <c r="O31" i="4" s="1"/>
  <c r="N32" i="4"/>
  <c r="O32" i="4" s="1"/>
  <c r="N33" i="4"/>
  <c r="O33" i="4" s="1"/>
  <c r="N34" i="4"/>
  <c r="O34" i="4" s="1"/>
  <c r="N35" i="4"/>
  <c r="O35" i="4" s="1"/>
  <c r="N36" i="4"/>
  <c r="O36" i="4" s="1"/>
  <c r="N37" i="4"/>
  <c r="O37" i="4" s="1"/>
  <c r="N38" i="4"/>
  <c r="O38" i="4" s="1"/>
  <c r="N39" i="4"/>
  <c r="O39" i="4" s="1"/>
  <c r="N40" i="4"/>
  <c r="O40" i="4" s="1"/>
  <c r="N134" i="4"/>
  <c r="O134" i="4" s="1"/>
  <c r="N41" i="4"/>
  <c r="O41" i="4" s="1"/>
  <c r="N42" i="4"/>
  <c r="O42" i="4" s="1"/>
  <c r="N43" i="4"/>
  <c r="O43" i="4" s="1"/>
  <c r="N44" i="4"/>
  <c r="O44" i="4" s="1"/>
  <c r="N45" i="4"/>
  <c r="O45" i="4" s="1"/>
  <c r="N46" i="4"/>
  <c r="O46" i="4" s="1"/>
  <c r="N47" i="4"/>
  <c r="O47" i="4" s="1"/>
  <c r="N48" i="4"/>
  <c r="O48" i="4" s="1"/>
  <c r="N135" i="4"/>
  <c r="O135" i="4" s="1"/>
  <c r="N49" i="4"/>
  <c r="O49" i="4" s="1"/>
  <c r="N50" i="4"/>
  <c r="O50" i="4" s="1"/>
  <c r="N51" i="4"/>
  <c r="O51" i="4" s="1"/>
  <c r="N52" i="4"/>
  <c r="O52" i="4" s="1"/>
  <c r="N53" i="4"/>
  <c r="O53" i="4" s="1"/>
  <c r="N54" i="4"/>
  <c r="O54" i="4" s="1"/>
  <c r="N55" i="4"/>
  <c r="O55" i="4" s="1"/>
  <c r="N56" i="4"/>
  <c r="O56" i="4" s="1"/>
  <c r="N57" i="4"/>
  <c r="O57" i="4" s="1"/>
  <c r="N58" i="4"/>
  <c r="O58" i="4" s="1"/>
  <c r="N59" i="4"/>
  <c r="O59" i="4" s="1"/>
  <c r="N60" i="4"/>
  <c r="O60" i="4" s="1"/>
  <c r="N61" i="4"/>
  <c r="O61" i="4" s="1"/>
  <c r="N62" i="4"/>
  <c r="O62" i="4" s="1"/>
  <c r="N63" i="4"/>
  <c r="O63" i="4" s="1"/>
  <c r="N64" i="4"/>
  <c r="O64" i="4" s="1"/>
  <c r="N65" i="4"/>
  <c r="O65" i="4" s="1"/>
  <c r="N66" i="4"/>
  <c r="O66" i="4" s="1"/>
  <c r="N67" i="4"/>
  <c r="O67" i="4" s="1"/>
  <c r="N68" i="4"/>
  <c r="O68" i="4" s="1"/>
  <c r="N69" i="4"/>
  <c r="O69" i="4" s="1"/>
  <c r="N70" i="4"/>
  <c r="O70" i="4" s="1"/>
  <c r="N71" i="4"/>
  <c r="O71" i="4" s="1"/>
  <c r="N72" i="4"/>
  <c r="O72" i="4" s="1"/>
  <c r="N73" i="4"/>
  <c r="O73" i="4" s="1"/>
  <c r="N74" i="4"/>
  <c r="O74" i="4" s="1"/>
  <c r="N75" i="4"/>
  <c r="O75" i="4" s="1"/>
  <c r="N76" i="4"/>
  <c r="O76" i="4" s="1"/>
  <c r="N77" i="4"/>
  <c r="O77" i="4" s="1"/>
  <c r="N136" i="4"/>
  <c r="O136" i="4" s="1"/>
  <c r="N78" i="4"/>
  <c r="O78" i="4" s="1"/>
  <c r="N79" i="4"/>
  <c r="O79" i="4" s="1"/>
  <c r="N80" i="4"/>
  <c r="O80" i="4" s="1"/>
  <c r="N81" i="4"/>
  <c r="O81" i="4" s="1"/>
  <c r="N82" i="4"/>
  <c r="O82" i="4" s="1"/>
  <c r="N83" i="4"/>
  <c r="O83" i="4" s="1"/>
  <c r="N84" i="4"/>
  <c r="O84" i="4" s="1"/>
  <c r="N85" i="4"/>
  <c r="O85" i="4" s="1"/>
  <c r="N86" i="4"/>
  <c r="O86" i="4" s="1"/>
  <c r="N87" i="4"/>
  <c r="O87" i="4" s="1"/>
  <c r="N88" i="4"/>
  <c r="O88" i="4" s="1"/>
  <c r="N89" i="4"/>
  <c r="O89" i="4" s="1"/>
  <c r="N90" i="4"/>
  <c r="O90" i="4" s="1"/>
  <c r="N91" i="4"/>
  <c r="O91" i="4" s="1"/>
  <c r="N92" i="4"/>
  <c r="O92" i="4" s="1"/>
  <c r="N93" i="4"/>
  <c r="O93" i="4" s="1"/>
  <c r="N94" i="4"/>
  <c r="O94" i="4" s="1"/>
  <c r="N95" i="4"/>
  <c r="O95" i="4" s="1"/>
  <c r="N96" i="4"/>
  <c r="O96" i="4" s="1"/>
  <c r="N97" i="4"/>
  <c r="O97" i="4" s="1"/>
  <c r="N98" i="4"/>
  <c r="O98" i="4" s="1"/>
  <c r="N99" i="4"/>
  <c r="O99" i="4" s="1"/>
  <c r="N100" i="4"/>
  <c r="O100" i="4" s="1"/>
  <c r="N101" i="4"/>
  <c r="O101" i="4" s="1"/>
  <c r="N102" i="4"/>
  <c r="O102" i="4" s="1"/>
  <c r="N103" i="4"/>
  <c r="O103" i="4" s="1"/>
  <c r="N104" i="4"/>
  <c r="O104" i="4" s="1"/>
  <c r="N105" i="4"/>
  <c r="O105" i="4" s="1"/>
  <c r="N106" i="4"/>
  <c r="O106" i="4" s="1"/>
  <c r="N107" i="4"/>
  <c r="O107" i="4" s="1"/>
  <c r="N108" i="4"/>
  <c r="O108" i="4" s="1"/>
  <c r="N109" i="4"/>
  <c r="O109" i="4" s="1"/>
  <c r="N110" i="4"/>
  <c r="O110" i="4" s="1"/>
  <c r="N111" i="4"/>
  <c r="O111" i="4" s="1"/>
  <c r="N112" i="4"/>
  <c r="O112" i="4" s="1"/>
  <c r="N113" i="4"/>
  <c r="O113" i="4" s="1"/>
  <c r="N114" i="4"/>
  <c r="O114" i="4" s="1"/>
  <c r="N115" i="4"/>
  <c r="O115" i="4" s="1"/>
  <c r="N116" i="4"/>
  <c r="O116" i="4" s="1"/>
  <c r="N117" i="4"/>
  <c r="O117" i="4" s="1"/>
  <c r="N119" i="4"/>
  <c r="O119" i="4" s="1"/>
  <c r="L115" i="4"/>
  <c r="Q115" i="4" s="1"/>
  <c r="L114" i="4"/>
  <c r="Q114" i="4" s="1"/>
  <c r="L113" i="4"/>
  <c r="Q113" i="4" s="1"/>
  <c r="L111" i="4"/>
  <c r="Q111" i="4" s="1"/>
  <c r="L112" i="4"/>
  <c r="Q112" i="4" s="1"/>
  <c r="L110" i="4"/>
  <c r="Q110" i="4" s="1"/>
  <c r="L109" i="4"/>
  <c r="Q109" i="4" s="1"/>
  <c r="L108" i="4"/>
  <c r="Q108" i="4" s="1"/>
  <c r="L107" i="4"/>
  <c r="Q107" i="4" s="1"/>
  <c r="L106" i="4"/>
  <c r="Q106" i="4" s="1"/>
  <c r="L105" i="4"/>
  <c r="Q105" i="4" s="1"/>
  <c r="L104" i="4"/>
  <c r="Q104" i="4" s="1"/>
  <c r="L103" i="4"/>
  <c r="Q103" i="4" s="1"/>
  <c r="L102" i="4"/>
  <c r="Q102" i="4" s="1"/>
  <c r="L101" i="4"/>
  <c r="Q101" i="4" s="1"/>
  <c r="L100" i="4"/>
  <c r="L116" i="4"/>
  <c r="Q116" i="4" s="1"/>
  <c r="L99" i="4"/>
  <c r="Q99" i="4" s="1"/>
  <c r="L98" i="4"/>
  <c r="Q98" i="4" s="1"/>
  <c r="L86" i="4"/>
  <c r="Q86" i="4" s="1"/>
  <c r="L85" i="4"/>
  <c r="Q85" i="4" s="1"/>
  <c r="L84" i="4"/>
  <c r="Q84" i="4" s="1"/>
  <c r="L87" i="4"/>
  <c r="Q87" i="4" s="1"/>
  <c r="L88" i="4"/>
  <c r="L89" i="4"/>
  <c r="Q89" i="4" s="1"/>
  <c r="L83" i="4"/>
  <c r="Q83" i="4" s="1"/>
  <c r="L90" i="4"/>
  <c r="L82" i="4"/>
  <c r="L91" i="4"/>
  <c r="Q91" i="4" s="1"/>
  <c r="L81" i="4"/>
  <c r="Q81" i="4" s="1"/>
  <c r="L80" i="4"/>
  <c r="Q80" i="4" s="1"/>
  <c r="L79" i="4"/>
  <c r="Q79" i="4" s="1"/>
  <c r="L78" i="4"/>
  <c r="Q78" i="4" s="1"/>
  <c r="L136" i="4"/>
  <c r="Q136" i="4" s="1"/>
  <c r="L77" i="4"/>
  <c r="L76" i="4"/>
  <c r="Q76" i="4" s="1"/>
  <c r="L92" i="4"/>
  <c r="L75" i="4"/>
  <c r="Q75" i="4" s="1"/>
  <c r="L74" i="4"/>
  <c r="Q74" i="4" s="1"/>
  <c r="L73" i="4"/>
  <c r="Q73" i="4" s="1"/>
  <c r="L72" i="4"/>
  <c r="Q72" i="4" s="1"/>
  <c r="L71" i="4"/>
  <c r="Q71" i="4" s="1"/>
  <c r="L93" i="4"/>
  <c r="Q93" i="4" s="1"/>
  <c r="L94" i="4"/>
  <c r="Q94" i="4" s="1"/>
  <c r="L69" i="4"/>
  <c r="Q69" i="4" s="1"/>
  <c r="L68" i="4"/>
  <c r="Q68" i="4" s="1"/>
  <c r="L70" i="4"/>
  <c r="Q70" i="4" s="1"/>
  <c r="L119" i="4"/>
  <c r="Q119" i="4" s="1"/>
  <c r="L96" i="4"/>
  <c r="Q96" i="4" s="1"/>
  <c r="L97" i="4"/>
  <c r="Q97" i="4" s="1"/>
  <c r="L117" i="4"/>
  <c r="Q117" i="4" s="1"/>
  <c r="L95" i="4"/>
  <c r="Q95" i="4" s="1"/>
  <c r="L67" i="4"/>
  <c r="Q67" i="4" s="1"/>
  <c r="AK58" i="3" l="1"/>
  <c r="AI58" i="3"/>
  <c r="AJ58" i="3" s="1"/>
  <c r="R81" i="4"/>
  <c r="Y81" i="4" s="1"/>
  <c r="R116" i="4"/>
  <c r="Y116" i="4" s="1"/>
  <c r="R67" i="4"/>
  <c r="Y67" i="4" s="1"/>
  <c r="R76" i="4"/>
  <c r="Y76" i="4" s="1"/>
  <c r="AK118" i="4"/>
  <c r="AI118" i="4"/>
  <c r="AJ118" i="4" s="1"/>
  <c r="R87" i="4"/>
  <c r="Y87" i="4" s="1"/>
  <c r="R91" i="4"/>
  <c r="Y91" i="4" s="1"/>
  <c r="R85" i="4"/>
  <c r="Y85" i="4" s="1"/>
  <c r="R108" i="4"/>
  <c r="Y108" i="4" s="1"/>
  <c r="R71" i="4"/>
  <c r="Y71" i="4" s="1"/>
  <c r="R102" i="4"/>
  <c r="Y102" i="4" s="1"/>
  <c r="R89" i="4"/>
  <c r="Y89" i="4" s="1"/>
  <c r="R114" i="4"/>
  <c r="Y114" i="4" s="1"/>
  <c r="R93" i="4"/>
  <c r="Y93" i="4" s="1"/>
  <c r="R80" i="4"/>
  <c r="Y80" i="4" s="1"/>
  <c r="R101" i="4"/>
  <c r="Y101" i="4" s="1"/>
  <c r="R113" i="4"/>
  <c r="Y113" i="4" s="1"/>
  <c r="R109" i="4"/>
  <c r="Y109" i="4" s="1"/>
  <c r="R110" i="4"/>
  <c r="Y110" i="4" s="1"/>
  <c r="R74" i="4"/>
  <c r="Y74" i="4" s="1"/>
  <c r="R97" i="4"/>
  <c r="Y97" i="4" s="1"/>
  <c r="R75" i="4"/>
  <c r="Y75" i="4" s="1"/>
  <c r="R98" i="4"/>
  <c r="Y98" i="4" s="1"/>
  <c r="R99" i="4"/>
  <c r="Y99" i="4" s="1"/>
  <c r="R112" i="4"/>
  <c r="Y112" i="4" s="1"/>
  <c r="R111" i="4"/>
  <c r="Y111" i="4" s="1"/>
  <c r="R73" i="4"/>
  <c r="Y73" i="4" s="1"/>
  <c r="R96" i="4"/>
  <c r="Y96" i="4" s="1"/>
  <c r="R84" i="4"/>
  <c r="Y84" i="4" s="1"/>
  <c r="R119" i="4"/>
  <c r="Y119" i="4" s="1"/>
  <c r="R95" i="4"/>
  <c r="Y95" i="4" s="1"/>
  <c r="R83" i="4"/>
  <c r="Y83" i="4" s="1"/>
  <c r="R103" i="4"/>
  <c r="Y103" i="4" s="1"/>
  <c r="R70" i="4"/>
  <c r="Y70" i="4" s="1"/>
  <c r="R68" i="4"/>
  <c r="Y68" i="4" s="1"/>
  <c r="R69" i="4"/>
  <c r="Y69" i="4" s="1"/>
  <c r="R78" i="4"/>
  <c r="Y78" i="4" s="1"/>
  <c r="R107" i="4"/>
  <c r="Y107" i="4" s="1"/>
  <c r="R72" i="4"/>
  <c r="Y72" i="4" s="1"/>
  <c r="R117" i="4"/>
  <c r="Y117" i="4" s="1"/>
  <c r="R115" i="4"/>
  <c r="Y115" i="4" s="1"/>
  <c r="R104" i="4"/>
  <c r="Y104" i="4" s="1"/>
  <c r="R105" i="4"/>
  <c r="Y105" i="4" s="1"/>
  <c r="R136" i="4"/>
  <c r="Y136" i="4" s="1"/>
  <c r="R106" i="4"/>
  <c r="Y106" i="4" s="1"/>
  <c r="R94" i="4"/>
  <c r="Y94" i="4" s="1"/>
  <c r="R79" i="4"/>
  <c r="Y79" i="4" s="1"/>
  <c r="R86" i="4"/>
  <c r="Y86" i="4" s="1"/>
  <c r="AQ118" i="4"/>
  <c r="AD55" i="3"/>
  <c r="AE55" i="3" s="1"/>
  <c r="AD98" i="3"/>
  <c r="AE98" i="3" s="1"/>
  <c r="AD56" i="3"/>
  <c r="AE56" i="3" s="1"/>
  <c r="AD57" i="3"/>
  <c r="AE57" i="3" s="1"/>
  <c r="AQ58" i="3"/>
  <c r="AD84" i="3"/>
  <c r="AE84" i="3" s="1"/>
  <c r="AO78" i="4"/>
  <c r="AA104" i="4"/>
  <c r="AO77" i="4"/>
  <c r="AO99" i="4"/>
  <c r="S113" i="4"/>
  <c r="U113" i="4" s="1"/>
  <c r="W113" i="4" s="1"/>
  <c r="S14" i="4"/>
  <c r="U14" i="4" s="1"/>
  <c r="AA105" i="4"/>
  <c r="AO93" i="4"/>
  <c r="AA86" i="4"/>
  <c r="AO110" i="4"/>
  <c r="AO102" i="4"/>
  <c r="S11" i="4"/>
  <c r="U11" i="4" s="1"/>
  <c r="AA92" i="4"/>
  <c r="AA64" i="4"/>
  <c r="S85" i="4"/>
  <c r="U85" i="4" s="1"/>
  <c r="W85" i="4" s="1"/>
  <c r="AA20" i="4"/>
  <c r="S32" i="4"/>
  <c r="U32" i="4" s="1"/>
  <c r="S31" i="4"/>
  <c r="U31" i="4" s="1"/>
  <c r="AO115" i="4"/>
  <c r="S112" i="4"/>
  <c r="U112" i="4" s="1"/>
  <c r="W112" i="4" s="1"/>
  <c r="S13" i="4"/>
  <c r="U13" i="4" s="1"/>
  <c r="S111" i="4"/>
  <c r="U111" i="4" s="1"/>
  <c r="W111" i="4" s="1"/>
  <c r="S12" i="4"/>
  <c r="U12" i="4" s="1"/>
  <c r="AA63" i="4"/>
  <c r="AA18" i="4"/>
  <c r="AA17" i="4"/>
  <c r="S93" i="4"/>
  <c r="U93" i="4" s="1"/>
  <c r="W93" i="4" s="1"/>
  <c r="AO98" i="4"/>
  <c r="S81" i="4"/>
  <c r="U81" i="4" s="1"/>
  <c r="W81" i="4" s="1"/>
  <c r="AA60" i="4"/>
  <c r="S27" i="4"/>
  <c r="U27" i="4" s="1"/>
  <c r="AA62" i="4"/>
  <c r="S80" i="4"/>
  <c r="U80" i="4" s="1"/>
  <c r="W80" i="4" s="1"/>
  <c r="AA48" i="4"/>
  <c r="AO113" i="4"/>
  <c r="S35" i="4"/>
  <c r="U35" i="4" s="1"/>
  <c r="AA117" i="4"/>
  <c r="AA38" i="4"/>
  <c r="AA61" i="4"/>
  <c r="S34" i="4"/>
  <c r="U34" i="4" s="1"/>
  <c r="AA110" i="4"/>
  <c r="AA28" i="4"/>
  <c r="AA37" i="4"/>
  <c r="AA103" i="4"/>
  <c r="S102" i="4"/>
  <c r="U102" i="4" s="1"/>
  <c r="W102" i="4" s="1"/>
  <c r="S78" i="4"/>
  <c r="U78" i="4" s="1"/>
  <c r="W78" i="4" s="1"/>
  <c r="S52" i="4"/>
  <c r="U52" i="4" s="1"/>
  <c r="S7" i="4"/>
  <c r="U7" i="4" s="1"/>
  <c r="AA91" i="4"/>
  <c r="AA19" i="4"/>
  <c r="S101" i="4"/>
  <c r="U101" i="4" s="1"/>
  <c r="W101" i="4" s="1"/>
  <c r="S136" i="4"/>
  <c r="U136" i="4" s="1"/>
  <c r="W136" i="4" s="1"/>
  <c r="S46" i="4"/>
  <c r="U46" i="4" s="1"/>
  <c r="S26" i="4"/>
  <c r="U26" i="4" s="1"/>
  <c r="S6" i="4"/>
  <c r="U6" i="4" s="1"/>
  <c r="AA87" i="4"/>
  <c r="AA59" i="4"/>
  <c r="AA133" i="4"/>
  <c r="S58" i="4"/>
  <c r="U58" i="4" s="1"/>
  <c r="S79" i="4"/>
  <c r="U79" i="4" s="1"/>
  <c r="W79" i="4" s="1"/>
  <c r="AO97" i="4"/>
  <c r="AO89" i="4"/>
  <c r="S100" i="4"/>
  <c r="U100" i="4" s="1"/>
  <c r="W100" i="4" s="1"/>
  <c r="S45" i="4"/>
  <c r="U45" i="4" s="1"/>
  <c r="S44" i="4"/>
  <c r="U44" i="4" s="1"/>
  <c r="S90" i="4"/>
  <c r="U90" i="4" s="1"/>
  <c r="W90" i="4" s="1"/>
  <c r="S67" i="4"/>
  <c r="U67" i="4" s="1"/>
  <c r="W67" i="4" s="1"/>
  <c r="S39" i="4"/>
  <c r="U39" i="4" s="1"/>
  <c r="S23" i="4"/>
  <c r="U23" i="4" s="1"/>
  <c r="AA109" i="4"/>
  <c r="AA47" i="4"/>
  <c r="S24" i="4"/>
  <c r="U24" i="4" s="1"/>
  <c r="AO74" i="4"/>
  <c r="S116" i="4"/>
  <c r="U116" i="4" s="1"/>
  <c r="W116" i="4" s="1"/>
  <c r="S89" i="4"/>
  <c r="U89" i="4" s="1"/>
  <c r="W89" i="4" s="1"/>
  <c r="S66" i="4"/>
  <c r="U66" i="4" s="1"/>
  <c r="S22" i="4"/>
  <c r="U22" i="4" s="1"/>
  <c r="AA108" i="4"/>
  <c r="AA43" i="4"/>
  <c r="AA137" i="4"/>
  <c r="S57" i="4"/>
  <c r="U57" i="4" s="1"/>
  <c r="S55" i="4"/>
  <c r="U55" i="4" s="1"/>
  <c r="S77" i="4"/>
  <c r="U77" i="4" s="1"/>
  <c r="W77" i="4" s="1"/>
  <c r="S5" i="4"/>
  <c r="U5" i="4" s="1"/>
  <c r="AO67" i="4"/>
  <c r="AO68" i="4"/>
  <c r="S115" i="4"/>
  <c r="U115" i="4" s="1"/>
  <c r="W115" i="4" s="1"/>
  <c r="S88" i="4"/>
  <c r="U88" i="4" s="1"/>
  <c r="W88" i="4" s="1"/>
  <c r="S16" i="4"/>
  <c r="U16" i="4" s="1"/>
  <c r="AA107" i="4"/>
  <c r="AA71" i="4"/>
  <c r="AA42" i="4"/>
  <c r="AA8" i="4"/>
  <c r="S56" i="4"/>
  <c r="U56" i="4" s="1"/>
  <c r="S25" i="4"/>
  <c r="U25" i="4" s="1"/>
  <c r="S68" i="4"/>
  <c r="U68" i="4" s="1"/>
  <c r="W68" i="4" s="1"/>
  <c r="AO85" i="4"/>
  <c r="S114" i="4"/>
  <c r="U114" i="4" s="1"/>
  <c r="W114" i="4" s="1"/>
  <c r="S36" i="4"/>
  <c r="U36" i="4" s="1"/>
  <c r="S15" i="4"/>
  <c r="U15" i="4" s="1"/>
  <c r="AA106" i="4"/>
  <c r="AA41" i="4"/>
  <c r="AA131" i="4"/>
  <c r="AO101" i="4"/>
  <c r="Q92" i="4"/>
  <c r="AA99" i="4"/>
  <c r="S99" i="4"/>
  <c r="U99" i="4" s="1"/>
  <c r="W99" i="4" s="1"/>
  <c r="S76" i="4"/>
  <c r="U76" i="4" s="1"/>
  <c r="W76" i="4" s="1"/>
  <c r="AA76" i="4"/>
  <c r="AA54" i="4"/>
  <c r="S54" i="4"/>
  <c r="U54" i="4" s="1"/>
  <c r="AA21" i="4"/>
  <c r="S21" i="4"/>
  <c r="U21" i="4" s="1"/>
  <c r="Q77" i="4"/>
  <c r="AA65" i="4"/>
  <c r="S65" i="4"/>
  <c r="U65" i="4" s="1"/>
  <c r="Q90" i="4"/>
  <c r="AC103" i="4"/>
  <c r="S33" i="4"/>
  <c r="U33" i="4" s="1"/>
  <c r="AA33" i="4"/>
  <c r="AA4" i="4"/>
  <c r="Q82" i="4"/>
  <c r="AO79" i="4"/>
  <c r="AC67" i="4"/>
  <c r="AD67" i="4" s="1"/>
  <c r="S82" i="4"/>
  <c r="U82" i="4" s="1"/>
  <c r="W82" i="4" s="1"/>
  <c r="AA82" i="4"/>
  <c r="S74" i="4"/>
  <c r="U74" i="4" s="1"/>
  <c r="W74" i="4" s="1"/>
  <c r="AA95" i="4"/>
  <c r="AA50" i="4"/>
  <c r="AA9" i="4"/>
  <c r="S84" i="4"/>
  <c r="U84" i="4" s="1"/>
  <c r="W84" i="4" s="1"/>
  <c r="AA84" i="4"/>
  <c r="S10" i="4"/>
  <c r="U10" i="4" s="1"/>
  <c r="AA10" i="4"/>
  <c r="AA75" i="4"/>
  <c r="S70" i="4"/>
  <c r="U70" i="4" s="1"/>
  <c r="W70" i="4" s="1"/>
  <c r="AA94" i="4"/>
  <c r="AA73" i="4"/>
  <c r="AA49" i="4"/>
  <c r="AA30" i="4"/>
  <c r="AA132" i="4"/>
  <c r="S98" i="4"/>
  <c r="U98" i="4" s="1"/>
  <c r="W98" i="4" s="1"/>
  <c r="S96" i="4"/>
  <c r="U96" i="4" s="1"/>
  <c r="W96" i="4" s="1"/>
  <c r="AA96" i="4"/>
  <c r="S51" i="4"/>
  <c r="U51" i="4" s="1"/>
  <c r="AA51" i="4"/>
  <c r="S97" i="4"/>
  <c r="U97" i="4" s="1"/>
  <c r="W97" i="4" s="1"/>
  <c r="S83" i="4"/>
  <c r="U83" i="4" s="1"/>
  <c r="W83" i="4" s="1"/>
  <c r="AA83" i="4"/>
  <c r="S134" i="4"/>
  <c r="U134" i="4" s="1"/>
  <c r="AA134" i="4"/>
  <c r="S40" i="4"/>
  <c r="U40" i="4" s="1"/>
  <c r="AA40" i="4"/>
  <c r="AC102" i="4"/>
  <c r="AO109" i="4"/>
  <c r="S69" i="4"/>
  <c r="U69" i="4" s="1"/>
  <c r="W69" i="4" s="1"/>
  <c r="S53" i="4"/>
  <c r="U53" i="4" s="1"/>
  <c r="AA119" i="4"/>
  <c r="AA72" i="4"/>
  <c r="AA135" i="4"/>
  <c r="AA29" i="4"/>
  <c r="Q88" i="4"/>
  <c r="AC80" i="4"/>
  <c r="Q100" i="4"/>
  <c r="AO103" i="4"/>
  <c r="AO114" i="4"/>
  <c r="AO117" i="4"/>
  <c r="AO106" i="4"/>
  <c r="AO71" i="4"/>
  <c r="AO94" i="4"/>
  <c r="AC81" i="4"/>
  <c r="AD81" i="4" s="1"/>
  <c r="AC85" i="4"/>
  <c r="AC74" i="4"/>
  <c r="AC98" i="4"/>
  <c r="AC91" i="4"/>
  <c r="AC93" i="4"/>
  <c r="AC97" i="4"/>
  <c r="AC95" i="4"/>
  <c r="AC101" i="4"/>
  <c r="AC115" i="4"/>
  <c r="AC114" i="4"/>
  <c r="AC113" i="4"/>
  <c r="AC111" i="4"/>
  <c r="AC112" i="4"/>
  <c r="AC110" i="4"/>
  <c r="W110" i="4"/>
  <c r="AC109" i="4"/>
  <c r="W109" i="4"/>
  <c r="AC108" i="4"/>
  <c r="W108" i="4"/>
  <c r="AC107" i="4"/>
  <c r="W107" i="4"/>
  <c r="AC106" i="4"/>
  <c r="W106" i="4"/>
  <c r="AC105" i="4"/>
  <c r="W105" i="4"/>
  <c r="AC104" i="4"/>
  <c r="W104" i="4"/>
  <c r="W103" i="4"/>
  <c r="AC116" i="4"/>
  <c r="AD116" i="4" s="1"/>
  <c r="AC99" i="4"/>
  <c r="AC86" i="4"/>
  <c r="W86" i="4"/>
  <c r="AO86" i="4"/>
  <c r="AC84" i="4"/>
  <c r="AC87" i="4"/>
  <c r="W87" i="4"/>
  <c r="AC89" i="4"/>
  <c r="AO90" i="4"/>
  <c r="AC83" i="4"/>
  <c r="AO82" i="4"/>
  <c r="W91" i="4"/>
  <c r="AO91" i="4"/>
  <c r="AC79" i="4"/>
  <c r="W92" i="4"/>
  <c r="AC78" i="4"/>
  <c r="AO92" i="4"/>
  <c r="AC136" i="4"/>
  <c r="AC76" i="4"/>
  <c r="AC75" i="4"/>
  <c r="W75" i="4"/>
  <c r="AC73" i="4"/>
  <c r="W73" i="4"/>
  <c r="AC72" i="4"/>
  <c r="W72" i="4"/>
  <c r="W71" i="4"/>
  <c r="AC71" i="4"/>
  <c r="AC94" i="4"/>
  <c r="W94" i="4"/>
  <c r="AC69" i="4"/>
  <c r="AC68" i="4"/>
  <c r="AC70" i="4"/>
  <c r="AO70" i="4"/>
  <c r="AC119" i="4"/>
  <c r="W119" i="4"/>
  <c r="AC96" i="4"/>
  <c r="AC117" i="4"/>
  <c r="W117" i="4"/>
  <c r="W95" i="4"/>
  <c r="AK84" i="3" l="1"/>
  <c r="AI84" i="3"/>
  <c r="AJ84" i="3" s="1"/>
  <c r="AK56" i="3"/>
  <c r="AI56" i="3"/>
  <c r="AJ56" i="3" s="1"/>
  <c r="AK55" i="3"/>
  <c r="AI55" i="3"/>
  <c r="AJ55" i="3" s="1"/>
  <c r="AK57" i="3"/>
  <c r="AI57" i="3"/>
  <c r="AJ57" i="3" s="1"/>
  <c r="AK98" i="3"/>
  <c r="AI98" i="3"/>
  <c r="AJ98" i="3" s="1"/>
  <c r="AD80" i="4"/>
  <c r="AD85" i="4"/>
  <c r="AD89" i="4"/>
  <c r="AE89" i="4" s="1"/>
  <c r="AD102" i="4"/>
  <c r="AD93" i="4"/>
  <c r="AE93" i="4" s="1"/>
  <c r="AD114" i="4"/>
  <c r="AD111" i="4"/>
  <c r="AD113" i="4"/>
  <c r="AE113" i="4" s="1"/>
  <c r="AD97" i="4"/>
  <c r="AE97" i="4" s="1"/>
  <c r="AL118" i="4"/>
  <c r="AN118" i="4" s="1"/>
  <c r="AD101" i="4"/>
  <c r="AE101" i="4" s="1"/>
  <c r="AD112" i="4"/>
  <c r="AE112" i="4" s="1"/>
  <c r="AD98" i="4"/>
  <c r="AE98" i="4" s="1"/>
  <c r="AD86" i="4"/>
  <c r="AE86" i="4" s="1"/>
  <c r="AD74" i="4"/>
  <c r="AE74" i="4" s="1"/>
  <c r="AD79" i="4"/>
  <c r="AE79" i="4" s="1"/>
  <c r="AD136" i="4"/>
  <c r="AE136" i="4" s="1"/>
  <c r="AD115" i="4"/>
  <c r="AE115" i="4" s="1"/>
  <c r="AD70" i="4"/>
  <c r="AE70" i="4" s="1"/>
  <c r="AC100" i="4"/>
  <c r="R100" i="4"/>
  <c r="Y100" i="4" s="1"/>
  <c r="AC90" i="4"/>
  <c r="R90" i="4"/>
  <c r="Y90" i="4" s="1"/>
  <c r="AC92" i="4"/>
  <c r="R92" i="4"/>
  <c r="Y92" i="4" s="1"/>
  <c r="AC88" i="4"/>
  <c r="R88" i="4"/>
  <c r="Y88" i="4" s="1"/>
  <c r="AD68" i="4"/>
  <c r="AE68" i="4" s="1"/>
  <c r="AC77" i="4"/>
  <c r="R77" i="4"/>
  <c r="Y77" i="4" s="1"/>
  <c r="AD69" i="4"/>
  <c r="AE69" i="4" s="1"/>
  <c r="AD78" i="4"/>
  <c r="AE78" i="4" s="1"/>
  <c r="AC82" i="4"/>
  <c r="R82" i="4"/>
  <c r="Y82" i="4" s="1"/>
  <c r="AL58" i="3"/>
  <c r="AN58" i="3" s="1"/>
  <c r="AQ55" i="3"/>
  <c r="AQ98" i="3"/>
  <c r="AQ56" i="3"/>
  <c r="AQ57" i="3"/>
  <c r="AQ84" i="3"/>
  <c r="AD104" i="4"/>
  <c r="AE104" i="4" s="1"/>
  <c r="AE111" i="4"/>
  <c r="AD83" i="4"/>
  <c r="AE83" i="4" s="1"/>
  <c r="AD105" i="4"/>
  <c r="AE105" i="4" s="1"/>
  <c r="AD106" i="4"/>
  <c r="AE106" i="4" s="1"/>
  <c r="AD87" i="4"/>
  <c r="AE87" i="4" s="1"/>
  <c r="AD108" i="4"/>
  <c r="AE108" i="4" s="1"/>
  <c r="AD103" i="4"/>
  <c r="AE103" i="4" s="1"/>
  <c r="AD109" i="4"/>
  <c r="AE109" i="4" s="1"/>
  <c r="AD71" i="4"/>
  <c r="AE71" i="4" s="1"/>
  <c r="AD107" i="4"/>
  <c r="AE107" i="4" s="1"/>
  <c r="AD110" i="4"/>
  <c r="AE110" i="4" s="1"/>
  <c r="AD117" i="4"/>
  <c r="AE117" i="4" s="1"/>
  <c r="AD94" i="4"/>
  <c r="AE94" i="4" s="1"/>
  <c r="AD73" i="4"/>
  <c r="AE73" i="4" s="1"/>
  <c r="AD75" i="4"/>
  <c r="AE75" i="4" s="1"/>
  <c r="AD84" i="4"/>
  <c r="AE84" i="4" s="1"/>
  <c r="AD96" i="4"/>
  <c r="AE96" i="4" s="1"/>
  <c r="AD76" i="4"/>
  <c r="AE76" i="4" s="1"/>
  <c r="AD99" i="4"/>
  <c r="AE99" i="4" s="1"/>
  <c r="AD119" i="4"/>
  <c r="AE119" i="4" s="1"/>
  <c r="AD72" i="4"/>
  <c r="AE72" i="4" s="1"/>
  <c r="AD95" i="4"/>
  <c r="AE95" i="4" s="1"/>
  <c r="AD91" i="4"/>
  <c r="AE91" i="4" s="1"/>
  <c r="AE114" i="4"/>
  <c r="AE102" i="4"/>
  <c r="AE116" i="4"/>
  <c r="AE85" i="4"/>
  <c r="AE81" i="4"/>
  <c r="AE80" i="4"/>
  <c r="AE67" i="4"/>
  <c r="N89" i="3"/>
  <c r="O89" i="3" s="1"/>
  <c r="P89" i="3"/>
  <c r="S89" i="3" s="1"/>
  <c r="U89" i="3" s="1"/>
  <c r="N4" i="3"/>
  <c r="O4" i="3" s="1"/>
  <c r="P4" i="3"/>
  <c r="S4" i="3" s="1"/>
  <c r="U4" i="3" s="1"/>
  <c r="N5" i="3"/>
  <c r="O5" i="3" s="1"/>
  <c r="P5" i="3"/>
  <c r="S5" i="3" s="1"/>
  <c r="U5" i="3" s="1"/>
  <c r="N90" i="3"/>
  <c r="O90" i="3" s="1"/>
  <c r="P90" i="3"/>
  <c r="S90" i="3" s="1"/>
  <c r="U90" i="3" s="1"/>
  <c r="N6" i="3"/>
  <c r="O6" i="3" s="1"/>
  <c r="P6" i="3"/>
  <c r="N7" i="3"/>
  <c r="O7" i="3" s="1"/>
  <c r="P7" i="3"/>
  <c r="S7" i="3" s="1"/>
  <c r="U7" i="3" s="1"/>
  <c r="N8" i="3"/>
  <c r="O8" i="3" s="1"/>
  <c r="P8" i="3"/>
  <c r="S8" i="3" s="1"/>
  <c r="U8" i="3" s="1"/>
  <c r="N9" i="3"/>
  <c r="O9" i="3" s="1"/>
  <c r="P9" i="3"/>
  <c r="S9" i="3" s="1"/>
  <c r="U9" i="3" s="1"/>
  <c r="N10" i="3"/>
  <c r="O10" i="3" s="1"/>
  <c r="P10" i="3"/>
  <c r="S10" i="3" s="1"/>
  <c r="U10" i="3" s="1"/>
  <c r="N11" i="3"/>
  <c r="O11" i="3" s="1"/>
  <c r="P11" i="3"/>
  <c r="S11" i="3" s="1"/>
  <c r="U11" i="3" s="1"/>
  <c r="N12" i="3"/>
  <c r="O12" i="3" s="1"/>
  <c r="P12" i="3"/>
  <c r="S12" i="3" s="1"/>
  <c r="U12" i="3" s="1"/>
  <c r="N13" i="3"/>
  <c r="O13" i="3" s="1"/>
  <c r="P13" i="3"/>
  <c r="N14" i="3"/>
  <c r="O14" i="3" s="1"/>
  <c r="P14" i="3"/>
  <c r="S14" i="3" s="1"/>
  <c r="U14" i="3" s="1"/>
  <c r="N15" i="3"/>
  <c r="O15" i="3" s="1"/>
  <c r="P15" i="3"/>
  <c r="S15" i="3" s="1"/>
  <c r="U15" i="3" s="1"/>
  <c r="N16" i="3"/>
  <c r="O16" i="3" s="1"/>
  <c r="P16" i="3"/>
  <c r="AA16" i="3" s="1"/>
  <c r="N17" i="3"/>
  <c r="O17" i="3" s="1"/>
  <c r="P17" i="3"/>
  <c r="S17" i="3" s="1"/>
  <c r="U17" i="3" s="1"/>
  <c r="N91" i="3"/>
  <c r="O91" i="3" s="1"/>
  <c r="P91" i="3"/>
  <c r="S91" i="3" s="1"/>
  <c r="U91" i="3" s="1"/>
  <c r="N18" i="3"/>
  <c r="O18" i="3" s="1"/>
  <c r="P18" i="3"/>
  <c r="AA18" i="3" s="1"/>
  <c r="N19" i="3"/>
  <c r="O19" i="3" s="1"/>
  <c r="P19" i="3"/>
  <c r="S19" i="3" s="1"/>
  <c r="U19" i="3" s="1"/>
  <c r="N20" i="3"/>
  <c r="O20" i="3" s="1"/>
  <c r="P20" i="3"/>
  <c r="AA20" i="3" s="1"/>
  <c r="N21" i="3"/>
  <c r="O21" i="3" s="1"/>
  <c r="P21" i="3"/>
  <c r="AA21" i="3" s="1"/>
  <c r="N22" i="3"/>
  <c r="O22" i="3" s="1"/>
  <c r="P22" i="3"/>
  <c r="AA22" i="3" s="1"/>
  <c r="N23" i="3"/>
  <c r="O23" i="3" s="1"/>
  <c r="P23" i="3"/>
  <c r="N24" i="3"/>
  <c r="O24" i="3" s="1"/>
  <c r="P24" i="3"/>
  <c r="S24" i="3" s="1"/>
  <c r="U24" i="3" s="1"/>
  <c r="N25" i="3"/>
  <c r="O25" i="3" s="1"/>
  <c r="P25" i="3"/>
  <c r="S25" i="3" s="1"/>
  <c r="U25" i="3" s="1"/>
  <c r="N92" i="3"/>
  <c r="O92" i="3" s="1"/>
  <c r="P92" i="3"/>
  <c r="S92" i="3" s="1"/>
  <c r="U92" i="3" s="1"/>
  <c r="N26" i="3"/>
  <c r="O26" i="3" s="1"/>
  <c r="P26" i="3"/>
  <c r="S26" i="3" s="1"/>
  <c r="U26" i="3" s="1"/>
  <c r="N27" i="3"/>
  <c r="O27" i="3" s="1"/>
  <c r="P27" i="3"/>
  <c r="S27" i="3" s="1"/>
  <c r="U27" i="3" s="1"/>
  <c r="N28" i="3"/>
  <c r="O28" i="3" s="1"/>
  <c r="P28" i="3"/>
  <c r="N29" i="3"/>
  <c r="O29" i="3" s="1"/>
  <c r="P29" i="3"/>
  <c r="S29" i="3" s="1"/>
  <c r="U29" i="3" s="1"/>
  <c r="N30" i="3"/>
  <c r="O30" i="3" s="1"/>
  <c r="P30" i="3"/>
  <c r="S30" i="3" s="1"/>
  <c r="U30" i="3" s="1"/>
  <c r="N93" i="3"/>
  <c r="O93" i="3" s="1"/>
  <c r="P93" i="3"/>
  <c r="S93" i="3" s="1"/>
  <c r="U93" i="3" s="1"/>
  <c r="N31" i="3"/>
  <c r="O31" i="3" s="1"/>
  <c r="P31" i="3"/>
  <c r="AA31" i="3" s="1"/>
  <c r="N32" i="3"/>
  <c r="O32" i="3" s="1"/>
  <c r="P32" i="3"/>
  <c r="S32" i="3" s="1"/>
  <c r="U32" i="3" s="1"/>
  <c r="N33" i="3"/>
  <c r="O33" i="3" s="1"/>
  <c r="P33" i="3"/>
  <c r="S33" i="3" s="1"/>
  <c r="U33" i="3" s="1"/>
  <c r="N34" i="3"/>
  <c r="O34" i="3" s="1"/>
  <c r="P34" i="3"/>
  <c r="S34" i="3" s="1"/>
  <c r="U34" i="3" s="1"/>
  <c r="N35" i="3"/>
  <c r="O35" i="3" s="1"/>
  <c r="P35" i="3"/>
  <c r="S35" i="3" s="1"/>
  <c r="U35" i="3" s="1"/>
  <c r="N36" i="3"/>
  <c r="O36" i="3" s="1"/>
  <c r="P36" i="3"/>
  <c r="S36" i="3" s="1"/>
  <c r="U36" i="3" s="1"/>
  <c r="N37" i="3"/>
  <c r="O37" i="3" s="1"/>
  <c r="P37" i="3"/>
  <c r="AA37" i="3" s="1"/>
  <c r="N38" i="3"/>
  <c r="O38" i="3" s="1"/>
  <c r="P38" i="3"/>
  <c r="S38" i="3" s="1"/>
  <c r="U38" i="3" s="1"/>
  <c r="N39" i="3"/>
  <c r="O39" i="3" s="1"/>
  <c r="P39" i="3"/>
  <c r="N40" i="3"/>
  <c r="O40" i="3" s="1"/>
  <c r="P40" i="3"/>
  <c r="N41" i="3"/>
  <c r="O41" i="3" s="1"/>
  <c r="P41" i="3"/>
  <c r="S41" i="3" s="1"/>
  <c r="U41" i="3" s="1"/>
  <c r="N42" i="3"/>
  <c r="O42" i="3" s="1"/>
  <c r="P42" i="3"/>
  <c r="S42" i="3" s="1"/>
  <c r="U42" i="3" s="1"/>
  <c r="N43" i="3"/>
  <c r="O43" i="3" s="1"/>
  <c r="P43" i="3"/>
  <c r="S43" i="3" s="1"/>
  <c r="U43" i="3" s="1"/>
  <c r="N94" i="3"/>
  <c r="O94" i="3" s="1"/>
  <c r="P94" i="3"/>
  <c r="AA94" i="3" s="1"/>
  <c r="N44" i="3"/>
  <c r="O44" i="3" s="1"/>
  <c r="P44" i="3"/>
  <c r="S44" i="3" s="1"/>
  <c r="U44" i="3" s="1"/>
  <c r="N45" i="3"/>
  <c r="O45" i="3" s="1"/>
  <c r="P45" i="3"/>
  <c r="S45" i="3" s="1"/>
  <c r="U45" i="3" s="1"/>
  <c r="N95" i="3"/>
  <c r="O95" i="3" s="1"/>
  <c r="P95" i="3"/>
  <c r="AA95" i="3" s="1"/>
  <c r="N46" i="3"/>
  <c r="O46" i="3" s="1"/>
  <c r="P46" i="3"/>
  <c r="N47" i="3"/>
  <c r="O47" i="3" s="1"/>
  <c r="P47" i="3"/>
  <c r="N48" i="3"/>
  <c r="O48" i="3" s="1"/>
  <c r="P48" i="3"/>
  <c r="S48" i="3" s="1"/>
  <c r="U48" i="3" s="1"/>
  <c r="N49" i="3"/>
  <c r="O49" i="3" s="1"/>
  <c r="P49" i="3"/>
  <c r="S49" i="3" s="1"/>
  <c r="U49" i="3" s="1"/>
  <c r="N50" i="3"/>
  <c r="O50" i="3" s="1"/>
  <c r="P50" i="3"/>
  <c r="S50" i="3" s="1"/>
  <c r="U50" i="3" s="1"/>
  <c r="N51" i="3"/>
  <c r="O51" i="3" s="1"/>
  <c r="P51" i="3"/>
  <c r="AA51" i="3" s="1"/>
  <c r="N52" i="3"/>
  <c r="O52" i="3" s="1"/>
  <c r="P52" i="3"/>
  <c r="S52" i="3" s="1"/>
  <c r="U52" i="3" s="1"/>
  <c r="N96" i="3"/>
  <c r="O96" i="3" s="1"/>
  <c r="P96" i="3"/>
  <c r="S96" i="3" s="1"/>
  <c r="U96" i="3" s="1"/>
  <c r="N97" i="3"/>
  <c r="O97" i="3" s="1"/>
  <c r="P97" i="3"/>
  <c r="S97" i="3" s="1"/>
  <c r="U97" i="3" s="1"/>
  <c r="N53" i="3"/>
  <c r="O53" i="3" s="1"/>
  <c r="P53" i="3"/>
  <c r="S53" i="3" s="1"/>
  <c r="U53" i="3" s="1"/>
  <c r="N54" i="3"/>
  <c r="O54" i="3" s="1"/>
  <c r="P54" i="3"/>
  <c r="AL57" i="3" l="1"/>
  <c r="AN57" i="3" s="1"/>
  <c r="AI101" i="4"/>
  <c r="AJ101" i="4" s="1"/>
  <c r="AK101" i="4"/>
  <c r="AK105" i="4"/>
  <c r="AI105" i="4"/>
  <c r="AJ105" i="4" s="1"/>
  <c r="AK97" i="4"/>
  <c r="AI97" i="4"/>
  <c r="AJ97" i="4" s="1"/>
  <c r="AK107" i="4"/>
  <c r="AI107" i="4"/>
  <c r="AJ107" i="4" s="1"/>
  <c r="AK115" i="4"/>
  <c r="AI115" i="4"/>
  <c r="AJ115" i="4" s="1"/>
  <c r="AK85" i="4"/>
  <c r="AI85" i="4"/>
  <c r="AJ85" i="4" s="1"/>
  <c r="AK104" i="4"/>
  <c r="AI104" i="4"/>
  <c r="AJ104" i="4" s="1"/>
  <c r="AK136" i="4"/>
  <c r="AI136" i="4"/>
  <c r="AJ136" i="4" s="1"/>
  <c r="AK112" i="4"/>
  <c r="AI112" i="4"/>
  <c r="AJ112" i="4" s="1"/>
  <c r="AK73" i="4"/>
  <c r="AI73" i="4"/>
  <c r="AJ73" i="4" s="1"/>
  <c r="AK111" i="4"/>
  <c r="AI111" i="4"/>
  <c r="AJ111" i="4" s="1"/>
  <c r="AI110" i="4"/>
  <c r="AJ110" i="4" s="1"/>
  <c r="AK110" i="4"/>
  <c r="AK95" i="4"/>
  <c r="AI95" i="4"/>
  <c r="AJ95" i="4" s="1"/>
  <c r="AK67" i="4"/>
  <c r="AI67" i="4"/>
  <c r="AJ67" i="4" s="1"/>
  <c r="AL67" i="4" s="1"/>
  <c r="AN67" i="4" s="1"/>
  <c r="AK119" i="4"/>
  <c r="AI119" i="4"/>
  <c r="AJ119" i="4" s="1"/>
  <c r="AK109" i="4"/>
  <c r="AI109" i="4"/>
  <c r="AJ109" i="4" s="1"/>
  <c r="AK68" i="4"/>
  <c r="AI68" i="4"/>
  <c r="AJ68" i="4" s="1"/>
  <c r="AK79" i="4"/>
  <c r="AI79" i="4"/>
  <c r="AJ79" i="4" s="1"/>
  <c r="AI84" i="4"/>
  <c r="AJ84" i="4" s="1"/>
  <c r="AK84" i="4"/>
  <c r="AK75" i="4"/>
  <c r="AI75" i="4"/>
  <c r="AJ75" i="4" s="1"/>
  <c r="AK102" i="4"/>
  <c r="AI102" i="4"/>
  <c r="AJ102" i="4" s="1"/>
  <c r="AK94" i="4"/>
  <c r="AI94" i="4"/>
  <c r="AJ94" i="4" s="1"/>
  <c r="AK117" i="4"/>
  <c r="AI117" i="4"/>
  <c r="AJ117" i="4" s="1"/>
  <c r="AI91" i="4"/>
  <c r="AJ91" i="4" s="1"/>
  <c r="AK91" i="4"/>
  <c r="AI80" i="4"/>
  <c r="AJ80" i="4" s="1"/>
  <c r="AK80" i="4"/>
  <c r="AK99" i="4"/>
  <c r="AI99" i="4"/>
  <c r="AJ99" i="4" s="1"/>
  <c r="AI103" i="4"/>
  <c r="AJ103" i="4" s="1"/>
  <c r="AK103" i="4"/>
  <c r="AK74" i="4"/>
  <c r="AI74" i="4"/>
  <c r="AJ74" i="4" s="1"/>
  <c r="AK93" i="4"/>
  <c r="AI93" i="4"/>
  <c r="AJ93" i="4" s="1"/>
  <c r="AK83" i="4"/>
  <c r="AI83" i="4"/>
  <c r="AJ83" i="4" s="1"/>
  <c r="AI113" i="4"/>
  <c r="AJ113" i="4" s="1"/>
  <c r="AK113" i="4"/>
  <c r="AK114" i="4"/>
  <c r="AI114" i="4"/>
  <c r="AJ114" i="4" s="1"/>
  <c r="AK70" i="4"/>
  <c r="AI70" i="4"/>
  <c r="AJ70" i="4" s="1"/>
  <c r="AK71" i="4"/>
  <c r="AI71" i="4"/>
  <c r="AJ71" i="4" s="1"/>
  <c r="AK81" i="4"/>
  <c r="AI81" i="4"/>
  <c r="AJ81" i="4" s="1"/>
  <c r="AK76" i="4"/>
  <c r="AI76" i="4"/>
  <c r="AJ76" i="4" s="1"/>
  <c r="AK108" i="4"/>
  <c r="AI108" i="4"/>
  <c r="AJ108" i="4" s="1"/>
  <c r="AI86" i="4"/>
  <c r="AJ86" i="4" s="1"/>
  <c r="AK86" i="4"/>
  <c r="AK106" i="4"/>
  <c r="AI106" i="4"/>
  <c r="AJ106" i="4" s="1"/>
  <c r="AK116" i="4"/>
  <c r="AI116" i="4"/>
  <c r="AJ116" i="4" s="1"/>
  <c r="AK78" i="4"/>
  <c r="AI78" i="4"/>
  <c r="AJ78" i="4" s="1"/>
  <c r="AK69" i="4"/>
  <c r="AI69" i="4"/>
  <c r="AJ69" i="4" s="1"/>
  <c r="AK72" i="4"/>
  <c r="AI72" i="4"/>
  <c r="AJ72" i="4" s="1"/>
  <c r="AK89" i="4"/>
  <c r="AI89" i="4"/>
  <c r="AJ89" i="4" s="1"/>
  <c r="AK96" i="4"/>
  <c r="AI96" i="4"/>
  <c r="AJ96" i="4" s="1"/>
  <c r="AK87" i="4"/>
  <c r="AI87" i="4"/>
  <c r="AJ87" i="4" s="1"/>
  <c r="AI98" i="4"/>
  <c r="AJ98" i="4" s="1"/>
  <c r="AK98" i="4"/>
  <c r="AD92" i="4"/>
  <c r="AE92" i="4" s="1"/>
  <c r="AD82" i="4"/>
  <c r="AE82" i="4" s="1"/>
  <c r="AD90" i="4"/>
  <c r="AE90" i="4" s="1"/>
  <c r="AD77" i="4"/>
  <c r="AE77" i="4" s="1"/>
  <c r="AQ111" i="4"/>
  <c r="AD88" i="4"/>
  <c r="AE88" i="4" s="1"/>
  <c r="AD100" i="4"/>
  <c r="AE100" i="4" s="1"/>
  <c r="AA10" i="3"/>
  <c r="AL98" i="3"/>
  <c r="AN98" i="3" s="1"/>
  <c r="AL55" i="3"/>
  <c r="AN55" i="3" s="1"/>
  <c r="AL56" i="3"/>
  <c r="AN56" i="3" s="1"/>
  <c r="AL84" i="3"/>
  <c r="AN84" i="3" s="1"/>
  <c r="AQ95" i="4"/>
  <c r="AQ72" i="4"/>
  <c r="AQ119" i="4"/>
  <c r="AQ79" i="4"/>
  <c r="AQ110" i="4"/>
  <c r="AQ80" i="4"/>
  <c r="AQ102" i="4"/>
  <c r="AQ103" i="4"/>
  <c r="AQ114" i="4"/>
  <c r="AQ136" i="4"/>
  <c r="AQ71" i="4"/>
  <c r="AQ94" i="4"/>
  <c r="AQ81" i="4"/>
  <c r="AQ87" i="4"/>
  <c r="AQ97" i="4"/>
  <c r="AQ76" i="4"/>
  <c r="AQ89" i="4"/>
  <c r="AQ98" i="4"/>
  <c r="AQ115" i="4"/>
  <c r="AQ96" i="4"/>
  <c r="AQ93" i="4"/>
  <c r="AQ112" i="4"/>
  <c r="AQ113" i="4"/>
  <c r="AQ105" i="4"/>
  <c r="AQ107" i="4"/>
  <c r="AQ106" i="4"/>
  <c r="AQ101" i="4"/>
  <c r="AQ109" i="4"/>
  <c r="AQ108" i="4"/>
  <c r="AQ104" i="4"/>
  <c r="AQ99" i="4"/>
  <c r="AQ116" i="4"/>
  <c r="AQ84" i="4"/>
  <c r="AQ86" i="4"/>
  <c r="AQ85" i="4"/>
  <c r="AQ83" i="4"/>
  <c r="AQ91" i="4"/>
  <c r="AQ78" i="4"/>
  <c r="AQ73" i="4"/>
  <c r="AQ74" i="4"/>
  <c r="AQ75" i="4"/>
  <c r="AQ70" i="4"/>
  <c r="AQ69" i="4"/>
  <c r="AQ68" i="4"/>
  <c r="AQ67" i="4"/>
  <c r="AQ117" i="4"/>
  <c r="AA25" i="3"/>
  <c r="AA8" i="3"/>
  <c r="AA33" i="3"/>
  <c r="AA9" i="3"/>
  <c r="S94" i="3"/>
  <c r="U94" i="3" s="1"/>
  <c r="AA34" i="3"/>
  <c r="AA4" i="3"/>
  <c r="AA35" i="3"/>
  <c r="AA48" i="3"/>
  <c r="S20" i="3"/>
  <c r="U20" i="3" s="1"/>
  <c r="AA32" i="3"/>
  <c r="AA7" i="3"/>
  <c r="AA26" i="3"/>
  <c r="AA90" i="3"/>
  <c r="AA53" i="3"/>
  <c r="AA5" i="3"/>
  <c r="S18" i="3"/>
  <c r="U18" i="3" s="1"/>
  <c r="AA97" i="3"/>
  <c r="AA17" i="3"/>
  <c r="S51" i="3"/>
  <c r="U51" i="3" s="1"/>
  <c r="AA19" i="3"/>
  <c r="AA44" i="3"/>
  <c r="AA91" i="3"/>
  <c r="S37" i="3"/>
  <c r="U37" i="3" s="1"/>
  <c r="AA96" i="3"/>
  <c r="AA49" i="3"/>
  <c r="AA30" i="3"/>
  <c r="AA45" i="3"/>
  <c r="AA27" i="3"/>
  <c r="AA92" i="3"/>
  <c r="AA14" i="3"/>
  <c r="AA41" i="3"/>
  <c r="AA89" i="3"/>
  <c r="S95" i="3"/>
  <c r="U95" i="3" s="1"/>
  <c r="AA12" i="3"/>
  <c r="AA36" i="3"/>
  <c r="AA24" i="3"/>
  <c r="AA11" i="3"/>
  <c r="S54" i="3"/>
  <c r="U54" i="3" s="1"/>
  <c r="AA54" i="3"/>
  <c r="AA39" i="3"/>
  <c r="S39" i="3"/>
  <c r="U39" i="3" s="1"/>
  <c r="AA28" i="3"/>
  <c r="S28" i="3"/>
  <c r="U28" i="3" s="1"/>
  <c r="AA13" i="3"/>
  <c r="S13" i="3"/>
  <c r="U13" i="3" s="1"/>
  <c r="S6" i="3"/>
  <c r="U6" i="3" s="1"/>
  <c r="AA6" i="3"/>
  <c r="S23" i="3"/>
  <c r="U23" i="3" s="1"/>
  <c r="AA23" i="3"/>
  <c r="S47" i="3"/>
  <c r="U47" i="3" s="1"/>
  <c r="AA47" i="3"/>
  <c r="S40" i="3"/>
  <c r="U40" i="3" s="1"/>
  <c r="AA40" i="3"/>
  <c r="AA46" i="3"/>
  <c r="S46" i="3"/>
  <c r="U46" i="3" s="1"/>
  <c r="S31" i="3"/>
  <c r="U31" i="3" s="1"/>
  <c r="S16" i="3"/>
  <c r="U16" i="3" s="1"/>
  <c r="AA52" i="3"/>
  <c r="AA43" i="3"/>
  <c r="AA15" i="3"/>
  <c r="S22" i="3"/>
  <c r="U22" i="3" s="1"/>
  <c r="S21" i="3"/>
  <c r="U21" i="3" s="1"/>
  <c r="AA50" i="3"/>
  <c r="AA42" i="3"/>
  <c r="AA93" i="3"/>
  <c r="AA29" i="3"/>
  <c r="AA38" i="3"/>
  <c r="L54" i="3"/>
  <c r="Q54" i="3" s="1"/>
  <c r="R54" i="3" s="1"/>
  <c r="Y54" i="3" s="1"/>
  <c r="L53" i="3"/>
  <c r="L97" i="3"/>
  <c r="Q97" i="3" s="1"/>
  <c r="R97" i="3" s="1"/>
  <c r="Y97" i="3" s="1"/>
  <c r="AK88" i="4" l="1"/>
  <c r="AI88" i="4"/>
  <c r="AJ88" i="4" s="1"/>
  <c r="AI92" i="4"/>
  <c r="AJ92" i="4" s="1"/>
  <c r="AK92" i="4"/>
  <c r="AK100" i="4"/>
  <c r="AI100" i="4"/>
  <c r="AJ100" i="4" s="1"/>
  <c r="AK77" i="4"/>
  <c r="AI77" i="4"/>
  <c r="AJ77" i="4" s="1"/>
  <c r="AK90" i="4"/>
  <c r="AI90" i="4"/>
  <c r="AJ90" i="4" s="1"/>
  <c r="AK82" i="4"/>
  <c r="AI82" i="4"/>
  <c r="AJ82" i="4" s="1"/>
  <c r="AQ82" i="4"/>
  <c r="AQ92" i="4"/>
  <c r="AQ77" i="4"/>
  <c r="AQ90" i="4"/>
  <c r="AL96" i="4"/>
  <c r="AN96" i="4" s="1"/>
  <c r="AL73" i="4"/>
  <c r="AN73" i="4" s="1"/>
  <c r="AL111" i="4"/>
  <c r="AN111" i="4" s="1"/>
  <c r="AL74" i="4"/>
  <c r="AN74" i="4" s="1"/>
  <c r="AL101" i="4"/>
  <c r="AN101" i="4" s="1"/>
  <c r="AL75" i="4"/>
  <c r="AN75" i="4" s="1"/>
  <c r="AQ88" i="4"/>
  <c r="AL84" i="4"/>
  <c r="AN84" i="4" s="1"/>
  <c r="AL78" i="4"/>
  <c r="AN78" i="4" s="1"/>
  <c r="AL112" i="4"/>
  <c r="AN112" i="4" s="1"/>
  <c r="AL91" i="4"/>
  <c r="AN91" i="4" s="1"/>
  <c r="AQ100" i="4"/>
  <c r="AL107" i="4"/>
  <c r="AN107" i="4" s="1"/>
  <c r="AL70" i="4"/>
  <c r="AN70" i="4" s="1"/>
  <c r="AL69" i="4"/>
  <c r="AN69" i="4" s="1"/>
  <c r="AL93" i="4"/>
  <c r="AN93" i="4" s="1"/>
  <c r="AL99" i="4"/>
  <c r="AN99" i="4" s="1"/>
  <c r="AL83" i="4"/>
  <c r="AN83" i="4" s="1"/>
  <c r="AL106" i="4"/>
  <c r="AN106" i="4" s="1"/>
  <c r="AL105" i="4"/>
  <c r="AN105" i="4" s="1"/>
  <c r="AL114" i="4"/>
  <c r="AN114" i="4" s="1"/>
  <c r="AL115" i="4"/>
  <c r="AN115" i="4" s="1"/>
  <c r="AL119" i="4"/>
  <c r="AN119" i="4" s="1"/>
  <c r="AL110" i="4"/>
  <c r="AN110" i="4" s="1"/>
  <c r="AL109" i="4"/>
  <c r="AN109" i="4" s="1"/>
  <c r="AL113" i="4"/>
  <c r="AN113" i="4" s="1"/>
  <c r="AL108" i="4"/>
  <c r="AN108" i="4" s="1"/>
  <c r="AL103" i="4"/>
  <c r="AN103" i="4" s="1"/>
  <c r="AL87" i="4"/>
  <c r="AN87" i="4" s="1"/>
  <c r="AL98" i="4"/>
  <c r="AN98" i="4" s="1"/>
  <c r="AL104" i="4"/>
  <c r="AN104" i="4" s="1"/>
  <c r="AL116" i="4"/>
  <c r="AN116" i="4" s="1"/>
  <c r="AL102" i="4"/>
  <c r="AN102" i="4" s="1"/>
  <c r="AL86" i="4"/>
  <c r="AN86" i="4" s="1"/>
  <c r="AL89" i="4"/>
  <c r="AN89" i="4" s="1"/>
  <c r="AL85" i="4"/>
  <c r="AN85" i="4" s="1"/>
  <c r="AL79" i="4"/>
  <c r="AN79" i="4" s="1"/>
  <c r="AL81" i="4"/>
  <c r="AN81" i="4" s="1"/>
  <c r="AL80" i="4"/>
  <c r="AN80" i="4" s="1"/>
  <c r="AL136" i="4"/>
  <c r="AN136" i="4" s="1"/>
  <c r="AL76" i="4"/>
  <c r="AN76" i="4" s="1"/>
  <c r="AL72" i="4"/>
  <c r="AN72" i="4" s="1"/>
  <c r="AL71" i="4"/>
  <c r="AN71" i="4" s="1"/>
  <c r="AL94" i="4"/>
  <c r="AN94" i="4" s="1"/>
  <c r="AL97" i="4"/>
  <c r="AN97" i="4" s="1"/>
  <c r="AL68" i="4"/>
  <c r="AN68" i="4" s="1"/>
  <c r="AL95" i="4"/>
  <c r="AN95" i="4" s="1"/>
  <c r="AL117" i="4"/>
  <c r="AN117" i="4" s="1"/>
  <c r="W97" i="3"/>
  <c r="Q53" i="3"/>
  <c r="W53" i="3"/>
  <c r="W54" i="3"/>
  <c r="AC54" i="3"/>
  <c r="AD54" i="3" s="1"/>
  <c r="AC97" i="3"/>
  <c r="AD97" i="3" s="1"/>
  <c r="AO66" i="4"/>
  <c r="L66" i="4"/>
  <c r="Q66" i="4" s="1"/>
  <c r="R66" i="4" s="1"/>
  <c r="Y66" i="4" s="1"/>
  <c r="AL88" i="4" l="1"/>
  <c r="AN88" i="4" s="1"/>
  <c r="AL92" i="4"/>
  <c r="AN92" i="4" s="1"/>
  <c r="AE97" i="3"/>
  <c r="AL90" i="4"/>
  <c r="AN90" i="4" s="1"/>
  <c r="AL82" i="4"/>
  <c r="AN82" i="4" s="1"/>
  <c r="AL77" i="4"/>
  <c r="AN77" i="4" s="1"/>
  <c r="AL100" i="4"/>
  <c r="AN100" i="4" s="1"/>
  <c r="AC53" i="3"/>
  <c r="R53" i="3"/>
  <c r="Y53" i="3" s="1"/>
  <c r="AE54" i="3"/>
  <c r="W66" i="4"/>
  <c r="AC66" i="4"/>
  <c r="AD66" i="4" s="1"/>
  <c r="AK97" i="3" l="1"/>
  <c r="AI97" i="3"/>
  <c r="AJ97" i="3" s="1"/>
  <c r="AL97" i="3" s="1"/>
  <c r="AN97" i="3" s="1"/>
  <c r="AK54" i="3"/>
  <c r="AI54" i="3"/>
  <c r="AJ54" i="3" s="1"/>
  <c r="AD53" i="3"/>
  <c r="AE53" i="3" s="1"/>
  <c r="AQ97" i="3"/>
  <c r="AQ54" i="3"/>
  <c r="AE66" i="4"/>
  <c r="AK53" i="3" l="1"/>
  <c r="AI53" i="3"/>
  <c r="AJ53" i="3" s="1"/>
  <c r="AK66" i="4"/>
  <c r="AI66" i="4"/>
  <c r="AJ66" i="4" s="1"/>
  <c r="AQ53" i="3"/>
  <c r="AL54" i="3"/>
  <c r="AN54" i="3" s="1"/>
  <c r="AQ66" i="4"/>
  <c r="AL53" i="3" l="1"/>
  <c r="AN53" i="3" s="1"/>
  <c r="AL66" i="4"/>
  <c r="AN66" i="4" s="1"/>
  <c r="AM85" i="3" l="1"/>
  <c r="AB85" i="3"/>
  <c r="V85" i="3"/>
  <c r="J85" i="3"/>
  <c r="L39" i="3" l="1"/>
  <c r="Q39" i="3" l="1"/>
  <c r="W39" i="3"/>
  <c r="L47" i="3"/>
  <c r="AC39" i="3" l="1"/>
  <c r="R39" i="3"/>
  <c r="Y39" i="3" s="1"/>
  <c r="Q47" i="3"/>
  <c r="W47" i="3"/>
  <c r="AC47" i="3" l="1"/>
  <c r="R47" i="3"/>
  <c r="Y47" i="3" s="1"/>
  <c r="AD39" i="3"/>
  <c r="AE39" i="3" s="1"/>
  <c r="AF3" i="4"/>
  <c r="AK39" i="3" l="1"/>
  <c r="AI39" i="3"/>
  <c r="AJ39" i="3" s="1"/>
  <c r="AD47" i="3"/>
  <c r="AE47" i="3" s="1"/>
  <c r="AF3" i="3"/>
  <c r="AF85" i="3" s="1"/>
  <c r="AK47" i="3" l="1"/>
  <c r="AI47" i="3"/>
  <c r="AJ47" i="3" s="1"/>
  <c r="AL39" i="3"/>
  <c r="AN39" i="3" s="1"/>
  <c r="L96" i="3"/>
  <c r="AL47" i="3" l="1"/>
  <c r="AN47" i="3" s="1"/>
  <c r="Q96" i="3"/>
  <c r="W96" i="3"/>
  <c r="AC96" i="3" l="1"/>
  <c r="R96" i="3"/>
  <c r="Y96" i="3" s="1"/>
  <c r="AD96" i="3" l="1"/>
  <c r="AE96" i="3" s="1"/>
  <c r="AK96" i="3" l="1"/>
  <c r="AI96" i="3"/>
  <c r="AJ96" i="3" s="1"/>
  <c r="AQ96" i="3"/>
  <c r="AG3" i="3"/>
  <c r="L93" i="3"/>
  <c r="L24" i="3"/>
  <c r="L20" i="3"/>
  <c r="L13" i="3"/>
  <c r="L7" i="3"/>
  <c r="AL96" i="3" l="1"/>
  <c r="AN96" i="3" s="1"/>
  <c r="Q13" i="3"/>
  <c r="W13" i="3"/>
  <c r="Q7" i="3"/>
  <c r="W7" i="3"/>
  <c r="Q20" i="3"/>
  <c r="R20" i="3" s="1"/>
  <c r="Y20" i="3" s="1"/>
  <c r="W20" i="3"/>
  <c r="Q24" i="3"/>
  <c r="R24" i="3" s="1"/>
  <c r="Y24" i="3" s="1"/>
  <c r="W24" i="3"/>
  <c r="Q93" i="3"/>
  <c r="R93" i="3" s="1"/>
  <c r="Y93" i="3" s="1"/>
  <c r="W93" i="3"/>
  <c r="AC24" i="3" l="1"/>
  <c r="AD24" i="3" s="1"/>
  <c r="AE24" i="3" s="1"/>
  <c r="AC20" i="3"/>
  <c r="AD20" i="3" s="1"/>
  <c r="AE20" i="3" s="1"/>
  <c r="AC93" i="3"/>
  <c r="AD93" i="3" s="1"/>
  <c r="AE93" i="3" s="1"/>
  <c r="AC7" i="3"/>
  <c r="R7" i="3"/>
  <c r="Y7" i="3" s="1"/>
  <c r="AC13" i="3"/>
  <c r="R13" i="3"/>
  <c r="Y13" i="3" s="1"/>
  <c r="AK93" i="3" l="1"/>
  <c r="AI93" i="3"/>
  <c r="AJ93" i="3" s="1"/>
  <c r="AK20" i="3"/>
  <c r="AI20" i="3"/>
  <c r="AJ20" i="3" s="1"/>
  <c r="AK24" i="3"/>
  <c r="AI24" i="3"/>
  <c r="AJ24" i="3" s="1"/>
  <c r="AL24" i="3" s="1"/>
  <c r="AN24" i="3" s="1"/>
  <c r="AD7" i="3"/>
  <c r="AE7" i="3" s="1"/>
  <c r="AD13" i="3"/>
  <c r="AE13" i="3" s="1"/>
  <c r="AQ93" i="3"/>
  <c r="AQ20" i="3"/>
  <c r="AQ24" i="3"/>
  <c r="AK7" i="3" l="1"/>
  <c r="AI7" i="3"/>
  <c r="AJ7" i="3" s="1"/>
  <c r="AK13" i="3"/>
  <c r="AI13" i="3"/>
  <c r="AJ13" i="3" s="1"/>
  <c r="AL20" i="3"/>
  <c r="AN20" i="3" s="1"/>
  <c r="AL93" i="3"/>
  <c r="AN93" i="3" s="1"/>
  <c r="AQ13" i="3"/>
  <c r="AQ7" i="3"/>
  <c r="AO62" i="4"/>
  <c r="L62" i="4"/>
  <c r="Q62" i="4" s="1"/>
  <c r="R62" i="4" s="1"/>
  <c r="Y62" i="4" s="1"/>
  <c r="AL7" i="3" l="1"/>
  <c r="AN7" i="3" s="1"/>
  <c r="AL13" i="3"/>
  <c r="AN13" i="3" s="1"/>
  <c r="W62" i="4"/>
  <c r="AC62" i="4"/>
  <c r="AD62" i="4" s="1"/>
  <c r="AO65" i="4"/>
  <c r="L65" i="4"/>
  <c r="Q65" i="4" s="1"/>
  <c r="R65" i="4" s="1"/>
  <c r="Y65" i="4" s="1"/>
  <c r="AO64" i="4"/>
  <c r="L64" i="4"/>
  <c r="Q64" i="4" s="1"/>
  <c r="R64" i="4" s="1"/>
  <c r="Y64" i="4" s="1"/>
  <c r="AO63" i="4"/>
  <c r="L63" i="4"/>
  <c r="Q63" i="4" s="1"/>
  <c r="R63" i="4" s="1"/>
  <c r="Y63" i="4" s="1"/>
  <c r="AO61" i="4"/>
  <c r="L61" i="4"/>
  <c r="Q61" i="4" s="1"/>
  <c r="R61" i="4" s="1"/>
  <c r="Y61" i="4" s="1"/>
  <c r="AO60" i="4"/>
  <c r="L60" i="4"/>
  <c r="AO59" i="4"/>
  <c r="L59" i="4"/>
  <c r="Q59" i="4" s="1"/>
  <c r="R59" i="4" s="1"/>
  <c r="Y59" i="4" s="1"/>
  <c r="AO58" i="4"/>
  <c r="L58" i="4"/>
  <c r="Q58" i="4" s="1"/>
  <c r="R58" i="4" s="1"/>
  <c r="Y58" i="4" s="1"/>
  <c r="AO57" i="4"/>
  <c r="L57" i="4"/>
  <c r="AO56" i="4"/>
  <c r="L56" i="4"/>
  <c r="Q56" i="4" s="1"/>
  <c r="R56" i="4" s="1"/>
  <c r="Y56" i="4" s="1"/>
  <c r="AO55" i="4"/>
  <c r="L55" i="4"/>
  <c r="Q55" i="4" s="1"/>
  <c r="R55" i="4" s="1"/>
  <c r="Y55" i="4" s="1"/>
  <c r="AO54" i="4"/>
  <c r="L54" i="4"/>
  <c r="Q54" i="4" s="1"/>
  <c r="R54" i="4" s="1"/>
  <c r="Y54" i="4" s="1"/>
  <c r="AO53" i="4"/>
  <c r="L53" i="4"/>
  <c r="Q53" i="4" s="1"/>
  <c r="R53" i="4" s="1"/>
  <c r="Y53" i="4" s="1"/>
  <c r="AO52" i="4"/>
  <c r="L52" i="4"/>
  <c r="Q52" i="4" s="1"/>
  <c r="R52" i="4" s="1"/>
  <c r="Y52" i="4" s="1"/>
  <c r="AO51" i="4"/>
  <c r="L51" i="4"/>
  <c r="AO50" i="4"/>
  <c r="L50" i="4"/>
  <c r="Q50" i="4" s="1"/>
  <c r="R50" i="4" s="1"/>
  <c r="Y50" i="4" s="1"/>
  <c r="AO49" i="4"/>
  <c r="L49" i="4"/>
  <c r="Q49" i="4" s="1"/>
  <c r="R49" i="4" s="1"/>
  <c r="Y49" i="4" s="1"/>
  <c r="AO135" i="4"/>
  <c r="L135" i="4"/>
  <c r="Q135" i="4" s="1"/>
  <c r="R135" i="4" s="1"/>
  <c r="Y135" i="4" s="1"/>
  <c r="AO48" i="4"/>
  <c r="L48" i="4"/>
  <c r="Q48" i="4" s="1"/>
  <c r="R48" i="4" s="1"/>
  <c r="Y48" i="4" s="1"/>
  <c r="AO47" i="4"/>
  <c r="L47" i="4"/>
  <c r="Q47" i="4" s="1"/>
  <c r="R47" i="4" s="1"/>
  <c r="Y47" i="4" s="1"/>
  <c r="AO46" i="4"/>
  <c r="L46" i="4"/>
  <c r="Q46" i="4" s="1"/>
  <c r="R46" i="4" s="1"/>
  <c r="Y46" i="4" s="1"/>
  <c r="AO45" i="4"/>
  <c r="L45" i="4"/>
  <c r="AO44" i="4"/>
  <c r="L44" i="4"/>
  <c r="AO43" i="4"/>
  <c r="L43" i="4"/>
  <c r="Q43" i="4" s="1"/>
  <c r="R43" i="4" s="1"/>
  <c r="Y43" i="4" s="1"/>
  <c r="AO42" i="4"/>
  <c r="L42" i="4"/>
  <c r="AO41" i="4"/>
  <c r="L41" i="4"/>
  <c r="Q41" i="4" s="1"/>
  <c r="R41" i="4" s="1"/>
  <c r="Y41" i="4" s="1"/>
  <c r="AO134" i="4"/>
  <c r="L134" i="4"/>
  <c r="Q134" i="4" s="1"/>
  <c r="R134" i="4" s="1"/>
  <c r="Y134" i="4" s="1"/>
  <c r="AO40" i="4"/>
  <c r="L40" i="4"/>
  <c r="Q40" i="4" s="1"/>
  <c r="R40" i="4" s="1"/>
  <c r="Y40" i="4" s="1"/>
  <c r="AO39" i="4"/>
  <c r="L39" i="4"/>
  <c r="Q39" i="4" s="1"/>
  <c r="R39" i="4" s="1"/>
  <c r="Y39" i="4" s="1"/>
  <c r="AO38" i="4"/>
  <c r="L38" i="4"/>
  <c r="Q38" i="4" s="1"/>
  <c r="R38" i="4" s="1"/>
  <c r="Y38" i="4" s="1"/>
  <c r="AO37" i="4"/>
  <c r="L37" i="4"/>
  <c r="Q37" i="4" s="1"/>
  <c r="R37" i="4" s="1"/>
  <c r="Y37" i="4" s="1"/>
  <c r="AO36" i="4"/>
  <c r="L36" i="4"/>
  <c r="Q36" i="4" s="1"/>
  <c r="R36" i="4" s="1"/>
  <c r="Y36" i="4" s="1"/>
  <c r="AO35" i="4"/>
  <c r="L35" i="4"/>
  <c r="Q35" i="4" s="1"/>
  <c r="R35" i="4" s="1"/>
  <c r="Y35" i="4" s="1"/>
  <c r="AO34" i="4"/>
  <c r="L34" i="4"/>
  <c r="AO33" i="4"/>
  <c r="L33" i="4"/>
  <c r="Q33" i="4" s="1"/>
  <c r="R33" i="4" s="1"/>
  <c r="Y33" i="4" s="1"/>
  <c r="AO32" i="4"/>
  <c r="L32" i="4"/>
  <c r="Q32" i="4" s="1"/>
  <c r="R32" i="4" s="1"/>
  <c r="Y32" i="4" s="1"/>
  <c r="AO31" i="4"/>
  <c r="L31" i="4"/>
  <c r="Q31" i="4" s="1"/>
  <c r="R31" i="4" s="1"/>
  <c r="Y31" i="4" s="1"/>
  <c r="AO30" i="4"/>
  <c r="L30" i="4"/>
  <c r="AO29" i="4"/>
  <c r="L29" i="4"/>
  <c r="Q29" i="4" s="1"/>
  <c r="R29" i="4" s="1"/>
  <c r="Y29" i="4" s="1"/>
  <c r="AO28" i="4"/>
  <c r="L28" i="4"/>
  <c r="Q28" i="4" s="1"/>
  <c r="R28" i="4" s="1"/>
  <c r="Y28" i="4" s="1"/>
  <c r="AO27" i="4"/>
  <c r="L27" i="4"/>
  <c r="Q27" i="4" s="1"/>
  <c r="R27" i="4" s="1"/>
  <c r="Y27" i="4" s="1"/>
  <c r="AO26" i="4"/>
  <c r="L26" i="4"/>
  <c r="Q26" i="4" s="1"/>
  <c r="R26" i="4" s="1"/>
  <c r="Y26" i="4" s="1"/>
  <c r="AO25" i="4"/>
  <c r="L25" i="4"/>
  <c r="Q25" i="4" s="1"/>
  <c r="R25" i="4" s="1"/>
  <c r="Y25" i="4" s="1"/>
  <c r="AO24" i="4"/>
  <c r="L24" i="4"/>
  <c r="Q24" i="4" s="1"/>
  <c r="R24" i="4" s="1"/>
  <c r="Y24" i="4" s="1"/>
  <c r="AO23" i="4"/>
  <c r="L23" i="4"/>
  <c r="AO22" i="4"/>
  <c r="L22" i="4"/>
  <c r="AO21" i="4"/>
  <c r="L21" i="4"/>
  <c r="Q21" i="4" s="1"/>
  <c r="R21" i="4" s="1"/>
  <c r="Y21" i="4" s="1"/>
  <c r="AO20" i="4"/>
  <c r="L20" i="4"/>
  <c r="AO19" i="4"/>
  <c r="L19" i="4"/>
  <c r="Q19" i="4" s="1"/>
  <c r="R19" i="4" s="1"/>
  <c r="Y19" i="4" s="1"/>
  <c r="AO133" i="4"/>
  <c r="L133" i="4"/>
  <c r="AO18" i="4"/>
  <c r="L18" i="4"/>
  <c r="Q18" i="4" s="1"/>
  <c r="R18" i="4" s="1"/>
  <c r="Y18" i="4" s="1"/>
  <c r="AO17" i="4"/>
  <c r="L17" i="4"/>
  <c r="Q17" i="4" s="1"/>
  <c r="R17" i="4" s="1"/>
  <c r="Y17" i="4" s="1"/>
  <c r="AO137" i="4"/>
  <c r="L137" i="4"/>
  <c r="AO16" i="4"/>
  <c r="L16" i="4"/>
  <c r="Q16" i="4" s="1"/>
  <c r="R16" i="4" s="1"/>
  <c r="Y16" i="4" s="1"/>
  <c r="AO15" i="4"/>
  <c r="L15" i="4"/>
  <c r="Q15" i="4" s="1"/>
  <c r="R15" i="4" s="1"/>
  <c r="Y15" i="4" s="1"/>
  <c r="AO14" i="4"/>
  <c r="L14" i="4"/>
  <c r="Q14" i="4" s="1"/>
  <c r="R14" i="4" s="1"/>
  <c r="Y14" i="4" s="1"/>
  <c r="AO13" i="4"/>
  <c r="L13" i="4"/>
  <c r="Q13" i="4" s="1"/>
  <c r="R13" i="4" s="1"/>
  <c r="Y13" i="4" s="1"/>
  <c r="AO12" i="4"/>
  <c r="L12" i="4"/>
  <c r="Q12" i="4" s="1"/>
  <c r="R12" i="4" s="1"/>
  <c r="Y12" i="4" s="1"/>
  <c r="AO11" i="4"/>
  <c r="L11" i="4"/>
  <c r="Q11" i="4" s="1"/>
  <c r="R11" i="4" s="1"/>
  <c r="Y11" i="4" s="1"/>
  <c r="AO10" i="4"/>
  <c r="L10" i="4"/>
  <c r="Q10" i="4" s="1"/>
  <c r="R10" i="4" s="1"/>
  <c r="Y10" i="4" s="1"/>
  <c r="AO9" i="4"/>
  <c r="L9" i="4"/>
  <c r="Q9" i="4" s="1"/>
  <c r="R9" i="4" s="1"/>
  <c r="Y9" i="4" s="1"/>
  <c r="AO132" i="4"/>
  <c r="L132" i="4"/>
  <c r="Q132" i="4" s="1"/>
  <c r="R132" i="4" s="1"/>
  <c r="Y132" i="4" s="1"/>
  <c r="AO131" i="4"/>
  <c r="L131" i="4"/>
  <c r="Q131" i="4" s="1"/>
  <c r="R131" i="4" s="1"/>
  <c r="Y131" i="4" s="1"/>
  <c r="AO8" i="4"/>
  <c r="L8" i="4"/>
  <c r="Q8" i="4" s="1"/>
  <c r="R8" i="4" s="1"/>
  <c r="Y8" i="4" s="1"/>
  <c r="AO7" i="4"/>
  <c r="L7" i="4"/>
  <c r="Q7" i="4" s="1"/>
  <c r="R7" i="4" s="1"/>
  <c r="Y7" i="4" s="1"/>
  <c r="AO6" i="4"/>
  <c r="L6" i="4"/>
  <c r="Q6" i="4" s="1"/>
  <c r="R6" i="4" s="1"/>
  <c r="Y6" i="4" s="1"/>
  <c r="AO5" i="4"/>
  <c r="L5" i="4"/>
  <c r="AO4" i="4"/>
  <c r="L4" i="4"/>
  <c r="Q4" i="4" s="1"/>
  <c r="R4" i="4" s="1"/>
  <c r="Y4" i="4" s="1"/>
  <c r="AO3" i="4"/>
  <c r="AG3" i="4"/>
  <c r="AG128" i="4" s="1"/>
  <c r="P3" i="4"/>
  <c r="AA3" i="4" s="1"/>
  <c r="AA128" i="4" s="1"/>
  <c r="N3" i="4"/>
  <c r="O3" i="4" s="1"/>
  <c r="O128" i="4" s="1"/>
  <c r="L3" i="4"/>
  <c r="L128" i="4" s="1"/>
  <c r="L52" i="3"/>
  <c r="L51" i="3"/>
  <c r="L50" i="3"/>
  <c r="L49" i="3"/>
  <c r="L48" i="3"/>
  <c r="L46" i="3"/>
  <c r="L95" i="3"/>
  <c r="L45" i="3"/>
  <c r="L44" i="3"/>
  <c r="L94" i="3"/>
  <c r="L43" i="3"/>
  <c r="L42" i="3"/>
  <c r="L41" i="3"/>
  <c r="L40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92" i="3"/>
  <c r="L25" i="3"/>
  <c r="L23" i="3"/>
  <c r="L22" i="3"/>
  <c r="L21" i="3"/>
  <c r="L19" i="3"/>
  <c r="L18" i="3"/>
  <c r="L91" i="3"/>
  <c r="L17" i="3"/>
  <c r="L16" i="3"/>
  <c r="L15" i="3"/>
  <c r="L14" i="3"/>
  <c r="L12" i="3"/>
  <c r="L11" i="3"/>
  <c r="L10" i="3"/>
  <c r="L9" i="3"/>
  <c r="L8" i="3"/>
  <c r="L6" i="3"/>
  <c r="L90" i="3"/>
  <c r="L5" i="3"/>
  <c r="L4" i="3"/>
  <c r="L89" i="3"/>
  <c r="AO3" i="3"/>
  <c r="AO85" i="3" s="1"/>
  <c r="P3" i="3"/>
  <c r="N3" i="3"/>
  <c r="O3" i="3" s="1"/>
  <c r="L3" i="3"/>
  <c r="L85" i="3" l="1"/>
  <c r="AO128" i="4"/>
  <c r="Q5" i="4"/>
  <c r="R5" i="4" s="1"/>
  <c r="Y5" i="4" s="1"/>
  <c r="Q23" i="4"/>
  <c r="Q51" i="4"/>
  <c r="Q42" i="4"/>
  <c r="Q60" i="4"/>
  <c r="Q45" i="4"/>
  <c r="Q57" i="4"/>
  <c r="Q20" i="4"/>
  <c r="Q22" i="4"/>
  <c r="Q34" i="4"/>
  <c r="Q44" i="4"/>
  <c r="Q133" i="4"/>
  <c r="Q30" i="4"/>
  <c r="Q137" i="4"/>
  <c r="Q33" i="3"/>
  <c r="W33" i="3"/>
  <c r="Q34" i="3"/>
  <c r="W34" i="3"/>
  <c r="Q11" i="3"/>
  <c r="R11" i="3" s="1"/>
  <c r="Y11" i="3" s="1"/>
  <c r="W11" i="3"/>
  <c r="Q31" i="3"/>
  <c r="W31" i="3"/>
  <c r="Q43" i="3"/>
  <c r="W43" i="3"/>
  <c r="Q52" i="3"/>
  <c r="R52" i="3" s="1"/>
  <c r="Y52" i="3" s="1"/>
  <c r="W52" i="3"/>
  <c r="Q12" i="3"/>
  <c r="R12" i="3" s="1"/>
  <c r="Y12" i="3" s="1"/>
  <c r="W12" i="3"/>
  <c r="Q22" i="3"/>
  <c r="R22" i="3" s="1"/>
  <c r="Y22" i="3" s="1"/>
  <c r="W22" i="3"/>
  <c r="Q32" i="3"/>
  <c r="W32" i="3"/>
  <c r="Q94" i="3"/>
  <c r="W94" i="3"/>
  <c r="Q14" i="3"/>
  <c r="W14" i="3"/>
  <c r="Q4" i="3"/>
  <c r="W4" i="3"/>
  <c r="Q25" i="3"/>
  <c r="W25" i="3"/>
  <c r="Q35" i="3"/>
  <c r="W35" i="3"/>
  <c r="Q45" i="3"/>
  <c r="R45" i="3" s="1"/>
  <c r="Y45" i="3" s="1"/>
  <c r="W45" i="3"/>
  <c r="Q23" i="3"/>
  <c r="W23" i="3"/>
  <c r="Q89" i="3"/>
  <c r="W89" i="3"/>
  <c r="Q5" i="3"/>
  <c r="W5" i="3"/>
  <c r="Q15" i="3"/>
  <c r="W15" i="3"/>
  <c r="Q92" i="3"/>
  <c r="W92" i="3"/>
  <c r="Q36" i="3"/>
  <c r="W36" i="3"/>
  <c r="Q95" i="3"/>
  <c r="W95" i="3"/>
  <c r="Q44" i="3"/>
  <c r="W44" i="3"/>
  <c r="Q90" i="3"/>
  <c r="W90" i="3"/>
  <c r="Q16" i="3"/>
  <c r="W16" i="3"/>
  <c r="Q26" i="3"/>
  <c r="W26" i="3"/>
  <c r="Q37" i="3"/>
  <c r="W37" i="3"/>
  <c r="Q6" i="3"/>
  <c r="W6" i="3"/>
  <c r="Q17" i="3"/>
  <c r="W17" i="3"/>
  <c r="Q27" i="3"/>
  <c r="R27" i="3" s="1"/>
  <c r="Y27" i="3" s="1"/>
  <c r="W27" i="3"/>
  <c r="Q38" i="3"/>
  <c r="W38" i="3"/>
  <c r="Q46" i="3"/>
  <c r="W46" i="3"/>
  <c r="Q91" i="3"/>
  <c r="W91" i="3"/>
  <c r="Q40" i="3"/>
  <c r="W40" i="3"/>
  <c r="Q48" i="3"/>
  <c r="W48" i="3"/>
  <c r="Q8" i="3"/>
  <c r="W8" i="3"/>
  <c r="Q18" i="3"/>
  <c r="W18" i="3"/>
  <c r="Q28" i="3"/>
  <c r="W28" i="3"/>
  <c r="Q49" i="3"/>
  <c r="W49" i="3"/>
  <c r="Q9" i="3"/>
  <c r="W9" i="3"/>
  <c r="Q19" i="3"/>
  <c r="W19" i="3"/>
  <c r="Q29" i="3"/>
  <c r="W29" i="3"/>
  <c r="Q41" i="3"/>
  <c r="W41" i="3"/>
  <c r="Q50" i="3"/>
  <c r="W50" i="3"/>
  <c r="Q10" i="3"/>
  <c r="W10" i="3"/>
  <c r="Q21" i="3"/>
  <c r="W21" i="3"/>
  <c r="Q30" i="3"/>
  <c r="W30" i="3"/>
  <c r="Q42" i="3"/>
  <c r="W42" i="3"/>
  <c r="Q51" i="3"/>
  <c r="W51" i="3"/>
  <c r="AG85" i="3"/>
  <c r="O85" i="3"/>
  <c r="W39" i="4"/>
  <c r="W40" i="4"/>
  <c r="W134" i="4"/>
  <c r="W18" i="4"/>
  <c r="W42" i="4"/>
  <c r="W47" i="4"/>
  <c r="W64" i="4"/>
  <c r="W4" i="4"/>
  <c r="W43" i="4"/>
  <c r="W65" i="4"/>
  <c r="W14" i="4"/>
  <c r="W6" i="4"/>
  <c r="S3" i="4"/>
  <c r="W8" i="4"/>
  <c r="W12" i="4"/>
  <c r="W133" i="4"/>
  <c r="W19" i="4"/>
  <c r="W27" i="4"/>
  <c r="W54" i="4"/>
  <c r="W63" i="4"/>
  <c r="W17" i="4"/>
  <c r="W25" i="4"/>
  <c r="W26" i="4"/>
  <c r="W53" i="4"/>
  <c r="AC6" i="4"/>
  <c r="AC19" i="4"/>
  <c r="AC54" i="4"/>
  <c r="AC18" i="4"/>
  <c r="AD18" i="4" s="1"/>
  <c r="AC14" i="4"/>
  <c r="AD14" i="4" s="1"/>
  <c r="AC4" i="4"/>
  <c r="W137" i="4"/>
  <c r="W22" i="4"/>
  <c r="AC27" i="4"/>
  <c r="AC43" i="4"/>
  <c r="AD43" i="4" s="1"/>
  <c r="AC47" i="4"/>
  <c r="AD47" i="4" s="1"/>
  <c r="Q3" i="4"/>
  <c r="AA3" i="3"/>
  <c r="AA85" i="3" s="1"/>
  <c r="S3" i="3"/>
  <c r="U3" i="3" s="1"/>
  <c r="U85" i="3" s="1"/>
  <c r="Q3" i="3"/>
  <c r="W16" i="4"/>
  <c r="W10" i="4"/>
  <c r="W13" i="4"/>
  <c r="W15" i="4"/>
  <c r="W29" i="4"/>
  <c r="W36" i="4"/>
  <c r="W37" i="4"/>
  <c r="W49" i="4"/>
  <c r="W50" i="4"/>
  <c r="W58" i="4"/>
  <c r="W28" i="4"/>
  <c r="W30" i="4"/>
  <c r="W33" i="4"/>
  <c r="W41" i="4"/>
  <c r="W59" i="4"/>
  <c r="W24" i="4"/>
  <c r="AC10" i="4"/>
  <c r="AD10" i="4" s="1"/>
  <c r="AC13" i="4"/>
  <c r="W20" i="4"/>
  <c r="AC26" i="4"/>
  <c r="AD26" i="4" s="1"/>
  <c r="W5" i="4"/>
  <c r="AC7" i="4"/>
  <c r="AD7" i="4" s="1"/>
  <c r="W131" i="4"/>
  <c r="AC132" i="4"/>
  <c r="W9" i="4"/>
  <c r="AC11" i="4"/>
  <c r="AD11" i="4" s="1"/>
  <c r="AC24" i="4"/>
  <c r="AC8" i="4"/>
  <c r="AD8" i="4" s="1"/>
  <c r="AC12" i="4"/>
  <c r="AD12" i="4" s="1"/>
  <c r="AC15" i="4"/>
  <c r="AD15" i="4" s="1"/>
  <c r="W21" i="4"/>
  <c r="W23" i="4"/>
  <c r="AC28" i="4"/>
  <c r="AD28" i="4" s="1"/>
  <c r="W34" i="4"/>
  <c r="W35" i="4"/>
  <c r="AC48" i="4"/>
  <c r="AD48" i="4" s="1"/>
  <c r="AC134" i="4"/>
  <c r="AD134" i="4" s="1"/>
  <c r="AC5" i="4"/>
  <c r="W7" i="4"/>
  <c r="AC131" i="4"/>
  <c r="AD131" i="4" s="1"/>
  <c r="AC9" i="4"/>
  <c r="AD9" i="4" s="1"/>
  <c r="W11" i="4"/>
  <c r="AC17" i="4"/>
  <c r="AC64" i="4"/>
  <c r="AD64" i="4" s="1"/>
  <c r="AC16" i="4"/>
  <c r="AC21" i="4"/>
  <c r="AC25" i="4"/>
  <c r="AD25" i="4" s="1"/>
  <c r="AC29" i="4"/>
  <c r="AD29" i="4" s="1"/>
  <c r="W31" i="4"/>
  <c r="W32" i="4"/>
  <c r="W135" i="4"/>
  <c r="W38" i="4"/>
  <c r="W46" i="4"/>
  <c r="AC55" i="4"/>
  <c r="AD55" i="4" s="1"/>
  <c r="AC31" i="4"/>
  <c r="AC35" i="4"/>
  <c r="AC38" i="4"/>
  <c r="W45" i="4"/>
  <c r="W52" i="4"/>
  <c r="W56" i="4"/>
  <c r="AC32" i="4"/>
  <c r="AC36" i="4"/>
  <c r="AD36" i="4" s="1"/>
  <c r="AC39" i="4"/>
  <c r="AD39" i="4" s="1"/>
  <c r="W61" i="4"/>
  <c r="AC33" i="4"/>
  <c r="AC37" i="4"/>
  <c r="AD37" i="4" s="1"/>
  <c r="AC40" i="4"/>
  <c r="AD40" i="4" s="1"/>
  <c r="AC41" i="4"/>
  <c r="W57" i="4"/>
  <c r="AC135" i="4"/>
  <c r="AC52" i="4"/>
  <c r="AC56" i="4"/>
  <c r="AC61" i="4"/>
  <c r="W44" i="4"/>
  <c r="AC46" i="4"/>
  <c r="W48" i="4"/>
  <c r="AC49" i="4"/>
  <c r="AD49" i="4" s="1"/>
  <c r="W51" i="4"/>
  <c r="AC53" i="4"/>
  <c r="AD53" i="4" s="1"/>
  <c r="W55" i="4"/>
  <c r="AC58" i="4"/>
  <c r="W60" i="4"/>
  <c r="AC65" i="4"/>
  <c r="AD65" i="4" s="1"/>
  <c r="AC50" i="4"/>
  <c r="AD50" i="4" s="1"/>
  <c r="AC59" i="4"/>
  <c r="AC63" i="4"/>
  <c r="AE62" i="4"/>
  <c r="U3" i="4" l="1"/>
  <c r="U128" i="4" s="1"/>
  <c r="S128" i="4"/>
  <c r="AK62" i="4"/>
  <c r="AI62" i="4"/>
  <c r="AJ62" i="4" s="1"/>
  <c r="AD5" i="4"/>
  <c r="AE5" i="4" s="1"/>
  <c r="AC3" i="4"/>
  <c r="R3" i="4"/>
  <c r="AC57" i="4"/>
  <c r="R57" i="4"/>
  <c r="Y57" i="4" s="1"/>
  <c r="AC45" i="4"/>
  <c r="R45" i="4"/>
  <c r="Y45" i="4" s="1"/>
  <c r="AC60" i="4"/>
  <c r="R60" i="4"/>
  <c r="Y60" i="4" s="1"/>
  <c r="AD4" i="4"/>
  <c r="AE4" i="4" s="1"/>
  <c r="AC20" i="4"/>
  <c r="R20" i="4"/>
  <c r="Y20" i="4" s="1"/>
  <c r="AC42" i="4"/>
  <c r="R42" i="4"/>
  <c r="Y42" i="4" s="1"/>
  <c r="AC51" i="4"/>
  <c r="R51" i="4"/>
  <c r="Y51" i="4" s="1"/>
  <c r="AC44" i="4"/>
  <c r="R44" i="4"/>
  <c r="Y44" i="4" s="1"/>
  <c r="AC137" i="4"/>
  <c r="R137" i="4"/>
  <c r="Y137" i="4" s="1"/>
  <c r="AC23" i="4"/>
  <c r="R23" i="4"/>
  <c r="Y23" i="4" s="1"/>
  <c r="AC34" i="4"/>
  <c r="R34" i="4"/>
  <c r="Y34" i="4" s="1"/>
  <c r="AC30" i="4"/>
  <c r="R30" i="4"/>
  <c r="Y30" i="4" s="1"/>
  <c r="AC133" i="4"/>
  <c r="R133" i="4"/>
  <c r="Y133" i="4" s="1"/>
  <c r="AC22" i="4"/>
  <c r="R22" i="4"/>
  <c r="Y22" i="4" s="1"/>
  <c r="AC11" i="3"/>
  <c r="AD11" i="3" s="1"/>
  <c r="AE11" i="3" s="1"/>
  <c r="AC27" i="3"/>
  <c r="AD27" i="3" s="1"/>
  <c r="AE27" i="3" s="1"/>
  <c r="AC52" i="3"/>
  <c r="AD52" i="3" s="1"/>
  <c r="AE52" i="3" s="1"/>
  <c r="AC45" i="3"/>
  <c r="AD45" i="3" s="1"/>
  <c r="AE45" i="3" s="1"/>
  <c r="AC12" i="3"/>
  <c r="AD12" i="3" s="1"/>
  <c r="AE12" i="3" s="1"/>
  <c r="AC22" i="3"/>
  <c r="AD22" i="3" s="1"/>
  <c r="AE22" i="3" s="1"/>
  <c r="AC28" i="3"/>
  <c r="R28" i="3"/>
  <c r="Y28" i="3" s="1"/>
  <c r="AC25" i="3"/>
  <c r="R25" i="3"/>
  <c r="Y25" i="3" s="1"/>
  <c r="AC30" i="3"/>
  <c r="R30" i="3"/>
  <c r="Y30" i="3" s="1"/>
  <c r="AC19" i="3"/>
  <c r="R19" i="3"/>
  <c r="Y19" i="3" s="1"/>
  <c r="AC8" i="3"/>
  <c r="R8" i="3"/>
  <c r="Y8" i="3" s="1"/>
  <c r="AC46" i="3"/>
  <c r="R46" i="3"/>
  <c r="Y46" i="3" s="1"/>
  <c r="AC89" i="3"/>
  <c r="R89" i="3"/>
  <c r="Y89" i="3" s="1"/>
  <c r="AC4" i="3"/>
  <c r="R4" i="3"/>
  <c r="Y4" i="3" s="1"/>
  <c r="AC6" i="3"/>
  <c r="R6" i="3"/>
  <c r="Y6" i="3" s="1"/>
  <c r="AC31" i="3"/>
  <c r="R31" i="3"/>
  <c r="Y31" i="3" s="1"/>
  <c r="AC21" i="3"/>
  <c r="R21" i="3"/>
  <c r="Y21" i="3" s="1"/>
  <c r="AC9" i="3"/>
  <c r="R9" i="3"/>
  <c r="Y9" i="3" s="1"/>
  <c r="AC48" i="3"/>
  <c r="R48" i="3"/>
  <c r="Y48" i="3" s="1"/>
  <c r="AC38" i="3"/>
  <c r="R38" i="3"/>
  <c r="Y38" i="3" s="1"/>
  <c r="AC37" i="3"/>
  <c r="R37" i="3"/>
  <c r="Y37" i="3" s="1"/>
  <c r="AC95" i="3"/>
  <c r="R95" i="3"/>
  <c r="Y95" i="3" s="1"/>
  <c r="AC23" i="3"/>
  <c r="R23" i="3"/>
  <c r="Y23" i="3" s="1"/>
  <c r="AC14" i="3"/>
  <c r="R14" i="3"/>
  <c r="Y14" i="3" s="1"/>
  <c r="AC34" i="3"/>
  <c r="R34" i="3"/>
  <c r="Y34" i="3" s="1"/>
  <c r="AC91" i="3"/>
  <c r="R91" i="3"/>
  <c r="Y91" i="3" s="1"/>
  <c r="AC15" i="3"/>
  <c r="R15" i="3"/>
  <c r="Y15" i="3" s="1"/>
  <c r="AC18" i="3"/>
  <c r="R18" i="3"/>
  <c r="Y18" i="3" s="1"/>
  <c r="AC32" i="3"/>
  <c r="R32" i="3"/>
  <c r="Y32" i="3" s="1"/>
  <c r="AC3" i="3"/>
  <c r="R3" i="3"/>
  <c r="Y3" i="3" s="1"/>
  <c r="AC51" i="3"/>
  <c r="R51" i="3"/>
  <c r="Y51" i="3" s="1"/>
  <c r="AC29" i="3"/>
  <c r="R29" i="3"/>
  <c r="Y29" i="3" s="1"/>
  <c r="AC44" i="3"/>
  <c r="R44" i="3"/>
  <c r="Y44" i="3" s="1"/>
  <c r="AC10" i="3"/>
  <c r="R10" i="3"/>
  <c r="Y10" i="3" s="1"/>
  <c r="AC49" i="3"/>
  <c r="R49" i="3"/>
  <c r="Y49" i="3" s="1"/>
  <c r="AC40" i="3"/>
  <c r="R40" i="3"/>
  <c r="Y40" i="3" s="1"/>
  <c r="AC26" i="3"/>
  <c r="R26" i="3"/>
  <c r="Y26" i="3" s="1"/>
  <c r="AC36" i="3"/>
  <c r="R36" i="3"/>
  <c r="Y36" i="3" s="1"/>
  <c r="AC33" i="3"/>
  <c r="R33" i="3"/>
  <c r="Y33" i="3" s="1"/>
  <c r="AC41" i="3"/>
  <c r="R41" i="3"/>
  <c r="Y41" i="3" s="1"/>
  <c r="AC94" i="3"/>
  <c r="R94" i="3"/>
  <c r="Y94" i="3" s="1"/>
  <c r="AC5" i="3"/>
  <c r="R5" i="3"/>
  <c r="Y5" i="3" s="1"/>
  <c r="AC90" i="3"/>
  <c r="R90" i="3"/>
  <c r="Y90" i="3" s="1"/>
  <c r="AC42" i="3"/>
  <c r="R42" i="3"/>
  <c r="Y42" i="3" s="1"/>
  <c r="AC50" i="3"/>
  <c r="R50" i="3"/>
  <c r="Y50" i="3" s="1"/>
  <c r="AC17" i="3"/>
  <c r="R17" i="3"/>
  <c r="Y17" i="3" s="1"/>
  <c r="AC16" i="3"/>
  <c r="R16" i="3"/>
  <c r="Y16" i="3" s="1"/>
  <c r="AC92" i="3"/>
  <c r="R92" i="3"/>
  <c r="Y92" i="3" s="1"/>
  <c r="AC35" i="3"/>
  <c r="R35" i="3"/>
  <c r="Y35" i="3" s="1"/>
  <c r="AC43" i="3"/>
  <c r="R43" i="3"/>
  <c r="Y43" i="3" s="1"/>
  <c r="AQ62" i="4"/>
  <c r="AD58" i="4"/>
  <c r="AE58" i="4" s="1"/>
  <c r="W3" i="3"/>
  <c r="W85" i="3" s="1"/>
  <c r="W132" i="4"/>
  <c r="AD132" i="4"/>
  <c r="AD17" i="4"/>
  <c r="AE17" i="4" s="1"/>
  <c r="AE40" i="4"/>
  <c r="AE14" i="4"/>
  <c r="AD19" i="4"/>
  <c r="AE19" i="4" s="1"/>
  <c r="AD33" i="4"/>
  <c r="AE33" i="4" s="1"/>
  <c r="AD54" i="4"/>
  <c r="AE54" i="4" s="1"/>
  <c r="AD59" i="4"/>
  <c r="AE59" i="4" s="1"/>
  <c r="AD52" i="4"/>
  <c r="AE52" i="4" s="1"/>
  <c r="AE18" i="4"/>
  <c r="AD13" i="4"/>
  <c r="AE13" i="4" s="1"/>
  <c r="AE43" i="4"/>
  <c r="AE65" i="4"/>
  <c r="AD56" i="4"/>
  <c r="AE56" i="4" s="1"/>
  <c r="AD27" i="4"/>
  <c r="AE27" i="4" s="1"/>
  <c r="AD63" i="4"/>
  <c r="AE63" i="4" s="1"/>
  <c r="AD46" i="4"/>
  <c r="AE46" i="4" s="1"/>
  <c r="AD32" i="4"/>
  <c r="AE32" i="4" s="1"/>
  <c r="AD6" i="4"/>
  <c r="AE6" i="4" s="1"/>
  <c r="AE47" i="4"/>
  <c r="AE12" i="4"/>
  <c r="AE8" i="4"/>
  <c r="AD35" i="4"/>
  <c r="AE35" i="4" s="1"/>
  <c r="AE26" i="4"/>
  <c r="AD135" i="4"/>
  <c r="AE135" i="4" s="1"/>
  <c r="AD24" i="4"/>
  <c r="AE24" i="4" s="1"/>
  <c r="AD21" i="4"/>
  <c r="AE21" i="4" s="1"/>
  <c r="AE53" i="4"/>
  <c r="AE36" i="4"/>
  <c r="AQ47" i="3"/>
  <c r="AE55" i="4"/>
  <c r="AE48" i="4"/>
  <c r="AD61" i="4"/>
  <c r="AE61" i="4" s="1"/>
  <c r="AE28" i="4"/>
  <c r="AD41" i="4"/>
  <c r="AE41" i="4" s="1"/>
  <c r="AE64" i="4"/>
  <c r="AE11" i="4"/>
  <c r="AE50" i="4"/>
  <c r="AE49" i="4"/>
  <c r="AE37" i="4"/>
  <c r="AD38" i="4"/>
  <c r="AE38" i="4" s="1"/>
  <c r="AD31" i="4"/>
  <c r="AE31" i="4" s="1"/>
  <c r="AD16" i="4"/>
  <c r="AE16" i="4" s="1"/>
  <c r="AE131" i="4"/>
  <c r="AE9" i="4"/>
  <c r="AE7" i="4"/>
  <c r="AE29" i="4"/>
  <c r="AE15" i="4"/>
  <c r="AE10" i="4"/>
  <c r="AE39" i="4"/>
  <c r="AE25" i="4"/>
  <c r="AE134" i="4"/>
  <c r="Y85" i="3" l="1"/>
  <c r="AC85" i="3"/>
  <c r="AK11" i="3"/>
  <c r="AI11" i="3"/>
  <c r="AJ11" i="3" s="1"/>
  <c r="AK12" i="3"/>
  <c r="AI12" i="3"/>
  <c r="AJ12" i="3" s="1"/>
  <c r="AK27" i="3"/>
  <c r="AI27" i="3"/>
  <c r="AJ27" i="3" s="1"/>
  <c r="AK22" i="3"/>
  <c r="AI22" i="3"/>
  <c r="AJ22" i="3" s="1"/>
  <c r="AK45" i="3"/>
  <c r="AI45" i="3"/>
  <c r="AJ45" i="3" s="1"/>
  <c r="AK52" i="3"/>
  <c r="AI52" i="3"/>
  <c r="AJ52" i="3" s="1"/>
  <c r="W3" i="4"/>
  <c r="W128" i="4" s="1"/>
  <c r="Y3" i="4"/>
  <c r="Y128" i="4" s="1"/>
  <c r="R128" i="4"/>
  <c r="AC128" i="4"/>
  <c r="AK6" i="4"/>
  <c r="AI6" i="4"/>
  <c r="AJ6" i="4" s="1"/>
  <c r="AI32" i="4"/>
  <c r="AJ32" i="4" s="1"/>
  <c r="AK32" i="4"/>
  <c r="AK58" i="4"/>
  <c r="AI58" i="4"/>
  <c r="AJ58" i="4" s="1"/>
  <c r="AK38" i="4"/>
  <c r="AI38" i="4"/>
  <c r="AJ38" i="4" s="1"/>
  <c r="AI63" i="4"/>
  <c r="AJ63" i="4" s="1"/>
  <c r="AK63" i="4"/>
  <c r="AK55" i="4"/>
  <c r="AI55" i="4"/>
  <c r="AJ55" i="4" s="1"/>
  <c r="AI134" i="4"/>
  <c r="AJ134" i="4" s="1"/>
  <c r="AK134" i="4"/>
  <c r="AK37" i="4"/>
  <c r="AI37" i="4"/>
  <c r="AJ37" i="4" s="1"/>
  <c r="AK27" i="4"/>
  <c r="AI27" i="4"/>
  <c r="AJ27" i="4" s="1"/>
  <c r="AK10" i="4"/>
  <c r="AI10" i="4"/>
  <c r="AJ10" i="4" s="1"/>
  <c r="AK16" i="4"/>
  <c r="AI16" i="4"/>
  <c r="AJ16" i="4" s="1"/>
  <c r="AI46" i="4"/>
  <c r="AJ46" i="4" s="1"/>
  <c r="AK46" i="4"/>
  <c r="AK25" i="4"/>
  <c r="AI25" i="4"/>
  <c r="AJ25" i="4" s="1"/>
  <c r="AK56" i="4"/>
  <c r="AI56" i="4"/>
  <c r="AJ56" i="4" s="1"/>
  <c r="AK15" i="4"/>
  <c r="AI15" i="4"/>
  <c r="AJ15" i="4" s="1"/>
  <c r="AK31" i="4"/>
  <c r="AI31" i="4"/>
  <c r="AJ31" i="4" s="1"/>
  <c r="AK53" i="4"/>
  <c r="AI53" i="4"/>
  <c r="AJ53" i="4" s="1"/>
  <c r="AK49" i="4"/>
  <c r="AI49" i="4"/>
  <c r="AJ49" i="4" s="1"/>
  <c r="AK50" i="4"/>
  <c r="AI50" i="4"/>
  <c r="AJ50" i="4" s="1"/>
  <c r="AK17" i="4"/>
  <c r="AI17" i="4"/>
  <c r="AJ17" i="4" s="1"/>
  <c r="AK41" i="4"/>
  <c r="AI41" i="4"/>
  <c r="AJ41" i="4" s="1"/>
  <c r="AK33" i="4"/>
  <c r="AI33" i="4"/>
  <c r="AJ33" i="4" s="1"/>
  <c r="AK14" i="4"/>
  <c r="AI14" i="4"/>
  <c r="AJ14" i="4" s="1"/>
  <c r="AK135" i="4"/>
  <c r="AI135" i="4"/>
  <c r="AJ135" i="4" s="1"/>
  <c r="AK64" i="4"/>
  <c r="AI64" i="4"/>
  <c r="AJ64" i="4" s="1"/>
  <c r="AI13" i="4"/>
  <c r="AJ13" i="4" s="1"/>
  <c r="AK13" i="4"/>
  <c r="AK28" i="4"/>
  <c r="AI28" i="4"/>
  <c r="AJ28" i="4" s="1"/>
  <c r="AK8" i="4"/>
  <c r="AI8" i="4"/>
  <c r="AJ8" i="4" s="1"/>
  <c r="AI18" i="4"/>
  <c r="AJ18" i="4" s="1"/>
  <c r="AK18" i="4"/>
  <c r="AK5" i="4"/>
  <c r="AI5" i="4"/>
  <c r="AJ5" i="4" s="1"/>
  <c r="AI54" i="4"/>
  <c r="AJ54" i="4" s="1"/>
  <c r="AK54" i="4"/>
  <c r="AK36" i="4"/>
  <c r="AI36" i="4"/>
  <c r="AJ36" i="4" s="1"/>
  <c r="AK21" i="4"/>
  <c r="AI21" i="4"/>
  <c r="AJ21" i="4" s="1"/>
  <c r="AK24" i="4"/>
  <c r="AI24" i="4"/>
  <c r="AJ24" i="4" s="1"/>
  <c r="AK11" i="4"/>
  <c r="AI11" i="4"/>
  <c r="AJ11" i="4" s="1"/>
  <c r="AI43" i="4"/>
  <c r="AJ43" i="4" s="1"/>
  <c r="AK43" i="4"/>
  <c r="AK29" i="4"/>
  <c r="AI29" i="4"/>
  <c r="AJ29" i="4" s="1"/>
  <c r="AK61" i="4"/>
  <c r="AI61" i="4"/>
  <c r="AJ61" i="4" s="1"/>
  <c r="AK52" i="4"/>
  <c r="AI52" i="4"/>
  <c r="AJ52" i="4" s="1"/>
  <c r="AK4" i="4"/>
  <c r="AI4" i="4"/>
  <c r="AJ4" i="4" s="1"/>
  <c r="AK19" i="4"/>
  <c r="AI19" i="4"/>
  <c r="AJ19" i="4" s="1"/>
  <c r="AK40" i="4"/>
  <c r="AI40" i="4"/>
  <c r="AJ40" i="4" s="1"/>
  <c r="AK39" i="4"/>
  <c r="AI39" i="4"/>
  <c r="AJ39" i="4" s="1"/>
  <c r="AK65" i="4"/>
  <c r="AI65" i="4"/>
  <c r="AJ65" i="4" s="1"/>
  <c r="AK26" i="4"/>
  <c r="AI26" i="4"/>
  <c r="AJ26" i="4" s="1"/>
  <c r="AI35" i="4"/>
  <c r="AJ35" i="4" s="1"/>
  <c r="AK35" i="4"/>
  <c r="AK7" i="4"/>
  <c r="AI7" i="4"/>
  <c r="AJ7" i="4" s="1"/>
  <c r="AK9" i="4"/>
  <c r="AI9" i="4"/>
  <c r="AJ9" i="4" s="1"/>
  <c r="AK12" i="4"/>
  <c r="AI12" i="4"/>
  <c r="AJ12" i="4" s="1"/>
  <c r="AI131" i="4"/>
  <c r="AJ131" i="4" s="1"/>
  <c r="AK131" i="4"/>
  <c r="AK48" i="4"/>
  <c r="AI48" i="4"/>
  <c r="AJ48" i="4" s="1"/>
  <c r="AK47" i="4"/>
  <c r="AI47" i="4"/>
  <c r="AJ47" i="4" s="1"/>
  <c r="AK59" i="4"/>
  <c r="AI59" i="4"/>
  <c r="AJ59" i="4" s="1"/>
  <c r="AQ52" i="3"/>
  <c r="AQ27" i="3"/>
  <c r="AD3" i="4"/>
  <c r="AD30" i="4"/>
  <c r="AE30" i="4" s="1"/>
  <c r="AD42" i="4"/>
  <c r="AE42" i="4" s="1"/>
  <c r="AD133" i="4"/>
  <c r="AE133" i="4" s="1"/>
  <c r="AD51" i="4"/>
  <c r="AE51" i="4" s="1"/>
  <c r="AD23" i="4"/>
  <c r="AE23" i="4" s="1"/>
  <c r="AD22" i="4"/>
  <c r="AE22" i="4" s="1"/>
  <c r="AD44" i="4"/>
  <c r="AE44" i="4" s="1"/>
  <c r="AD45" i="4"/>
  <c r="AE45" i="4" s="1"/>
  <c r="AD60" i="4"/>
  <c r="AE60" i="4" s="1"/>
  <c r="AD20" i="4"/>
  <c r="AE20" i="4" s="1"/>
  <c r="AD34" i="4"/>
  <c r="AE34" i="4" s="1"/>
  <c r="AD137" i="4"/>
  <c r="AE137" i="4" s="1"/>
  <c r="AD57" i="4"/>
  <c r="AE57" i="4" s="1"/>
  <c r="AQ11" i="3"/>
  <c r="AQ12" i="3"/>
  <c r="AD30" i="3"/>
  <c r="AE30" i="3" s="1"/>
  <c r="AD31" i="3"/>
  <c r="AE31" i="3" s="1"/>
  <c r="AD8" i="3"/>
  <c r="AE8" i="3" s="1"/>
  <c r="AD4" i="3"/>
  <c r="AE4" i="3" s="1"/>
  <c r="AD46" i="3"/>
  <c r="AE46" i="3" s="1"/>
  <c r="AD92" i="3"/>
  <c r="AE92" i="3" s="1"/>
  <c r="AD42" i="3"/>
  <c r="AE42" i="3" s="1"/>
  <c r="AD33" i="3"/>
  <c r="AE33" i="3" s="1"/>
  <c r="AD44" i="3"/>
  <c r="AE44" i="3" s="1"/>
  <c r="AD15" i="3"/>
  <c r="AE15" i="3" s="1"/>
  <c r="AD37" i="3"/>
  <c r="AE37" i="3" s="1"/>
  <c r="AD6" i="3"/>
  <c r="AE6" i="3" s="1"/>
  <c r="AD19" i="3"/>
  <c r="AE19" i="3" s="1"/>
  <c r="AD16" i="3"/>
  <c r="AE16" i="3" s="1"/>
  <c r="AD90" i="3"/>
  <c r="AE90" i="3" s="1"/>
  <c r="AD36" i="3"/>
  <c r="AE36" i="3" s="1"/>
  <c r="AD29" i="3"/>
  <c r="AE29" i="3" s="1"/>
  <c r="AD91" i="3"/>
  <c r="AE91" i="3" s="1"/>
  <c r="AD38" i="3"/>
  <c r="AE38" i="3" s="1"/>
  <c r="AD5" i="3"/>
  <c r="AE5" i="3" s="1"/>
  <c r="AD34" i="3"/>
  <c r="AE34" i="3" s="1"/>
  <c r="AD40" i="3"/>
  <c r="AE40" i="3" s="1"/>
  <c r="AD9" i="3"/>
  <c r="AE9" i="3" s="1"/>
  <c r="AD94" i="3"/>
  <c r="AE94" i="3" s="1"/>
  <c r="AD49" i="3"/>
  <c r="AE49" i="3" s="1"/>
  <c r="AD32" i="3"/>
  <c r="AE32" i="3" s="1"/>
  <c r="AD23" i="3"/>
  <c r="AE23" i="3" s="1"/>
  <c r="AD21" i="3"/>
  <c r="AE21" i="3" s="1"/>
  <c r="AD25" i="3"/>
  <c r="AE25" i="3" s="1"/>
  <c r="AD17" i="3"/>
  <c r="AE17" i="3" s="1"/>
  <c r="AD51" i="3"/>
  <c r="AE51" i="3" s="1"/>
  <c r="AD48" i="3"/>
  <c r="AE48" i="3" s="1"/>
  <c r="AD89" i="3"/>
  <c r="AE89" i="3" s="1"/>
  <c r="AD14" i="3"/>
  <c r="AE14" i="3" s="1"/>
  <c r="AD26" i="3"/>
  <c r="AE26" i="3" s="1"/>
  <c r="AD43" i="3"/>
  <c r="AE43" i="3" s="1"/>
  <c r="AD3" i="3"/>
  <c r="AE3" i="3" s="1"/>
  <c r="AD35" i="3"/>
  <c r="AE35" i="3" s="1"/>
  <c r="AD50" i="3"/>
  <c r="AE50" i="3" s="1"/>
  <c r="AD41" i="3"/>
  <c r="AE41" i="3" s="1"/>
  <c r="AD10" i="3"/>
  <c r="AE10" i="3" s="1"/>
  <c r="AD18" i="3"/>
  <c r="AE18" i="3" s="1"/>
  <c r="AD95" i="3"/>
  <c r="AE95" i="3" s="1"/>
  <c r="AD28" i="3"/>
  <c r="AE28" i="3" s="1"/>
  <c r="AQ10" i="4"/>
  <c r="AQ13" i="4"/>
  <c r="AQ7" i="4"/>
  <c r="AQ32" i="4"/>
  <c r="AQ52" i="4"/>
  <c r="AQ38" i="4"/>
  <c r="AQ5" i="4"/>
  <c r="AQ46" i="4"/>
  <c r="AQ40" i="4"/>
  <c r="AQ9" i="4"/>
  <c r="AQ35" i="4"/>
  <c r="AQ21" i="4"/>
  <c r="AQ29" i="4"/>
  <c r="AQ134" i="4"/>
  <c r="AQ33" i="4"/>
  <c r="AQ135" i="4"/>
  <c r="AQ25" i="4"/>
  <c r="AQ24" i="4"/>
  <c r="AQ15" i="4"/>
  <c r="AQ39" i="4"/>
  <c r="AQ31" i="4"/>
  <c r="AQ61" i="4"/>
  <c r="AQ56" i="4"/>
  <c r="AE132" i="4"/>
  <c r="AQ49" i="4"/>
  <c r="AQ11" i="4"/>
  <c r="AQ48" i="4"/>
  <c r="AQ50" i="4"/>
  <c r="AQ64" i="4"/>
  <c r="AQ55" i="4"/>
  <c r="AQ36" i="4"/>
  <c r="AQ6" i="4"/>
  <c r="AQ54" i="4"/>
  <c r="AQ8" i="4"/>
  <c r="AQ58" i="4"/>
  <c r="AQ4" i="4"/>
  <c r="AQ18" i="4"/>
  <c r="AQ19" i="4"/>
  <c r="AQ41" i="4"/>
  <c r="AQ53" i="4"/>
  <c r="AQ17" i="4"/>
  <c r="AQ63" i="4"/>
  <c r="AQ131" i="4"/>
  <c r="AQ37" i="4"/>
  <c r="AQ26" i="4"/>
  <c r="AQ14" i="4"/>
  <c r="AQ16" i="4"/>
  <c r="AQ28" i="4"/>
  <c r="AQ12" i="4"/>
  <c r="AQ47" i="4"/>
  <c r="AQ27" i="4"/>
  <c r="AQ65" i="4"/>
  <c r="AQ43" i="4"/>
  <c r="AQ59" i="4"/>
  <c r="AQ22" i="3"/>
  <c r="AQ39" i="3"/>
  <c r="AQ45" i="3"/>
  <c r="AL62" i="4"/>
  <c r="AN62" i="4" s="1"/>
  <c r="AK49" i="3" l="1"/>
  <c r="AI49" i="3"/>
  <c r="AJ49" i="3" s="1"/>
  <c r="AK15" i="3"/>
  <c r="AI15" i="3"/>
  <c r="AJ15" i="3" s="1"/>
  <c r="AK32" i="3"/>
  <c r="AI32" i="3"/>
  <c r="AJ32" i="3" s="1"/>
  <c r="AK31" i="3"/>
  <c r="AI31" i="3"/>
  <c r="AJ31" i="3" s="1"/>
  <c r="AK43" i="3"/>
  <c r="AI43" i="3"/>
  <c r="AJ43" i="3" s="1"/>
  <c r="AK30" i="3"/>
  <c r="AI30" i="3"/>
  <c r="AJ30" i="3" s="1"/>
  <c r="AK26" i="3"/>
  <c r="AI26" i="3"/>
  <c r="AJ26" i="3" s="1"/>
  <c r="AK40" i="3"/>
  <c r="AI40" i="3"/>
  <c r="AJ40" i="3" s="1"/>
  <c r="AK89" i="3"/>
  <c r="AI89" i="3"/>
  <c r="AJ89" i="3" s="1"/>
  <c r="AK17" i="3"/>
  <c r="AI17" i="3"/>
  <c r="AJ17" i="3" s="1"/>
  <c r="AK90" i="3"/>
  <c r="AI90" i="3"/>
  <c r="AJ90" i="3" s="1"/>
  <c r="AK19" i="3"/>
  <c r="AI19" i="3"/>
  <c r="AJ19" i="3" s="1"/>
  <c r="AK9" i="3"/>
  <c r="AI9" i="3"/>
  <c r="AJ9" i="3" s="1"/>
  <c r="AK14" i="3"/>
  <c r="AI14" i="3"/>
  <c r="AJ14" i="3" s="1"/>
  <c r="AK5" i="3"/>
  <c r="AI5" i="3"/>
  <c r="AJ5" i="3" s="1"/>
  <c r="AI10" i="3"/>
  <c r="AJ10" i="3" s="1"/>
  <c r="AK10" i="3"/>
  <c r="AK42" i="3"/>
  <c r="AI42" i="3"/>
  <c r="AJ42" i="3" s="1"/>
  <c r="AK41" i="3"/>
  <c r="AI41" i="3"/>
  <c r="AJ41" i="3" s="1"/>
  <c r="AK25" i="3"/>
  <c r="AI25" i="3"/>
  <c r="AJ25" i="3" s="1"/>
  <c r="AK91" i="3"/>
  <c r="AI91" i="3"/>
  <c r="AJ91" i="3" s="1"/>
  <c r="AK92" i="3"/>
  <c r="AI92" i="3"/>
  <c r="AJ92" i="3" s="1"/>
  <c r="AI48" i="3"/>
  <c r="AJ48" i="3" s="1"/>
  <c r="AK48" i="3"/>
  <c r="AK44" i="3"/>
  <c r="AI44" i="3"/>
  <c r="AJ44" i="3" s="1"/>
  <c r="AK51" i="3"/>
  <c r="AI51" i="3"/>
  <c r="AJ51" i="3" s="1"/>
  <c r="AK50" i="3"/>
  <c r="AI50" i="3"/>
  <c r="AJ50" i="3" s="1"/>
  <c r="AK29" i="3"/>
  <c r="AI29" i="3"/>
  <c r="AJ29" i="3" s="1"/>
  <c r="AK46" i="3"/>
  <c r="AI46" i="3"/>
  <c r="AJ46" i="3" s="1"/>
  <c r="AK8" i="3"/>
  <c r="AI8" i="3"/>
  <c r="AJ8" i="3" s="1"/>
  <c r="AK16" i="3"/>
  <c r="AI16" i="3"/>
  <c r="AJ16" i="3" s="1"/>
  <c r="AK94" i="3"/>
  <c r="AI94" i="3"/>
  <c r="AJ94" i="3" s="1"/>
  <c r="AK6" i="3"/>
  <c r="AI6" i="3"/>
  <c r="AJ6" i="3" s="1"/>
  <c r="AK37" i="3"/>
  <c r="AI37" i="3"/>
  <c r="AJ37" i="3" s="1"/>
  <c r="AK28" i="3"/>
  <c r="AI28" i="3"/>
  <c r="AJ28" i="3" s="1"/>
  <c r="AK95" i="3"/>
  <c r="AI95" i="3"/>
  <c r="AJ95" i="3" s="1"/>
  <c r="AK34" i="3"/>
  <c r="AI34" i="3"/>
  <c r="AJ34" i="3" s="1"/>
  <c r="AK18" i="3"/>
  <c r="AI18" i="3"/>
  <c r="AJ18" i="3" s="1"/>
  <c r="AK33" i="3"/>
  <c r="AI33" i="3"/>
  <c r="AJ33" i="3" s="1"/>
  <c r="AI38" i="3"/>
  <c r="AJ38" i="3" s="1"/>
  <c r="AK38" i="3"/>
  <c r="AK21" i="3"/>
  <c r="AI21" i="3"/>
  <c r="AJ21" i="3" s="1"/>
  <c r="AK35" i="3"/>
  <c r="AI35" i="3"/>
  <c r="AJ35" i="3" s="1"/>
  <c r="AK23" i="3"/>
  <c r="AI23" i="3"/>
  <c r="AJ23" i="3" s="1"/>
  <c r="AK36" i="3"/>
  <c r="AI36" i="3"/>
  <c r="AJ36" i="3" s="1"/>
  <c r="AK4" i="3"/>
  <c r="AI4" i="3"/>
  <c r="AJ4" i="3" s="1"/>
  <c r="AE3" i="4"/>
  <c r="AD128" i="4"/>
  <c r="AK3" i="4"/>
  <c r="AE128" i="4"/>
  <c r="AK22" i="4"/>
  <c r="AI22" i="4"/>
  <c r="AJ22" i="4" s="1"/>
  <c r="AK44" i="4"/>
  <c r="AI44" i="4"/>
  <c r="AJ44" i="4" s="1"/>
  <c r="AK23" i="4"/>
  <c r="AI23" i="4"/>
  <c r="AJ23" i="4" s="1"/>
  <c r="AI57" i="4"/>
  <c r="AJ57" i="4" s="1"/>
  <c r="AK57" i="4"/>
  <c r="AK133" i="4"/>
  <c r="AI133" i="4"/>
  <c r="AJ133" i="4" s="1"/>
  <c r="AK132" i="4"/>
  <c r="AI132" i="4"/>
  <c r="AJ132" i="4" s="1"/>
  <c r="AK34" i="4"/>
  <c r="AI34" i="4"/>
  <c r="AJ34" i="4" s="1"/>
  <c r="AK30" i="4"/>
  <c r="AI30" i="4"/>
  <c r="AJ30" i="4" s="1"/>
  <c r="AK137" i="4"/>
  <c r="AI137" i="4"/>
  <c r="AJ137" i="4" s="1"/>
  <c r="AI20" i="4"/>
  <c r="AJ20" i="4" s="1"/>
  <c r="AK20" i="4"/>
  <c r="AK42" i="4"/>
  <c r="AI42" i="4"/>
  <c r="AJ42" i="4" s="1"/>
  <c r="AI51" i="4"/>
  <c r="AJ51" i="4" s="1"/>
  <c r="AK51" i="4"/>
  <c r="AK60" i="4"/>
  <c r="AI60" i="4"/>
  <c r="AJ60" i="4" s="1"/>
  <c r="AK45" i="4"/>
  <c r="AI45" i="4"/>
  <c r="AJ45" i="4" s="1"/>
  <c r="AQ133" i="4"/>
  <c r="AQ30" i="4"/>
  <c r="AQ51" i="4"/>
  <c r="AQ20" i="4"/>
  <c r="AQ45" i="4"/>
  <c r="AL11" i="3"/>
  <c r="AN11" i="3" s="1"/>
  <c r="AQ41" i="3"/>
  <c r="AQ21" i="3"/>
  <c r="AL27" i="3"/>
  <c r="AN27" i="3" s="1"/>
  <c r="AL12" i="3"/>
  <c r="AN12" i="3" s="1"/>
  <c r="AL22" i="3"/>
  <c r="AN22" i="3" s="1"/>
  <c r="AQ60" i="4"/>
  <c r="AQ22" i="4"/>
  <c r="AQ23" i="4"/>
  <c r="AQ42" i="4"/>
  <c r="AQ44" i="4"/>
  <c r="AQ137" i="4"/>
  <c r="AQ57" i="4"/>
  <c r="AI3" i="4"/>
  <c r="AJ3" i="4" s="1"/>
  <c r="AQ34" i="4"/>
  <c r="AL59" i="4"/>
  <c r="AN59" i="4" s="1"/>
  <c r="AL52" i="3"/>
  <c r="AN52" i="3" s="1"/>
  <c r="AL45" i="3"/>
  <c r="AN45" i="3" s="1"/>
  <c r="AQ30" i="3"/>
  <c r="AQ33" i="3"/>
  <c r="AQ38" i="3"/>
  <c r="AQ35" i="3"/>
  <c r="AQ17" i="3"/>
  <c r="AQ9" i="3"/>
  <c r="AQ40" i="3"/>
  <c r="AQ91" i="3"/>
  <c r="AQ18" i="3"/>
  <c r="AQ10" i="3"/>
  <c r="AQ31" i="3"/>
  <c r="AQ5" i="3"/>
  <c r="AE85" i="3"/>
  <c r="AQ16" i="3"/>
  <c r="AQ32" i="3"/>
  <c r="AQ4" i="3"/>
  <c r="AQ46" i="3"/>
  <c r="AQ43" i="3"/>
  <c r="AQ92" i="3"/>
  <c r="AQ49" i="3"/>
  <c r="AQ8" i="3"/>
  <c r="AQ44" i="3"/>
  <c r="AQ42" i="3"/>
  <c r="AQ48" i="3"/>
  <c r="AQ14" i="3"/>
  <c r="AQ23" i="3"/>
  <c r="AQ94" i="3"/>
  <c r="AQ90" i="3"/>
  <c r="AQ89" i="3"/>
  <c r="AQ34" i="3"/>
  <c r="AQ28" i="3"/>
  <c r="AQ51" i="3"/>
  <c r="AQ29" i="3"/>
  <c r="AQ95" i="3"/>
  <c r="AQ19" i="3"/>
  <c r="AQ37" i="3"/>
  <c r="AD85" i="3"/>
  <c r="AQ15" i="3"/>
  <c r="AQ26" i="3"/>
  <c r="AQ25" i="3"/>
  <c r="AQ36" i="3"/>
  <c r="AQ6" i="3"/>
  <c r="AQ50" i="3"/>
  <c r="AQ3" i="4"/>
  <c r="AQ132" i="4"/>
  <c r="AQ138" i="4" s="1"/>
  <c r="AL47" i="4"/>
  <c r="AN47" i="4" s="1"/>
  <c r="AL12" i="4"/>
  <c r="AN12" i="4" s="1"/>
  <c r="AL19" i="4"/>
  <c r="AN19" i="4" s="1"/>
  <c r="AL14" i="4"/>
  <c r="AN14" i="4" s="1"/>
  <c r="AL17" i="4"/>
  <c r="AN17" i="4" s="1"/>
  <c r="AL58" i="4"/>
  <c r="AN58" i="4" s="1"/>
  <c r="AL54" i="4"/>
  <c r="AN54" i="4" s="1"/>
  <c r="AL8" i="4"/>
  <c r="AN8" i="4" s="1"/>
  <c r="AL63" i="4"/>
  <c r="AN63" i="4" s="1"/>
  <c r="AL40" i="4"/>
  <c r="AN40" i="4" s="1"/>
  <c r="AL65" i="4"/>
  <c r="AN65" i="4" s="1"/>
  <c r="AL11" i="4"/>
  <c r="AN11" i="4" s="1"/>
  <c r="AL48" i="4"/>
  <c r="AN48" i="4" s="1"/>
  <c r="AL27" i="4"/>
  <c r="AN27" i="4" s="1"/>
  <c r="AL16" i="4"/>
  <c r="AN16" i="4" s="1"/>
  <c r="AL26" i="4"/>
  <c r="AN26" i="4" s="1"/>
  <c r="AL131" i="4"/>
  <c r="AN131" i="4" s="1"/>
  <c r="AL36" i="4"/>
  <c r="AN36" i="4" s="1"/>
  <c r="AL64" i="4"/>
  <c r="AN64" i="4" s="1"/>
  <c r="AL28" i="4"/>
  <c r="AN28" i="4" s="1"/>
  <c r="AL49" i="4"/>
  <c r="AN49" i="4" s="1"/>
  <c r="AL43" i="4"/>
  <c r="AN43" i="4" s="1"/>
  <c r="AL53" i="4"/>
  <c r="AN53" i="4" s="1"/>
  <c r="AL6" i="4"/>
  <c r="AN6" i="4" s="1"/>
  <c r="AL50" i="4"/>
  <c r="AN50" i="4" s="1"/>
  <c r="AL37" i="4"/>
  <c r="AN37" i="4" s="1"/>
  <c r="AL41" i="4"/>
  <c r="AN41" i="4" s="1"/>
  <c r="AL4" i="4"/>
  <c r="AN4" i="4" s="1"/>
  <c r="AL18" i="4"/>
  <c r="AN18" i="4" s="1"/>
  <c r="AL55" i="4"/>
  <c r="AN55" i="4" s="1"/>
  <c r="AQ3" i="3"/>
  <c r="AL33" i="4"/>
  <c r="AN33" i="4" s="1"/>
  <c r="AL13" i="4"/>
  <c r="AN13" i="4" s="1"/>
  <c r="AL39" i="4"/>
  <c r="AN39" i="4" s="1"/>
  <c r="AL52" i="4"/>
  <c r="AN52" i="4" s="1"/>
  <c r="AL135" i="4"/>
  <c r="AN135" i="4" s="1"/>
  <c r="AL35" i="4"/>
  <c r="AN35" i="4" s="1"/>
  <c r="AL15" i="4"/>
  <c r="AN15" i="4" s="1"/>
  <c r="AL56" i="4"/>
  <c r="AN56" i="4" s="1"/>
  <c r="AL25" i="4"/>
  <c r="AN25" i="4" s="1"/>
  <c r="AK3" i="3"/>
  <c r="AI3" i="3"/>
  <c r="AJ3" i="3" s="1"/>
  <c r="AL32" i="4"/>
  <c r="AN32" i="4" s="1"/>
  <c r="AL24" i="4"/>
  <c r="AN24" i="4" s="1"/>
  <c r="AL29" i="4"/>
  <c r="AN29" i="4" s="1"/>
  <c r="AL61" i="4"/>
  <c r="AN61" i="4" s="1"/>
  <c r="AL21" i="4"/>
  <c r="AN21" i="4" s="1"/>
  <c r="AL10" i="4"/>
  <c r="AN10" i="4" s="1"/>
  <c r="AL9" i="4"/>
  <c r="AN9" i="4" s="1"/>
  <c r="AL134" i="4"/>
  <c r="AN134" i="4" s="1"/>
  <c r="AL7" i="4"/>
  <c r="AN7" i="4" s="1"/>
  <c r="AL38" i="4"/>
  <c r="AN38" i="4" s="1"/>
  <c r="AL31" i="4"/>
  <c r="AN31" i="4" s="1"/>
  <c r="AL46" i="4"/>
  <c r="AN46" i="4" s="1"/>
  <c r="AL5" i="4"/>
  <c r="AN5" i="4" s="1"/>
  <c r="AQ105" i="3" l="1"/>
  <c r="AQ85" i="3"/>
  <c r="AQ128" i="4"/>
  <c r="E144" i="4" s="1"/>
  <c r="AL3" i="4"/>
  <c r="AJ128" i="4"/>
  <c r="AK128" i="4"/>
  <c r="AL48" i="3"/>
  <c r="AN48" i="3" s="1"/>
  <c r="AL89" i="3"/>
  <c r="AN89" i="3" s="1"/>
  <c r="AL6" i="3"/>
  <c r="AN6" i="3" s="1"/>
  <c r="AL43" i="3"/>
  <c r="AN43" i="3" s="1"/>
  <c r="AL10" i="3"/>
  <c r="AN10" i="3" s="1"/>
  <c r="AL18" i="3"/>
  <c r="AN18" i="3" s="1"/>
  <c r="AL50" i="3"/>
  <c r="AN50" i="3" s="1"/>
  <c r="AL16" i="3"/>
  <c r="AN16" i="3" s="1"/>
  <c r="AL35" i="3"/>
  <c r="AN35" i="3" s="1"/>
  <c r="AL21" i="3"/>
  <c r="AN21" i="3" s="1"/>
  <c r="AL22" i="4"/>
  <c r="AN22" i="4" s="1"/>
  <c r="AL51" i="4"/>
  <c r="AN51" i="4" s="1"/>
  <c r="AL20" i="4"/>
  <c r="AN20" i="4" s="1"/>
  <c r="AL45" i="4"/>
  <c r="AN45" i="4" s="1"/>
  <c r="AL57" i="4"/>
  <c r="AN57" i="4" s="1"/>
  <c r="AL42" i="4"/>
  <c r="AN42" i="4" s="1"/>
  <c r="AL60" i="4"/>
  <c r="AN60" i="4" s="1"/>
  <c r="AL133" i="4"/>
  <c r="AN133" i="4" s="1"/>
  <c r="AN138" i="4" s="1"/>
  <c r="AL23" i="4"/>
  <c r="AN23" i="4" s="1"/>
  <c r="AL44" i="4"/>
  <c r="AN44" i="4" s="1"/>
  <c r="AL34" i="4"/>
  <c r="AN34" i="4" s="1"/>
  <c r="AL137" i="4"/>
  <c r="AN137" i="4" s="1"/>
  <c r="AL30" i="4"/>
  <c r="AN30" i="4" s="1"/>
  <c r="AL28" i="3"/>
  <c r="AN28" i="3" s="1"/>
  <c r="AL91" i="3"/>
  <c r="AN91" i="3" s="1"/>
  <c r="AL32" i="3"/>
  <c r="AN32" i="3" s="1"/>
  <c r="AL25" i="3"/>
  <c r="AN25" i="3" s="1"/>
  <c r="AL46" i="3"/>
  <c r="AN46" i="3" s="1"/>
  <c r="AL26" i="3"/>
  <c r="AN26" i="3" s="1"/>
  <c r="AL40" i="3"/>
  <c r="AN40" i="3" s="1"/>
  <c r="AL36" i="3"/>
  <c r="AN36" i="3" s="1"/>
  <c r="AL44" i="3"/>
  <c r="AN44" i="3" s="1"/>
  <c r="AL5" i="3"/>
  <c r="AN5" i="3" s="1"/>
  <c r="AL9" i="3"/>
  <c r="AN9" i="3" s="1"/>
  <c r="AL42" i="3"/>
  <c r="AN42" i="3" s="1"/>
  <c r="AL23" i="3"/>
  <c r="AN23" i="3" s="1"/>
  <c r="AL41" i="3"/>
  <c r="AN41" i="3" s="1"/>
  <c r="AL92" i="3"/>
  <c r="AN92" i="3" s="1"/>
  <c r="AL14" i="3"/>
  <c r="AN14" i="3" s="1"/>
  <c r="AL34" i="3"/>
  <c r="AN34" i="3" s="1"/>
  <c r="AL19" i="3"/>
  <c r="AN19" i="3" s="1"/>
  <c r="AL51" i="3"/>
  <c r="AN51" i="3" s="1"/>
  <c r="AL4" i="3"/>
  <c r="AN4" i="3" s="1"/>
  <c r="AL94" i="3"/>
  <c r="AN94" i="3" s="1"/>
  <c r="AL8" i="3"/>
  <c r="AN8" i="3" s="1"/>
  <c r="AL17" i="3"/>
  <c r="AN17" i="3" s="1"/>
  <c r="AL90" i="3"/>
  <c r="AN90" i="3" s="1"/>
  <c r="AL30" i="3"/>
  <c r="AN30" i="3" s="1"/>
  <c r="AL31" i="3"/>
  <c r="AN31" i="3" s="1"/>
  <c r="AL37" i="3"/>
  <c r="AN37" i="3" s="1"/>
  <c r="AL95" i="3"/>
  <c r="AN95" i="3" s="1"/>
  <c r="AL29" i="3"/>
  <c r="AN29" i="3" s="1"/>
  <c r="AL49" i="3"/>
  <c r="AN49" i="3" s="1"/>
  <c r="AL38" i="3"/>
  <c r="AN38" i="3" s="1"/>
  <c r="AK85" i="3"/>
  <c r="AL33" i="3"/>
  <c r="AN33" i="3" s="1"/>
  <c r="AL15" i="3"/>
  <c r="AN15" i="3" s="1"/>
  <c r="AL132" i="4"/>
  <c r="AN132" i="4" s="1"/>
  <c r="AJ85" i="3"/>
  <c r="AN3" i="4"/>
  <c r="AL3" i="3"/>
  <c r="AN105" i="3" l="1"/>
  <c r="AL85" i="3"/>
  <c r="AN128" i="4"/>
  <c r="E143" i="4" s="1"/>
  <c r="AL128" i="4"/>
  <c r="E107" i="3"/>
  <c r="AN3" i="3"/>
  <c r="AN85" i="3" s="1"/>
  <c r="E106" i="3" l="1"/>
</calcChain>
</file>

<file path=xl/sharedStrings.xml><?xml version="1.0" encoding="utf-8"?>
<sst xmlns="http://schemas.openxmlformats.org/spreadsheetml/2006/main" count="1562" uniqueCount="834">
  <si>
    <t>Bonus</t>
  </si>
  <si>
    <t xml:space="preserve">الاجمالى </t>
  </si>
  <si>
    <t>Name</t>
  </si>
  <si>
    <t>Basic</t>
  </si>
  <si>
    <t>Transportation</t>
  </si>
  <si>
    <t>Total Target</t>
  </si>
  <si>
    <t>Daily transfer value</t>
  </si>
  <si>
    <t>Daily wage</t>
  </si>
  <si>
    <t>hourly wage rate</t>
  </si>
  <si>
    <t>Number of hours</t>
  </si>
  <si>
    <t>Overtime</t>
  </si>
  <si>
    <t>Title</t>
  </si>
  <si>
    <t>Advance</t>
  </si>
  <si>
    <t>Absence value</t>
  </si>
  <si>
    <t>Total deducted</t>
  </si>
  <si>
    <t>tax</t>
  </si>
  <si>
    <t>Martyrs</t>
  </si>
  <si>
    <t>Net salary</t>
  </si>
  <si>
    <t>Net</t>
  </si>
  <si>
    <t>Employee Insurance</t>
  </si>
  <si>
    <t>Company Insurance</t>
  </si>
  <si>
    <t>Insurance salary</t>
  </si>
  <si>
    <t>Target value</t>
  </si>
  <si>
    <t>Target rate</t>
  </si>
  <si>
    <t>Absence days</t>
  </si>
  <si>
    <t>Transportation days</t>
  </si>
  <si>
    <t>Team Leader</t>
  </si>
  <si>
    <t xml:space="preserve"> National ID</t>
  </si>
  <si>
    <t xml:space="preserve">Operator </t>
  </si>
  <si>
    <t>28506012101976</t>
  </si>
  <si>
    <t>28803132104132</t>
  </si>
  <si>
    <t>29602012111206</t>
  </si>
  <si>
    <t>28408060104829</t>
  </si>
  <si>
    <t>30107120103664</t>
  </si>
  <si>
    <t>30111242104227</t>
  </si>
  <si>
    <t>29709120100805</t>
  </si>
  <si>
    <t>29807240101041</t>
  </si>
  <si>
    <t>28309160101101</t>
  </si>
  <si>
    <t>29805012109544</t>
  </si>
  <si>
    <t>28909010112749</t>
  </si>
  <si>
    <t>29812180101806</t>
  </si>
  <si>
    <t>29610302101061</t>
  </si>
  <si>
    <t>29505090101564</t>
  </si>
  <si>
    <t>30311102103963</t>
  </si>
  <si>
    <t>29610172102567</t>
  </si>
  <si>
    <t>30108300103189</t>
  </si>
  <si>
    <t>30405190104146</t>
  </si>
  <si>
    <t>29405132101506</t>
  </si>
  <si>
    <t>28806160101121</t>
  </si>
  <si>
    <t>28510152106363</t>
  </si>
  <si>
    <t>29801082102347</t>
  </si>
  <si>
    <t>29905032101544</t>
  </si>
  <si>
    <t>29809300110862</t>
  </si>
  <si>
    <t>29806262102126</t>
  </si>
  <si>
    <t>30107292102864</t>
  </si>
  <si>
    <t>29902090102942</t>
  </si>
  <si>
    <t>30401012110978</t>
  </si>
  <si>
    <t>30407212104237</t>
  </si>
  <si>
    <t>30004140103691</t>
  </si>
  <si>
    <t>29706190101877</t>
  </si>
  <si>
    <t>30108182101435</t>
  </si>
  <si>
    <t>29604010109916</t>
  </si>
  <si>
    <t>30302172102116</t>
  </si>
  <si>
    <t>30401012108337</t>
  </si>
  <si>
    <t>30008080104435</t>
  </si>
  <si>
    <t>Stop Salary</t>
  </si>
  <si>
    <t>Aliaa Sayed Abd El Maksood Abd El Fattah</t>
  </si>
  <si>
    <t>30205242103143</t>
  </si>
  <si>
    <t>Aya Ayman Ezzat Ahmed El Sayed</t>
  </si>
  <si>
    <t>30009020101808</t>
  </si>
  <si>
    <t>Aya Ehab Mohamed Ahmed</t>
  </si>
  <si>
    <t>30206012606348</t>
  </si>
  <si>
    <t>Eman Khaled Mohamed</t>
  </si>
  <si>
    <t>30112112100447</t>
  </si>
  <si>
    <t>Engy Maher Hussein Abdelhamid</t>
  </si>
  <si>
    <t>29204292100349</t>
  </si>
  <si>
    <t>Farida Mohamed Hanfy Mohamed</t>
  </si>
  <si>
    <t>30102191400587</t>
  </si>
  <si>
    <t>Fatma Khaled Mohamed Mohamed Ali</t>
  </si>
  <si>
    <t>29806012113041</t>
  </si>
  <si>
    <t>Gana Ali El Sabry Ibrahim</t>
  </si>
  <si>
    <t>30505020103344</t>
  </si>
  <si>
    <t>Habiba Osam Eldeen Mohamed</t>
  </si>
  <si>
    <t>30106230102829</t>
  </si>
  <si>
    <t>Habiba Osama Mohamed Ali</t>
  </si>
  <si>
    <t>30509242101345</t>
  </si>
  <si>
    <t>Hagar Ashraf Youssef Mohamed</t>
  </si>
  <si>
    <t>30306182102764</t>
  </si>
  <si>
    <t>Hagar Mahmoud Abo El Kasem Moussa</t>
  </si>
  <si>
    <t>30405020105229</t>
  </si>
  <si>
    <t>Kholoud Adel Saad Abd Elghany</t>
  </si>
  <si>
    <t>Mariam Emad Mohamed</t>
  </si>
  <si>
    <t>29709181400348</t>
  </si>
  <si>
    <t>Marina Hany Sediki Mansour</t>
  </si>
  <si>
    <t>30011061402221</t>
  </si>
  <si>
    <t>Menna Ahmed Ali Mohamed</t>
  </si>
  <si>
    <t>29709142100787</t>
  </si>
  <si>
    <t>Nada Tarek Ali Mostafa</t>
  </si>
  <si>
    <t>Rana Adel Mohamed Abd El Kareem</t>
  </si>
  <si>
    <t>30307060106668</t>
  </si>
  <si>
    <t>Rana Ibrahim Mahmoud El Sayed</t>
  </si>
  <si>
    <t>30112082101427</t>
  </si>
  <si>
    <t>Roaa Bisyouni Rabie Bisyouni</t>
  </si>
  <si>
    <t>30610152101667</t>
  </si>
  <si>
    <t>Sabah Gamal Ibrahim Ali</t>
  </si>
  <si>
    <t>29711238800903</t>
  </si>
  <si>
    <t>Salma Ramadan Eid Abd El Rahim</t>
  </si>
  <si>
    <t>29909210100242</t>
  </si>
  <si>
    <t>Samar Mansour Hamed Ahmed</t>
  </si>
  <si>
    <t>29506100102684</t>
  </si>
  <si>
    <t>Shorouk Ahmed Ahmed Abd El Motalb</t>
  </si>
  <si>
    <t>30309220105941</t>
  </si>
  <si>
    <t>Shrouk Ayman Azzat Ahmed El Sayed</t>
  </si>
  <si>
    <t>30608130106989</t>
  </si>
  <si>
    <t>Soaad Alaa Sayed Madboly</t>
  </si>
  <si>
    <t>30306060105029</t>
  </si>
  <si>
    <t>Yasmine Gamal Fahmy Mostafa</t>
  </si>
  <si>
    <t>30011222103602</t>
  </si>
  <si>
    <t>Yassmine Ahmed Mostafa Sayed</t>
  </si>
  <si>
    <t>30304170105382</t>
  </si>
  <si>
    <t>Abdallah mohamed abdallah mohamed</t>
  </si>
  <si>
    <t>Ahmed Ashraf Ahmed Mohamed</t>
  </si>
  <si>
    <t>30410252103692</t>
  </si>
  <si>
    <t>Ahmed Ayman Ahmed Mohamed</t>
  </si>
  <si>
    <t>30005170105512</t>
  </si>
  <si>
    <t>Esaam Ahmed Hussien Hassan</t>
  </si>
  <si>
    <t>30509020102319</t>
  </si>
  <si>
    <t>Hossam Embaby Salah Embaby</t>
  </si>
  <si>
    <t>30403172103792</t>
  </si>
  <si>
    <t>Khaled Maged Hamed Ibrahim</t>
  </si>
  <si>
    <t>30312282101471</t>
  </si>
  <si>
    <t>Loay Waleed Fathy Hassan</t>
  </si>
  <si>
    <t>30309092105895</t>
  </si>
  <si>
    <t>Moaz mohamed rajab moslehi</t>
  </si>
  <si>
    <t>30506071400617</t>
  </si>
  <si>
    <t>29810250104317</t>
  </si>
  <si>
    <t>Mohamed Abo Bakr Awad</t>
  </si>
  <si>
    <t>28904172200836</t>
  </si>
  <si>
    <t>Mohamed Ayman Abd El Zaher Marai</t>
  </si>
  <si>
    <t>30004032102271</t>
  </si>
  <si>
    <t>Mohamed Essam El Din Hanafi Ahmed</t>
  </si>
  <si>
    <t>30402041402054</t>
  </si>
  <si>
    <t>Mohamed Khaled Bayomi Mohamed</t>
  </si>
  <si>
    <t>29906190103755</t>
  </si>
  <si>
    <t>Mohamed Mohsen Mohamed Abd El Aziz</t>
  </si>
  <si>
    <t>29610160101913</t>
  </si>
  <si>
    <t>Gross</t>
  </si>
  <si>
    <t>Penalty Days</t>
  </si>
  <si>
    <t>Penalties value</t>
  </si>
  <si>
    <t>Branch</t>
  </si>
  <si>
    <t>ID</t>
  </si>
  <si>
    <t>Hussien</t>
  </si>
  <si>
    <t>Target Days</t>
  </si>
  <si>
    <t>Target wage</t>
  </si>
  <si>
    <t>01031091158</t>
  </si>
  <si>
    <t>01096253449</t>
  </si>
  <si>
    <t>01080736485</t>
  </si>
  <si>
    <t>01122067400</t>
  </si>
  <si>
    <t>01150163542</t>
  </si>
  <si>
    <t>01281075519</t>
  </si>
  <si>
    <t>01227886222</t>
  </si>
  <si>
    <t>01159424002</t>
  </si>
  <si>
    <t>01014635167</t>
  </si>
  <si>
    <t>01125429061</t>
  </si>
  <si>
    <t>01070832906</t>
  </si>
  <si>
    <t>01152914948</t>
  </si>
  <si>
    <t>01270857698</t>
  </si>
  <si>
    <t>01065422182</t>
  </si>
  <si>
    <t>100056225751</t>
  </si>
  <si>
    <t>01020284215</t>
  </si>
  <si>
    <t>01157327393</t>
  </si>
  <si>
    <t>01112245242</t>
  </si>
  <si>
    <t>01027182805</t>
  </si>
  <si>
    <t>01030914529</t>
  </si>
  <si>
    <t>01150031036</t>
  </si>
  <si>
    <t>01030985351</t>
  </si>
  <si>
    <t>01040784450</t>
  </si>
  <si>
    <t>01142332648</t>
  </si>
  <si>
    <t>01090720109</t>
  </si>
  <si>
    <t>01145877509</t>
  </si>
  <si>
    <t>01157827980</t>
  </si>
  <si>
    <t>01032820728</t>
  </si>
  <si>
    <t>01129535746</t>
  </si>
  <si>
    <t>01147090461</t>
  </si>
  <si>
    <t>01123128633</t>
  </si>
  <si>
    <t>01069309328</t>
  </si>
  <si>
    <t>01011568347</t>
  </si>
  <si>
    <t>01153869692</t>
  </si>
  <si>
    <t>01115370765</t>
  </si>
  <si>
    <t>01003153051</t>
  </si>
  <si>
    <t>01002858195</t>
  </si>
  <si>
    <t>01141393851</t>
  </si>
  <si>
    <t>01102725674</t>
  </si>
  <si>
    <t>01090782661</t>
  </si>
  <si>
    <t>01127073026</t>
  </si>
  <si>
    <t>01205932548</t>
  </si>
  <si>
    <t>Mosky</t>
  </si>
  <si>
    <t>Sherif Helmy Mohamed Mohamed</t>
  </si>
  <si>
    <t>28003232103471</t>
  </si>
  <si>
    <t>Mohamed Edris Mohamad Abd Alim</t>
  </si>
  <si>
    <t>Ahmed Mohsen Lotfy Ali</t>
  </si>
  <si>
    <t>Amal Tohamy Mahran Tantawy</t>
  </si>
  <si>
    <t>29910202700905</t>
  </si>
  <si>
    <t>Amany Mohsen Hassan Sayed</t>
  </si>
  <si>
    <t>29510290100281</t>
  </si>
  <si>
    <t>Amina Mohamed Abd El Ghany Abd El Fattah</t>
  </si>
  <si>
    <t>29901292100406</t>
  </si>
  <si>
    <t>Ashraf Mohamed Abd Elazeem Mourad</t>
  </si>
  <si>
    <t>Asmaa Magdy Saad Edris</t>
  </si>
  <si>
    <t>30108110105622</t>
  </si>
  <si>
    <t>Aya Saady Awad Hassan</t>
  </si>
  <si>
    <t>30205192102621</t>
  </si>
  <si>
    <t>Bassant Ahmed Ramadan Ahmed</t>
  </si>
  <si>
    <t>Dina Mohamed Darwesh Mostafa</t>
  </si>
  <si>
    <t>Donia Mohamed Ismail Ali</t>
  </si>
  <si>
    <t>Eman Gharib Toghian Bahloul</t>
  </si>
  <si>
    <t>Eman Hashem AbdelMaguid AbdelMaksood</t>
  </si>
  <si>
    <t>Hazem Ashraf Fahim Mohamed</t>
  </si>
  <si>
    <t>Kholood Sayed Anwar AbdelAziz</t>
  </si>
  <si>
    <t>Magda Zakaria Abdallah Mohamed</t>
  </si>
  <si>
    <t>Mai Ramadan Mahmoud Salem</t>
  </si>
  <si>
    <t>30607172104645</t>
  </si>
  <si>
    <t>Malak Osama Ezz El Din Sayed</t>
  </si>
  <si>
    <t>30101252101026</t>
  </si>
  <si>
    <t>Menna Allah Medhat Ahmed Mohamed</t>
  </si>
  <si>
    <t>Menna Allah Rabei Mohamed</t>
  </si>
  <si>
    <t>Merna Bekhet Baset Bekhet</t>
  </si>
  <si>
    <t>Mohamed Ashraf AbdelRahman Ahmed</t>
  </si>
  <si>
    <t>Mohamed Essam Mohamed Ahmed</t>
  </si>
  <si>
    <t>Mohamed Sabry fathy Mohamed</t>
  </si>
  <si>
    <t>Mohamed Said Abd El Aziz Ahmed</t>
  </si>
  <si>
    <t>Mohamed Salah Khalaf Ahmed</t>
  </si>
  <si>
    <t>Mostafa Ahmed kasban Ali</t>
  </si>
  <si>
    <t>Nouran Hussein Abdel shakoor</t>
  </si>
  <si>
    <t>30112152104364</t>
  </si>
  <si>
    <t>Nourhan Yassen Mahdy Ahmed</t>
  </si>
  <si>
    <t>Ola Awad Abd Elazim</t>
  </si>
  <si>
    <t>Rehab Sayed Wardany Amr</t>
  </si>
  <si>
    <t>29808110103006</t>
  </si>
  <si>
    <t>Rokaya Mohamed Badry Ahmed</t>
  </si>
  <si>
    <t>Salma Samir Ahmed Abd EL Razek</t>
  </si>
  <si>
    <t>Samah Adham Sharkawy Amin</t>
  </si>
  <si>
    <t>Samah Ahmed Mohamed Mohamed</t>
  </si>
  <si>
    <t>29911152102307</t>
  </si>
  <si>
    <t>Sara Gharib Taghian Behloul</t>
  </si>
  <si>
    <t>30305313100049</t>
  </si>
  <si>
    <t>Sarah Ramadan Karam Abd AlRehim</t>
  </si>
  <si>
    <t>Shams Abd El Hakam Mohamed Tohamy</t>
  </si>
  <si>
    <t>Shiamaa Hassan Mohamed Ali</t>
  </si>
  <si>
    <t>Shimaa Mohamed Mahmud Abdefatah</t>
  </si>
  <si>
    <t>Sohaila Salah El Din Mansour Ahmed</t>
  </si>
  <si>
    <t>Tasneem Ashraf Faheem Mohammed</t>
  </si>
  <si>
    <t>Yasmine Kamal Mohamed Abdelhady</t>
  </si>
  <si>
    <t>Youssef Fathy Mohamed Abozeed</t>
  </si>
  <si>
    <t>Zeinab Ahmed Abdelhakim Hasanein</t>
  </si>
  <si>
    <t>Zeinab Rabea Hamed Mekki</t>
  </si>
  <si>
    <t>Transfer Account Number</t>
  </si>
  <si>
    <t>Transfer Account Type</t>
  </si>
  <si>
    <t>Transfer Account type</t>
  </si>
  <si>
    <t>Wallet</t>
  </si>
  <si>
    <t>Total Salaries</t>
  </si>
  <si>
    <t>01007615241</t>
  </si>
  <si>
    <t>01140951321</t>
  </si>
  <si>
    <t>01090035293</t>
  </si>
  <si>
    <t>01102358900</t>
  </si>
  <si>
    <t>01066124236</t>
  </si>
  <si>
    <t>01092503617</t>
  </si>
  <si>
    <t>01223264395</t>
  </si>
  <si>
    <t>01009411484</t>
  </si>
  <si>
    <t>01026404982</t>
  </si>
  <si>
    <t>01025619080</t>
  </si>
  <si>
    <t>01158980073</t>
  </si>
  <si>
    <t>01156054279</t>
  </si>
  <si>
    <t>01206683594</t>
  </si>
  <si>
    <t>01227208069</t>
  </si>
  <si>
    <t>01044059561</t>
  </si>
  <si>
    <t>01068742335</t>
  </si>
  <si>
    <t>0595000895611201016</t>
  </si>
  <si>
    <t>01065776483</t>
  </si>
  <si>
    <t>4740383000009365</t>
  </si>
  <si>
    <t>01018588292</t>
  </si>
  <si>
    <t>4880333000088182</t>
  </si>
  <si>
    <t>01098807431</t>
  </si>
  <si>
    <t>01119082840</t>
  </si>
  <si>
    <t>01002385645</t>
  </si>
  <si>
    <t>01141716207</t>
  </si>
  <si>
    <t>01102028335</t>
  </si>
  <si>
    <t>01002236560</t>
  </si>
  <si>
    <t>01153596809</t>
  </si>
  <si>
    <t>01156179471</t>
  </si>
  <si>
    <t>01067362275</t>
  </si>
  <si>
    <t>01150603417</t>
  </si>
  <si>
    <t>01025868975</t>
  </si>
  <si>
    <t>01099252923</t>
  </si>
  <si>
    <t>01002219947</t>
  </si>
  <si>
    <t>01283365095</t>
  </si>
  <si>
    <t>01157129619</t>
  </si>
  <si>
    <t>01029305772</t>
  </si>
  <si>
    <t>01289723704</t>
  </si>
  <si>
    <t>01127658209</t>
  </si>
  <si>
    <t>01122056353</t>
  </si>
  <si>
    <t>01095097117</t>
  </si>
  <si>
    <t>01203040621</t>
  </si>
  <si>
    <t>01157492459</t>
  </si>
  <si>
    <t>01098387500</t>
  </si>
  <si>
    <t>7070333000004548</t>
  </si>
  <si>
    <t>اعفاء شخصى (20000ج سنويا)</t>
  </si>
  <si>
    <t>الوعاء السنوي</t>
  </si>
  <si>
    <t>Annual Balance</t>
  </si>
  <si>
    <t>Abdalla Anwar Mahmoud Farag</t>
  </si>
  <si>
    <t>Ali AbdelAziz Mohamed AbdelAziz</t>
  </si>
  <si>
    <t>Jasmin Ahmed Izzat Mohamed</t>
  </si>
  <si>
    <t>Karim Ahmed Afify Mohamed</t>
  </si>
  <si>
    <t>Kholood Adel Mohamedin Elsawy</t>
  </si>
  <si>
    <t>Mosalam Mohamed AboMosalam Tawfik</t>
  </si>
  <si>
    <t>Reda Mohamed AbdelWahab Waraz</t>
  </si>
  <si>
    <t>Salma Ahmed Hassan Maarouf</t>
  </si>
  <si>
    <t>Yousef Faisal Mohamed AbdelAlim</t>
  </si>
  <si>
    <t>5078035014619722</t>
  </si>
  <si>
    <t>5078035082866148</t>
  </si>
  <si>
    <t>5078035002946541</t>
  </si>
  <si>
    <t>5078035043290412</t>
  </si>
  <si>
    <t>5078034899783455</t>
  </si>
  <si>
    <t>5078035001842998</t>
  </si>
  <si>
    <t>5078035080470273</t>
  </si>
  <si>
    <t>5078035073234918</t>
  </si>
  <si>
    <t>5078034882812493</t>
  </si>
  <si>
    <t>Basic wage</t>
  </si>
  <si>
    <t>1743010403890900016</t>
  </si>
  <si>
    <t>5078035028263913</t>
  </si>
  <si>
    <t>SFBM-H001</t>
  </si>
  <si>
    <t>SFBM-H002</t>
  </si>
  <si>
    <t>SFBM-H003</t>
  </si>
  <si>
    <t>SFBM-H005</t>
  </si>
  <si>
    <t>SFBM-H006</t>
  </si>
  <si>
    <t>SFBM-H007</t>
  </si>
  <si>
    <t>SFBM-H008</t>
  </si>
  <si>
    <t>SFBM-H009</t>
  </si>
  <si>
    <t>SFBM-H010</t>
  </si>
  <si>
    <t>SFBM-H011</t>
  </si>
  <si>
    <t>SFBM-H012</t>
  </si>
  <si>
    <t>SFBM-H014</t>
  </si>
  <si>
    <t>SFBM-H015</t>
  </si>
  <si>
    <t>SFBM-H016</t>
  </si>
  <si>
    <t>SFBM-H017</t>
  </si>
  <si>
    <t>SFBM-H018</t>
  </si>
  <si>
    <t>SFBM-H020</t>
  </si>
  <si>
    <t>SFBM-H021</t>
  </si>
  <si>
    <t>SFBM-H022</t>
  </si>
  <si>
    <t>SFBM-H023</t>
  </si>
  <si>
    <t>SFBM-H024</t>
  </si>
  <si>
    <t>SFBM-H025</t>
  </si>
  <si>
    <t>SFBM-H026</t>
  </si>
  <si>
    <t>SFBM-H027</t>
  </si>
  <si>
    <t>SFBM-H028</t>
  </si>
  <si>
    <t>SFBM-H029</t>
  </si>
  <si>
    <t>SFBM-H031</t>
  </si>
  <si>
    <t>SFBM-H033</t>
  </si>
  <si>
    <t>SFBM-H034</t>
  </si>
  <si>
    <t>SFBM-H035</t>
  </si>
  <si>
    <t>SFBM-H036</t>
  </si>
  <si>
    <t>SFBM-H037</t>
  </si>
  <si>
    <t>SFBM-H038</t>
  </si>
  <si>
    <t>SFBM-H039</t>
  </si>
  <si>
    <t>SFBM-H040</t>
  </si>
  <si>
    <t>SFBM-H041</t>
  </si>
  <si>
    <t>SFBM-H042</t>
  </si>
  <si>
    <t>SFBM-H043</t>
  </si>
  <si>
    <t>SFBM-H044</t>
  </si>
  <si>
    <t>SFBM-H045</t>
  </si>
  <si>
    <t>SFBM-H046</t>
  </si>
  <si>
    <t>SFBM-H049</t>
  </si>
  <si>
    <t>SFBM-H050</t>
  </si>
  <si>
    <t>SFBM-H051</t>
  </si>
  <si>
    <t>SFBM-H053</t>
  </si>
  <si>
    <t>SFBM-H054</t>
  </si>
  <si>
    <t>SFBM-H055</t>
  </si>
  <si>
    <t>SFBM-H056</t>
  </si>
  <si>
    <t>SFBM-H057</t>
  </si>
  <si>
    <t>SFBM-H058</t>
  </si>
  <si>
    <t>SFBM-H059</t>
  </si>
  <si>
    <t>SFBM-H060</t>
  </si>
  <si>
    <t>SFBM-H061</t>
  </si>
  <si>
    <t>SFBM-H062</t>
  </si>
  <si>
    <t>SFBM-H063</t>
  </si>
  <si>
    <t>SFBM-H064</t>
  </si>
  <si>
    <t>SFBM-H065</t>
  </si>
  <si>
    <t>SFBM-H066</t>
  </si>
  <si>
    <t>SFBM-H067</t>
  </si>
  <si>
    <t>SFBM-M002</t>
  </si>
  <si>
    <t>SFBM-M003</t>
  </si>
  <si>
    <t>SFBM-M005</t>
  </si>
  <si>
    <t>SFBM-M006</t>
  </si>
  <si>
    <t>SFBM-M007</t>
  </si>
  <si>
    <t>SFBM-M008</t>
  </si>
  <si>
    <t>SFBM-M009</t>
  </si>
  <si>
    <t>SFBM-M010</t>
  </si>
  <si>
    <t>SFBM-M011</t>
  </si>
  <si>
    <t>SFBM-M012</t>
  </si>
  <si>
    <t>SFBM-M013</t>
  </si>
  <si>
    <t>SFBM-M014</t>
  </si>
  <si>
    <t>SFBM-M015</t>
  </si>
  <si>
    <t>SFBM-M016</t>
  </si>
  <si>
    <t>SFBM-M017</t>
  </si>
  <si>
    <t>SFBM-M018</t>
  </si>
  <si>
    <t>SFBM-M019</t>
  </si>
  <si>
    <t>SFBM-M020</t>
  </si>
  <si>
    <t>SFBM-M021</t>
  </si>
  <si>
    <t>SFBM-M022</t>
  </si>
  <si>
    <t>SFBM-M023</t>
  </si>
  <si>
    <t>SFBM-M025</t>
  </si>
  <si>
    <t>SFBM-M026</t>
  </si>
  <si>
    <t>SFBM-M027</t>
  </si>
  <si>
    <t>SFBM-M028</t>
  </si>
  <si>
    <t>SFBM-M029</t>
  </si>
  <si>
    <t>SFBM-M030</t>
  </si>
  <si>
    <t>SFBM-M031</t>
  </si>
  <si>
    <t>SFBM-M032</t>
  </si>
  <si>
    <t>SFBM-M033</t>
  </si>
  <si>
    <t>SFBM-M034</t>
  </si>
  <si>
    <t>SFBM-M035</t>
  </si>
  <si>
    <t>SFBM-M036</t>
  </si>
  <si>
    <t>SFBM-M037</t>
  </si>
  <si>
    <t>SFBM-M039</t>
  </si>
  <si>
    <t>SFBM-M040</t>
  </si>
  <si>
    <t>SFBM-M041</t>
  </si>
  <si>
    <t>SFBM-M042</t>
  </si>
  <si>
    <t>SFBM-M044</t>
  </si>
  <si>
    <t>SFBM-M045</t>
  </si>
  <si>
    <t>SFBM-M046</t>
  </si>
  <si>
    <t>SFBM-M047</t>
  </si>
  <si>
    <t>SFBM-M048</t>
  </si>
  <si>
    <t>SFBM-M049</t>
  </si>
  <si>
    <t>SFBM-M050</t>
  </si>
  <si>
    <t>SFBM-M051</t>
  </si>
  <si>
    <t>SFBM-M053</t>
  </si>
  <si>
    <t>SFBM-M054</t>
  </si>
  <si>
    <t>SFBM-M055</t>
  </si>
  <si>
    <t>SFBM-M056</t>
  </si>
  <si>
    <t>SFBM-M057</t>
  </si>
  <si>
    <t>SFBM-M058</t>
  </si>
  <si>
    <t>SFBM-M059</t>
  </si>
  <si>
    <t>SFBM-M060</t>
  </si>
  <si>
    <t>SFBM-M061</t>
  </si>
  <si>
    <t>SFBM-M062</t>
  </si>
  <si>
    <t>SFBM-M063</t>
  </si>
  <si>
    <t>SFBM-M064</t>
  </si>
  <si>
    <t>SFBM-M066</t>
  </si>
  <si>
    <t>SFBM-M067</t>
  </si>
  <si>
    <t>SFBM-M068</t>
  </si>
  <si>
    <t>SFBM-M069</t>
  </si>
  <si>
    <t>SFBM-M070</t>
  </si>
  <si>
    <t>01108119676</t>
  </si>
  <si>
    <t>SFBM-H068</t>
  </si>
  <si>
    <t>SFBM-H069</t>
  </si>
  <si>
    <t>SFBM-H070</t>
  </si>
  <si>
    <t>Karien Ehab Shawky Gaballah</t>
  </si>
  <si>
    <t>01006539065</t>
  </si>
  <si>
    <t>Salary Differences</t>
  </si>
  <si>
    <t>Abdelrahman Ashraf Ramady</t>
  </si>
  <si>
    <t>Alaa Wael Abdel Nabi Ali</t>
  </si>
  <si>
    <t xml:space="preserve">Donia Fouad Abdel Fattah Abdel Gawad  </t>
  </si>
  <si>
    <t>Gaser Nehad Mounir Hassan</t>
  </si>
  <si>
    <t>29811060104171</t>
  </si>
  <si>
    <t>Ismail Rushdi Mohammad Khalil</t>
  </si>
  <si>
    <t>Malak Ashraf Ramady</t>
  </si>
  <si>
    <t>Rana Mohamed Ismail</t>
  </si>
  <si>
    <t>Sabah Nasser Shahat Mahmoud</t>
  </si>
  <si>
    <t>Shahd Mohamed Ismail</t>
  </si>
  <si>
    <t>Walid Masoud Sufi Abu Seif</t>
  </si>
  <si>
    <t>Ziad Ahmed Abdel Qader Emam</t>
  </si>
  <si>
    <t>SFBM-M072</t>
  </si>
  <si>
    <t>SFBM-M073</t>
  </si>
  <si>
    <t>SFBM-M074</t>
  </si>
  <si>
    <t>SFBM-M075</t>
  </si>
  <si>
    <t>SFBM-M076</t>
  </si>
  <si>
    <t>SFBM-M077</t>
  </si>
  <si>
    <t>01055339713</t>
  </si>
  <si>
    <t>01501589890</t>
  </si>
  <si>
    <t>01050955194</t>
  </si>
  <si>
    <t>Habiba Nagi Eissa Ali</t>
  </si>
  <si>
    <t>Dalia mohamed taher</t>
  </si>
  <si>
    <t>Farah Mohamed Hanafy</t>
  </si>
  <si>
    <t>Hager Ibrahim gadalla</t>
  </si>
  <si>
    <t>Ibrahim Gamal Ali Mohamed</t>
  </si>
  <si>
    <t>5078035070886967</t>
  </si>
  <si>
    <t>01018590590</t>
  </si>
  <si>
    <t>5078034829990915</t>
  </si>
  <si>
    <t xml:space="preserve">5078034899277037 </t>
  </si>
  <si>
    <t>01202478977</t>
  </si>
  <si>
    <t>01126387237</t>
  </si>
  <si>
    <t>01026238776</t>
  </si>
  <si>
    <t>SFBM-H071</t>
  </si>
  <si>
    <t>SFBM-H072</t>
  </si>
  <si>
    <t>SFBM-H073</t>
  </si>
  <si>
    <t>01127113473</t>
  </si>
  <si>
    <t>01019577574</t>
  </si>
  <si>
    <t>01129719054</t>
  </si>
  <si>
    <t>01010076786</t>
  </si>
  <si>
    <t>5078035084226945</t>
  </si>
  <si>
    <t>Cost</t>
  </si>
  <si>
    <t>Total Cost</t>
  </si>
  <si>
    <t>Office Helper</t>
  </si>
  <si>
    <t>Sayed Nady Mahmoud</t>
  </si>
  <si>
    <t>01212303951</t>
  </si>
  <si>
    <t>Samera hassan reyad</t>
  </si>
  <si>
    <t>assist</t>
  </si>
  <si>
    <t>Dopay</t>
  </si>
  <si>
    <t>5078035064619812</t>
  </si>
  <si>
    <t>Mahmoued medhat Ahmed Elsayed</t>
  </si>
  <si>
    <t>SFBM-M001</t>
  </si>
  <si>
    <t>SFBM-M004</t>
  </si>
  <si>
    <t>SFBM-M024</t>
  </si>
  <si>
    <t>SFBM-M038</t>
  </si>
  <si>
    <t>SFBM-M043</t>
  </si>
  <si>
    <t>SFBM-M052</t>
  </si>
  <si>
    <t>SFBM-M065</t>
  </si>
  <si>
    <t>Mahmoud Emad Mohamed Hussine</t>
  </si>
  <si>
    <t>Saudi Hesham Saeed</t>
  </si>
  <si>
    <t>30308101403636</t>
  </si>
  <si>
    <t>SFBM-H013</t>
  </si>
  <si>
    <t>SFBM-H019</t>
  </si>
  <si>
    <t>SFBM-H032</t>
  </si>
  <si>
    <t>SFBM-H047</t>
  </si>
  <si>
    <t>SFBM-H048</t>
  </si>
  <si>
    <t>SFBM-H052</t>
  </si>
  <si>
    <t>Operator</t>
  </si>
  <si>
    <t>Team leader</t>
  </si>
  <si>
    <t>Assist</t>
  </si>
  <si>
    <t>supervisor</t>
  </si>
  <si>
    <t>01021720607</t>
  </si>
  <si>
    <t>01011802764</t>
  </si>
  <si>
    <t>01149137260</t>
  </si>
  <si>
    <t>01003271390</t>
  </si>
  <si>
    <t>01143539896</t>
  </si>
  <si>
    <t>01097747208</t>
  </si>
  <si>
    <t>01117456217</t>
  </si>
  <si>
    <t>01023288913</t>
  </si>
  <si>
    <t>5078034839122681</t>
  </si>
  <si>
    <t>01128829679</t>
  </si>
  <si>
    <t>01155395226</t>
  </si>
  <si>
    <t>5078034822820192</t>
  </si>
  <si>
    <t>5078034869494943</t>
  </si>
  <si>
    <t>01153676556</t>
  </si>
  <si>
    <t>01066878643</t>
  </si>
  <si>
    <t>01109885605</t>
  </si>
  <si>
    <t>5078034846783244</t>
  </si>
  <si>
    <t>5078034893727946</t>
  </si>
  <si>
    <t>01102640989</t>
  </si>
  <si>
    <t>01154312846</t>
  </si>
  <si>
    <t>01063191183</t>
  </si>
  <si>
    <t>5078035022830303</t>
  </si>
  <si>
    <t>01118530241</t>
  </si>
  <si>
    <t>01032858590</t>
  </si>
  <si>
    <t>01034847076</t>
  </si>
  <si>
    <t>01552603388</t>
  </si>
  <si>
    <t>01105490183</t>
  </si>
  <si>
    <t>01148499949</t>
  </si>
  <si>
    <t>01143429764</t>
  </si>
  <si>
    <t>01123021622</t>
  </si>
  <si>
    <t>01118148200</t>
  </si>
  <si>
    <t>01225385583</t>
  </si>
  <si>
    <t>01019503926</t>
  </si>
  <si>
    <t>01019731728</t>
  </si>
  <si>
    <t>01205023248</t>
  </si>
  <si>
    <t>01020568859</t>
  </si>
  <si>
    <t>01109629080</t>
  </si>
  <si>
    <t>01148498844</t>
  </si>
  <si>
    <t>5078034850971180</t>
  </si>
  <si>
    <t>01106101979</t>
  </si>
  <si>
    <t>01032998678</t>
  </si>
  <si>
    <t>5078035011300359</t>
  </si>
  <si>
    <t>01044368041</t>
  </si>
  <si>
    <t>01050760573</t>
  </si>
  <si>
    <t>01122504470</t>
  </si>
  <si>
    <t>5078034845482988</t>
  </si>
  <si>
    <t>5078035090594708</t>
  </si>
  <si>
    <t>01282893406</t>
  </si>
  <si>
    <t>01140082754</t>
  </si>
  <si>
    <t>01117028410</t>
  </si>
  <si>
    <t>01142955794</t>
  </si>
  <si>
    <t>SFBM-M078</t>
  </si>
  <si>
    <t>SFBM-M079</t>
  </si>
  <si>
    <t>SFBM-M080</t>
  </si>
  <si>
    <t>SFBM-M081</t>
  </si>
  <si>
    <t>SFBM-M082</t>
  </si>
  <si>
    <t>SFBM-M083</t>
  </si>
  <si>
    <t>SFBM-M084</t>
  </si>
  <si>
    <t>SFBM-M085</t>
  </si>
  <si>
    <t>SFBM-M086</t>
  </si>
  <si>
    <t>SFBM-M087</t>
  </si>
  <si>
    <t>SFBM-M088</t>
  </si>
  <si>
    <t>SFBM-M089</t>
  </si>
  <si>
    <t>SFBM-M090</t>
  </si>
  <si>
    <t>SFBM-M091</t>
  </si>
  <si>
    <t>SFBM-M092</t>
  </si>
  <si>
    <t>SFBM-M093</t>
  </si>
  <si>
    <t>SFBM-M094</t>
  </si>
  <si>
    <t>SFBM-M095</t>
  </si>
  <si>
    <t>SFBM-M096</t>
  </si>
  <si>
    <t>SFBM-M097</t>
  </si>
  <si>
    <t>SFBM-M098</t>
  </si>
  <si>
    <t>SFBM-M099</t>
  </si>
  <si>
    <t>SFBM-M100</t>
  </si>
  <si>
    <t>SFBM-M101</t>
  </si>
  <si>
    <t>SFBM-M102</t>
  </si>
  <si>
    <t>SFBM-M103</t>
  </si>
  <si>
    <t>SFBM-M104</t>
  </si>
  <si>
    <t>SFBM-M105</t>
  </si>
  <si>
    <t>SFBM-M106</t>
  </si>
  <si>
    <t>SFBM-M107</t>
  </si>
  <si>
    <t>SFBM-M108</t>
  </si>
  <si>
    <t>SFBM-M109</t>
  </si>
  <si>
    <t>SFBM-M110</t>
  </si>
  <si>
    <t>SFBM-M111</t>
  </si>
  <si>
    <t>SFBM-M112</t>
  </si>
  <si>
    <t>SFBM-M113</t>
  </si>
  <si>
    <t>SFBM-M114</t>
  </si>
  <si>
    <t>SFBM-M115</t>
  </si>
  <si>
    <t>SFBM-M116</t>
  </si>
  <si>
    <t>SFBM-M117</t>
  </si>
  <si>
    <t>SFBM-M118</t>
  </si>
  <si>
    <t>SFBM-M119</t>
  </si>
  <si>
    <t>SFBM-M120</t>
  </si>
  <si>
    <t>SFBM-M121</t>
  </si>
  <si>
    <t>SFBM-M122</t>
  </si>
  <si>
    <t>SFBM-M123</t>
  </si>
  <si>
    <t>SFBM-M124</t>
  </si>
  <si>
    <t>SFBM-M125</t>
  </si>
  <si>
    <t>SFBM-M126</t>
  </si>
  <si>
    <t>Menna Khaled Ali</t>
  </si>
  <si>
    <t>Nada karam mohamed</t>
  </si>
  <si>
    <t>Noura Hatem Abdel sadek Abbdelaziz</t>
  </si>
  <si>
    <t>rania saad ameer abdelmaabod</t>
  </si>
  <si>
    <t>shahd mohamed fathy</t>
  </si>
  <si>
    <t>yousef badawy atta</t>
  </si>
  <si>
    <t>yara mohamed ahmed</t>
  </si>
  <si>
    <t>mahmoud alaa mahmoud</t>
  </si>
  <si>
    <t>Huda raauf fathy ibrahim</t>
  </si>
  <si>
    <t>01157348055</t>
  </si>
  <si>
    <t>01141661258</t>
  </si>
  <si>
    <t>01140378613</t>
  </si>
  <si>
    <t>01029492129</t>
  </si>
  <si>
    <t>01144124171</t>
  </si>
  <si>
    <t>01114566316</t>
  </si>
  <si>
    <t>01128581657</t>
  </si>
  <si>
    <t>01220262394</t>
  </si>
  <si>
    <t>01010487786</t>
  </si>
  <si>
    <t>01203321336</t>
  </si>
  <si>
    <t>01004559529</t>
  </si>
  <si>
    <t>Menna Allah  Ibrahim Abdelhamed Elsayed</t>
  </si>
  <si>
    <t>Kawthar Mustsfa Ahmed</t>
  </si>
  <si>
    <t>Sherouk TAWFIK Farihi</t>
  </si>
  <si>
    <t>01149011717</t>
  </si>
  <si>
    <t>01091894733</t>
  </si>
  <si>
    <t>operator</t>
  </si>
  <si>
    <t>team leader</t>
  </si>
  <si>
    <t>SFBM-H004</t>
  </si>
  <si>
    <t>adham sabry saleh elsayed</t>
  </si>
  <si>
    <t>alaa khaled abdelazzem mohamed</t>
  </si>
  <si>
    <t>ali hassan ali hassan</t>
  </si>
  <si>
    <t>amal mohamed anwar mahmoud</t>
  </si>
  <si>
    <t>arwa nhad monir hassan</t>
  </si>
  <si>
    <t>aya naser mohamed ayoub</t>
  </si>
  <si>
    <t>basmala mahmoud ahmed saleh</t>
  </si>
  <si>
    <t>dina ashraf abozeyd qenawy</t>
  </si>
  <si>
    <t>doaa hassan moursy abdelaal</t>
  </si>
  <si>
    <t>esraa ashraf sobhy</t>
  </si>
  <si>
    <t>esraa magdy saad edris</t>
  </si>
  <si>
    <t>esraa tarek mahrous mohamed</t>
  </si>
  <si>
    <t>ezzelden mohamed ezzelden ammer</t>
  </si>
  <si>
    <t>fatma sayed ali sayed</t>
  </si>
  <si>
    <t>habiba sayed baiomy abdelfattah</t>
  </si>
  <si>
    <t>hadeer abdelali kamal abdelali</t>
  </si>
  <si>
    <t>hager tarek mahrous mohamed</t>
  </si>
  <si>
    <t>huda gamal ali abdelnaby</t>
  </si>
  <si>
    <t>khaled hegazy afify abdelhalim</t>
  </si>
  <si>
    <t>madona zakaria eshaq danial</t>
  </si>
  <si>
    <t>mahmoud ahmed abdelsalam abdelnaby</t>
  </si>
  <si>
    <t>mahmoud kamal salahelden mostafa</t>
  </si>
  <si>
    <t>malak adel mohamed ahmed</t>
  </si>
  <si>
    <t>manal bakr mgahed zaky</t>
  </si>
  <si>
    <t>manar ramadan karam abdelraheem</t>
  </si>
  <si>
    <t>marwa abdelrhem saalh abdelrhem</t>
  </si>
  <si>
    <t>nariman hessein mahmoud amin</t>
  </si>
  <si>
    <t>noha ragab abdelsamad abdelfattah</t>
  </si>
  <si>
    <t>nourelden mohamed ezzelden ammer</t>
  </si>
  <si>
    <t>nourhan hassan halmy zaki</t>
  </si>
  <si>
    <t>radwan abdelnasr gad elkarem</t>
  </si>
  <si>
    <t>rana mosaud ibrahim ismael</t>
  </si>
  <si>
    <t>rana mostafa saad elsheemi</t>
  </si>
  <si>
    <t>rawan mohamed ibrahim hassan</t>
  </si>
  <si>
    <t>saeed mostafa farouk saeed</t>
  </si>
  <si>
    <t>safia sayed metwaly sayed</t>
  </si>
  <si>
    <t>saif ragab mohamed mohamed</t>
  </si>
  <si>
    <t>salam mohamed ramdan morsy</t>
  </si>
  <si>
    <t>salma bakr mgahed zaki</t>
  </si>
  <si>
    <t>sara mohamed fathy mahrous</t>
  </si>
  <si>
    <t>sayed khaled sayed sliman</t>
  </si>
  <si>
    <t>shahd adel tawfek elsayed</t>
  </si>
  <si>
    <t>shaimaa saliman alwaan bastawy</t>
  </si>
  <si>
    <t>sherin ismail makhamer abozeyd</t>
  </si>
  <si>
    <t>sherouk gamal metouly hassan</t>
  </si>
  <si>
    <t>shrouk ehab fouad aboelalaa</t>
  </si>
  <si>
    <t>shrouk mohamed abdalaa eliwa</t>
  </si>
  <si>
    <t>tabark mahmoud ahmed mohamed</t>
  </si>
  <si>
    <t>yousef ahmed saaed mohamed</t>
  </si>
  <si>
    <t>zainab abdelsalam fakry abdelsalam</t>
  </si>
  <si>
    <t>zainab hassan abdelatti mohamed</t>
  </si>
  <si>
    <t>ziad mahmoud yousef mahrous</t>
  </si>
  <si>
    <t>Mona Kamal Khalil Ahmed</t>
  </si>
  <si>
    <t>Bassem Mohamed ibrahim Ali</t>
  </si>
  <si>
    <t>Zeinab MAROUF HUSSIEN ibrahim</t>
  </si>
  <si>
    <t>Esraa Walid Abdelrady</t>
  </si>
  <si>
    <t>Yara Hafez  Hessein Sayed</t>
  </si>
  <si>
    <t>Kholood ABDELNASER Zidan</t>
  </si>
  <si>
    <t>Karema khaled Sayed Sliman</t>
  </si>
  <si>
    <t>01117829569</t>
  </si>
  <si>
    <t>01023251902</t>
  </si>
  <si>
    <t>01127636168</t>
  </si>
  <si>
    <t>01203901854</t>
  </si>
  <si>
    <t>01022134864</t>
  </si>
  <si>
    <t>01050064709</t>
  </si>
  <si>
    <t>SFBM-M071</t>
  </si>
  <si>
    <t>SFBM-M127</t>
  </si>
  <si>
    <t>SFBM-M128</t>
  </si>
  <si>
    <t>SFBM-M129</t>
  </si>
  <si>
    <t>SFBM-M130</t>
  </si>
  <si>
    <t>SFBM-M131</t>
  </si>
  <si>
    <t>SFBM-M132</t>
  </si>
  <si>
    <t>Card</t>
  </si>
  <si>
    <t>Moemen Essam Tawfek Soliman</t>
  </si>
  <si>
    <t xml:space="preserve">zinab mostafa ahmed </t>
  </si>
  <si>
    <t>farah sayed elsabry</t>
  </si>
  <si>
    <t>omar ibrahim elsayed</t>
  </si>
  <si>
    <t>farah salah abdelaty</t>
  </si>
  <si>
    <t>ahmed sabry salman</t>
  </si>
  <si>
    <t>ahmed ali salem</t>
  </si>
  <si>
    <t>yousef mohamed fathy</t>
  </si>
  <si>
    <t>sagda ibrahim gadelkarim</t>
  </si>
  <si>
    <t>mohamed ahmed elsayed</t>
  </si>
  <si>
    <t>aya ali ibrahim</t>
  </si>
  <si>
    <t>noha ahmed mohamed</t>
  </si>
  <si>
    <t>rahma ahmed abdelfattah</t>
  </si>
  <si>
    <t>khaled hazem ahmed</t>
  </si>
  <si>
    <t>asma mohamed abdelrazik</t>
  </si>
  <si>
    <t>hager anter amam</t>
  </si>
  <si>
    <t>noura mahros naser elden</t>
  </si>
  <si>
    <t>aya alaa fathy</t>
  </si>
  <si>
    <t>mayson magdy abdelmaboud</t>
  </si>
  <si>
    <t xml:space="preserve">abdallah ahmed saeed </t>
  </si>
  <si>
    <t>ismail hassan ismail</t>
  </si>
  <si>
    <t>kerols ashraf shahata</t>
  </si>
  <si>
    <t>mohamed elsayed aboelftoh</t>
  </si>
  <si>
    <t>amr khaled mohamed</t>
  </si>
  <si>
    <t>eslam abdelrhman sayed</t>
  </si>
  <si>
    <t>abdallah naser mahmoud</t>
  </si>
  <si>
    <t>amr alaa sayed</t>
  </si>
  <si>
    <t xml:space="preserve">yousef gaber abdelraoof </t>
  </si>
  <si>
    <t>yousef ali galal</t>
  </si>
  <si>
    <t>mohamed magdy silem</t>
  </si>
  <si>
    <t>yousef mohamed ebrahim</t>
  </si>
  <si>
    <t>ziad elsayed badwy</t>
  </si>
  <si>
    <t xml:space="preserve">mahamed waleed mahmoud </t>
  </si>
  <si>
    <t>yousef ahmed zkaria</t>
  </si>
  <si>
    <t>mahmoud abdelaal hassan</t>
  </si>
  <si>
    <t>karim mohamed araby</t>
  </si>
  <si>
    <t>mohamed hwany ismaiel</t>
  </si>
  <si>
    <t>rahma mohamed mohamed</t>
  </si>
  <si>
    <t>kholoud khaled abdelhamed</t>
  </si>
  <si>
    <t>farah mahmoud mohamed</t>
  </si>
  <si>
    <t>01211144757</t>
  </si>
  <si>
    <t>01036322328</t>
  </si>
  <si>
    <t>01140263781</t>
  </si>
  <si>
    <t>01080475634</t>
  </si>
  <si>
    <t>01202622548</t>
  </si>
  <si>
    <t>01123999712</t>
  </si>
  <si>
    <t>01040525279</t>
  </si>
  <si>
    <t>01095819251</t>
  </si>
  <si>
    <t>01066582043</t>
  </si>
  <si>
    <t>01015676199</t>
  </si>
  <si>
    <t>01146827268</t>
  </si>
  <si>
    <t>01128314382</t>
  </si>
  <si>
    <t>01144264909</t>
  </si>
  <si>
    <t>01009568124</t>
  </si>
  <si>
    <t>01113698803</t>
  </si>
  <si>
    <t>01030658093</t>
  </si>
  <si>
    <t>01097936453</t>
  </si>
  <si>
    <t>01097550842</t>
  </si>
  <si>
    <t>5078034873925411</t>
  </si>
  <si>
    <t>01124472668</t>
  </si>
  <si>
    <t>5078035032592075</t>
  </si>
  <si>
    <t>01030093507</t>
  </si>
  <si>
    <t>01159477353</t>
  </si>
  <si>
    <t>01147817010</t>
  </si>
  <si>
    <t>01115639651</t>
  </si>
  <si>
    <t>01044014791</t>
  </si>
  <si>
    <t>01066967902</t>
  </si>
  <si>
    <t>01090236437</t>
  </si>
  <si>
    <t>01108133172</t>
  </si>
  <si>
    <t>01020081820</t>
  </si>
  <si>
    <t>01554374886</t>
  </si>
  <si>
    <t>01104283424</t>
  </si>
  <si>
    <t>01094110191</t>
  </si>
  <si>
    <t>01105068170</t>
  </si>
  <si>
    <t>01144340654</t>
  </si>
  <si>
    <t>01022590284</t>
  </si>
  <si>
    <t>SFBM-H030</t>
  </si>
  <si>
    <t>SFBM-H074</t>
  </si>
  <si>
    <t>SFBM-H075</t>
  </si>
  <si>
    <t>SFBM-H076</t>
  </si>
  <si>
    <t>SFBM-H077</t>
  </si>
  <si>
    <t>SFBM-H078</t>
  </si>
  <si>
    <t>SFBM-H079</t>
  </si>
  <si>
    <t>SFBM-H080</t>
  </si>
  <si>
    <t>SFBM-H081</t>
  </si>
  <si>
    <t>SFBM-H082</t>
  </si>
  <si>
    <t>SFBM-H083</t>
  </si>
  <si>
    <t>SFBM-H084</t>
  </si>
  <si>
    <t>SFBM-H085</t>
  </si>
  <si>
    <t>SFBM-H086</t>
  </si>
  <si>
    <t>SFBM-H087</t>
  </si>
  <si>
    <t>SFBM-H088</t>
  </si>
  <si>
    <t>SFBM-H089</t>
  </si>
  <si>
    <t>SFBM-H090</t>
  </si>
  <si>
    <t>SFBM-H091</t>
  </si>
  <si>
    <t>SFBM-H092</t>
  </si>
  <si>
    <t>SFBM-H093</t>
  </si>
  <si>
    <t>SFBM-H094</t>
  </si>
  <si>
    <t>SFBM-H095</t>
  </si>
  <si>
    <t>SFBM-H096</t>
  </si>
  <si>
    <t>SFBM-H097</t>
  </si>
  <si>
    <t>SFBM-H098</t>
  </si>
  <si>
    <t>30107501058226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</si>
</sst>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EGP&quot;* #,##0_);_(&quot;EGP&quot;* \(#,##0\);_(&quot;EGP&quot;* &quot;-&quot;??_);_(@_)"/>
    <numFmt numFmtId="166" formatCode="0.0"/>
    <numFmt numFmtId="167" formatCode="mmmm\ yyyy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sz val="12"/>
      <color rgb="FF000000"/>
      <name val="Arial"/>
      <family val="2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2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BDC"/>
        <bgColor indexed="64"/>
      </patternFill>
    </fill>
    <fill>
      <patternFill patternType="solid">
        <fgColor rgb="FFFFFCD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4" fillId="0" borderId="0">
      <protection locked="0"/>
    </xf>
    <xf numFmtId="0" fontId="18" fillId="0" borderId="0"/>
    <xf numFmtId="0" fontId="14" fillId="0" borderId="0">
      <protection locked="0"/>
    </xf>
    <xf numFmtId="0" fontId="20" fillId="0" borderId="0"/>
    <xf numFmtId="0" fontId="7" fillId="16" borderId="1">
      <alignment horizontal="center" vertical="center"/>
    </xf>
  </cellStyleXfs>
  <cellXfs count="88">
    <xf numFmtId="0" fontId="0" fillId="0" borderId="0" xfId="0"/>
    <xf numFmtId="43" fontId="8" fillId="0" borderId="1" xfId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/>
    </xf>
    <xf numFmtId="164" fontId="8" fillId="3" borderId="1" xfId="1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164" fontId="9" fillId="0" borderId="1" xfId="1" applyNumberFormat="1" applyFont="1" applyBorder="1" applyAlignment="1">
      <alignment horizontal="center" vertical="center"/>
    </xf>
    <xf numFmtId="43" fontId="9" fillId="0" borderId="1" xfId="1" applyFont="1" applyBorder="1" applyAlignment="1">
      <alignment horizontal="center" vertical="center"/>
    </xf>
    <xf numFmtId="164" fontId="9" fillId="5" borderId="1" xfId="1" applyNumberFormat="1" applyFont="1" applyFill="1" applyBorder="1" applyAlignment="1">
      <alignment horizontal="center" vertical="center"/>
    </xf>
    <xf numFmtId="164" fontId="9" fillId="3" borderId="1" xfId="1" applyNumberFormat="1" applyFont="1" applyFill="1" applyBorder="1" applyAlignment="1">
      <alignment horizontal="center" vertical="center"/>
    </xf>
    <xf numFmtId="164" fontId="10" fillId="4" borderId="1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49" fontId="15" fillId="11" borderId="6" xfId="3" applyNumberFormat="1" applyFont="1" applyFill="1" applyBorder="1" applyAlignment="1">
      <alignment horizontal="center" vertical="center"/>
      <protection locked="0"/>
    </xf>
    <xf numFmtId="49" fontId="15" fillId="12" borderId="6" xfId="3" applyNumberFormat="1" applyFont="1" applyFill="1" applyBorder="1" applyAlignment="1">
      <alignment horizontal="center" vertical="center"/>
      <protection locked="0"/>
    </xf>
    <xf numFmtId="1" fontId="4" fillId="7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vertical="center"/>
    </xf>
    <xf numFmtId="41" fontId="9" fillId="5" borderId="1" xfId="1" applyNumberFormat="1" applyFont="1" applyFill="1" applyBorder="1" applyAlignment="1">
      <alignment horizontal="center" vertical="center"/>
    </xf>
    <xf numFmtId="41" fontId="9" fillId="0" borderId="1" xfId="1" applyNumberFormat="1" applyFont="1" applyBorder="1" applyAlignment="1">
      <alignment horizontal="center" vertical="center"/>
    </xf>
    <xf numFmtId="41" fontId="10" fillId="4" borderId="1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5" fontId="16" fillId="0" borderId="7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/>
    </xf>
    <xf numFmtId="166" fontId="9" fillId="5" borderId="1" xfId="1" applyNumberFormat="1" applyFont="1" applyFill="1" applyBorder="1" applyAlignment="1">
      <alignment horizontal="center" vertical="center"/>
    </xf>
    <xf numFmtId="165" fontId="10" fillId="4" borderId="1" xfId="1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/>
    </xf>
    <xf numFmtId="0" fontId="10" fillId="4" borderId="1" xfId="1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/>
    </xf>
    <xf numFmtId="1" fontId="9" fillId="5" borderId="1" xfId="1" applyNumberFormat="1" applyFont="1" applyFill="1" applyBorder="1" applyAlignment="1">
      <alignment horizontal="center" vertical="center"/>
    </xf>
    <xf numFmtId="10" fontId="9" fillId="7" borderId="1" xfId="0" applyNumberFormat="1" applyFont="1" applyFill="1" applyBorder="1" applyAlignment="1">
      <alignment horizontal="center" vertical="center"/>
    </xf>
    <xf numFmtId="10" fontId="10" fillId="4" borderId="1" xfId="1" applyNumberFormat="1" applyFont="1" applyFill="1" applyBorder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" fontId="8" fillId="0" borderId="1" xfId="1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15" fillId="11" borderId="6" xfId="5" applyFont="1" applyFill="1" applyBorder="1" applyAlignment="1">
      <alignment horizontal="center"/>
      <protection locked="0"/>
    </xf>
    <xf numFmtId="49" fontId="15" fillId="11" borderId="6" xfId="5" applyNumberFormat="1" applyFont="1" applyFill="1" applyBorder="1" applyAlignment="1">
      <alignment horizontal="center"/>
      <protection locked="0"/>
    </xf>
    <xf numFmtId="49" fontId="15" fillId="12" borderId="6" xfId="5" applyNumberFormat="1" applyFont="1" applyFill="1" applyBorder="1" applyAlignment="1">
      <alignment horizontal="center" vertical="center"/>
      <protection locked="0"/>
    </xf>
    <xf numFmtId="49" fontId="15" fillId="12" borderId="6" xfId="5" applyNumberFormat="1" applyFont="1" applyFill="1" applyBorder="1" applyAlignment="1">
      <alignment horizontal="center"/>
      <protection locked="0"/>
    </xf>
    <xf numFmtId="0" fontId="15" fillId="12" borderId="6" xfId="5" applyFont="1" applyFill="1" applyBorder="1" applyAlignment="1">
      <alignment horizontal="center"/>
      <protection locked="0"/>
    </xf>
    <xf numFmtId="49" fontId="15" fillId="15" borderId="6" xfId="5" applyNumberFormat="1" applyFont="1" applyFill="1" applyBorder="1" applyAlignment="1">
      <alignment horizontal="center" vertical="center"/>
      <protection locked="0"/>
    </xf>
    <xf numFmtId="0" fontId="15" fillId="12" borderId="6" xfId="5" applyFont="1" applyFill="1" applyBorder="1" applyAlignment="1">
      <alignment horizontal="left" vertical="center"/>
      <protection locked="0"/>
    </xf>
    <xf numFmtId="49" fontId="15" fillId="11" borderId="6" xfId="5" applyNumberFormat="1" applyFont="1" applyFill="1" applyBorder="1" applyAlignment="1">
      <alignment horizontal="left" vertical="center"/>
      <protection locked="0"/>
    </xf>
    <xf numFmtId="0" fontId="15" fillId="11" borderId="6" xfId="5" applyFont="1" applyFill="1" applyBorder="1" applyAlignment="1">
      <alignment horizontal="left" vertical="center"/>
      <protection locked="0"/>
    </xf>
    <xf numFmtId="0" fontId="15" fillId="11" borderId="1" xfId="5" applyFont="1" applyFill="1" applyBorder="1" applyAlignment="1">
      <alignment horizontal="left" vertical="center"/>
      <protection locked="0"/>
    </xf>
    <xf numFmtId="1" fontId="8" fillId="0" borderId="1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0" fontId="19" fillId="0" borderId="1" xfId="6" applyFont="1" applyBorder="1" applyAlignment="1" applyProtection="1">
      <alignment horizontal="center" vertical="center"/>
      <protection locked="0"/>
    </xf>
    <xf numFmtId="49" fontId="19" fillId="0" borderId="1" xfId="6" applyNumberFormat="1" applyFont="1" applyBorder="1" applyAlignment="1" applyProtection="1">
      <alignment horizontal="center" vertical="center"/>
      <protection locked="0"/>
    </xf>
    <xf numFmtId="0" fontId="21" fillId="0" borderId="6" xfId="6" applyFont="1" applyBorder="1" applyAlignment="1" applyProtection="1">
      <alignment horizontal="center" vertical="center"/>
      <protection locked="0"/>
    </xf>
    <xf numFmtId="49" fontId="21" fillId="0" borderId="6" xfId="6" applyNumberFormat="1" applyFont="1" applyBorder="1" applyAlignment="1" applyProtection="1">
      <alignment horizontal="center" vertical="center"/>
      <protection locked="0"/>
    </xf>
    <xf numFmtId="10" fontId="9" fillId="9" borderId="1" xfId="2" applyNumberFormat="1" applyFont="1" applyFill="1" applyBorder="1" applyAlignment="1">
      <alignment horizontal="center" vertical="center"/>
    </xf>
    <xf numFmtId="10" fontId="1" fillId="9" borderId="1" xfId="2" applyNumberFormat="1" applyFont="1" applyFill="1" applyBorder="1" applyAlignment="1">
      <alignment horizontal="center" vertical="center"/>
    </xf>
    <xf numFmtId="0" fontId="12" fillId="13" borderId="8" xfId="0" applyFont="1" applyFill="1" applyBorder="1" applyAlignment="1">
      <alignment horizontal="center" vertical="center"/>
    </xf>
    <xf numFmtId="0" fontId="12" fillId="13" borderId="9" xfId="0" applyFont="1" applyFill="1" applyBorder="1" applyAlignment="1">
      <alignment horizontal="center" vertical="center"/>
    </xf>
    <xf numFmtId="0" fontId="12" fillId="13" borderId="11" xfId="0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167" fontId="11" fillId="8" borderId="5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2" fillId="13" borderId="10" xfId="0" applyFont="1" applyFill="1" applyBorder="1" applyAlignment="1">
      <alignment horizontal="center" vertical="center"/>
    </xf>
    <xf numFmtId="0" fontId="15" fillId="4" borderId="6" xfId="5" applyFont="1" applyFill="1" applyBorder="1" applyAlignment="1">
      <alignment horizontal="left" vertical="center"/>
      <protection locked="0"/>
    </xf>
    <xf numFmtId="0" fontId="15" fillId="4" borderId="6" xfId="5" applyFont="1" applyFill="1" applyBorder="1" applyAlignment="1">
      <alignment horizontal="center"/>
      <protection locked="0"/>
    </xf>
  </cellXfs>
  <cellStyles count="8">
    <cellStyle name="Comma" xfId="1" builtinId="3"/>
    <cellStyle name="Normal" xfId="0" builtinId="0"/>
    <cellStyle name="Normal 2" xfId="3"/>
    <cellStyle name="Normal 2 2" xfId="5"/>
    <cellStyle name="Normal 3" xfId="6"/>
    <cellStyle name="Normal 5" xfId="4"/>
    <cellStyle name="Percent" xfId="2" builtinId="5"/>
    <cellStyle name="Style 1" xfId="7"/>
  </cellStyles>
  <dxfs count="6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0" tint="-0.24994659260841701"/>
        </patternFill>
      </fill>
    </dxf>
    <dxf>
      <fill>
        <patternFill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CDC"/>
      <color rgb="FF93CEFF"/>
      <color rgb="FFFEDC65"/>
      <color rgb="FFFEDB66"/>
      <color rgb="FFFEDA66"/>
      <color rgb="FFEAC9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8"/>
  <sheetViews>
    <sheetView tabSelected="1" topLeftCell="A52" zoomScale="70" zoomScaleNormal="70" workbookViewId="0">
      <selection activeCell="C75" sqref="C75"/>
    </sheetView>
  </sheetViews>
  <sheetFormatPr defaultColWidth="9.26953125" defaultRowHeight="15.5" x14ac:dyDescent="0.35"/>
  <cols>
    <col min="1" max="1" width="17.90625" style="2" bestFit="1" customWidth="1"/>
    <col min="2" max="2" width="14.26953125" style="2" bestFit="1" customWidth="1"/>
    <col min="3" max="3" width="37.26953125" style="23" bestFit="1" customWidth="1"/>
    <col min="4" max="4" width="34.26953125" style="23" bestFit="1" customWidth="1"/>
    <col min="5" max="5" width="45.08984375" style="33" bestFit="1" customWidth="1"/>
    <col min="6" max="6" width="21.7265625" style="2" bestFit="1" customWidth="1"/>
    <col min="7" max="7" width="16.6328125" style="2" bestFit="1" customWidth="1"/>
    <col min="8" max="8" width="16.08984375" style="2" bestFit="1" customWidth="1"/>
    <col min="9" max="9" width="22.6328125" style="2" bestFit="1" customWidth="1"/>
    <col min="10" max="10" width="29.36328125" style="2" bestFit="1" customWidth="1"/>
    <col min="11" max="11" width="21.36328125" style="52" bestFit="1" customWidth="1"/>
    <col min="12" max="12" width="23" style="2" bestFit="1" customWidth="1"/>
    <col min="13" max="13" width="29.90625" style="2" bestFit="1" customWidth="1"/>
    <col min="14" max="14" width="31" style="2" bestFit="1" customWidth="1"/>
    <col min="15" max="15" width="25.36328125" style="2" bestFit="1" customWidth="1"/>
    <col min="16" max="16" width="22.08984375" bestFit="1" customWidth="1"/>
    <col min="17" max="17" width="23" style="2" bestFit="1" customWidth="1"/>
    <col min="18" max="18" width="21.26953125" style="2" bestFit="1" customWidth="1"/>
    <col min="19" max="20" width="27.26953125" style="2" bestFit="1" customWidth="1"/>
    <col min="21" max="21" width="19.36328125" style="2" bestFit="1" customWidth="1"/>
    <col min="22" max="22" width="17" style="2" bestFit="1" customWidth="1"/>
    <col min="23" max="23" width="16.26953125" style="2" bestFit="1" customWidth="1"/>
    <col min="24" max="24" width="25.26953125" style="2" bestFit="1" customWidth="1"/>
    <col min="25" max="25" width="25.90625" style="2" bestFit="1" customWidth="1"/>
    <col min="26" max="26" width="23.90625" style="2" bestFit="1" customWidth="1"/>
    <col min="27" max="27" width="26.08984375" style="2" bestFit="1" customWidth="1"/>
    <col min="28" max="28" width="22.6328125" style="2" bestFit="1" customWidth="1"/>
    <col min="29" max="29" width="23" style="2" bestFit="1" customWidth="1"/>
    <col min="30" max="30" width="26.08984375" style="2" bestFit="1" customWidth="1"/>
    <col min="31" max="31" width="13.90625" style="2" bestFit="1" customWidth="1"/>
    <col min="32" max="32" width="27.26953125" style="2" bestFit="1" customWidth="1"/>
    <col min="33" max="33" width="31.36328125" style="2" bestFit="1" customWidth="1"/>
    <col min="34" max="34" width="45" style="2" bestFit="1" customWidth="1"/>
    <col min="35" max="35" width="30.08984375" style="2" bestFit="1" customWidth="1"/>
    <col min="36" max="36" width="13.36328125" style="2" bestFit="1" customWidth="1"/>
    <col min="37" max="37" width="17.7265625" style="2" bestFit="1" customWidth="1"/>
    <col min="38" max="38" width="20.26953125" style="2" bestFit="1" customWidth="1"/>
    <col min="39" max="39" width="19.7265625" style="2" bestFit="1" customWidth="1"/>
    <col min="40" max="40" width="16.90625" style="2" bestFit="1" customWidth="1"/>
    <col min="41" max="41" width="31.26953125" style="2" bestFit="1" customWidth="1"/>
    <col min="42" max="42" width="27" style="2" bestFit="1" customWidth="1"/>
    <col min="43" max="43" width="15.81640625" bestFit="1" customWidth="1"/>
    <col min="44" max="16384" width="9.26953125" style="2"/>
  </cols>
  <sheetData>
    <row r="1" spans="1:43" ht="26" x14ac:dyDescent="0.35">
      <c r="A1" s="81">
        <v>45931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</row>
    <row r="2" spans="1:43" x14ac:dyDescent="0.35">
      <c r="A2" s="20" t="s">
        <v>149</v>
      </c>
      <c r="B2" s="20" t="s">
        <v>150</v>
      </c>
      <c r="C2" s="28" t="s">
        <v>256</v>
      </c>
      <c r="D2" s="28" t="s">
        <v>257</v>
      </c>
      <c r="E2" s="18" t="s">
        <v>2</v>
      </c>
      <c r="F2" s="15" t="s">
        <v>27</v>
      </c>
      <c r="G2" s="6" t="s">
        <v>11</v>
      </c>
      <c r="H2" s="7" t="s">
        <v>3</v>
      </c>
      <c r="I2" s="43" t="s">
        <v>5</v>
      </c>
      <c r="J2" s="43" t="s">
        <v>458</v>
      </c>
      <c r="K2" s="50" t="s">
        <v>23</v>
      </c>
      <c r="L2" s="8" t="s">
        <v>22</v>
      </c>
      <c r="M2" s="5" t="s">
        <v>6</v>
      </c>
      <c r="N2" s="5" t="s">
        <v>25</v>
      </c>
      <c r="O2" s="8" t="s">
        <v>4</v>
      </c>
      <c r="P2" s="43" t="s">
        <v>327</v>
      </c>
      <c r="Q2" s="22" t="s">
        <v>153</v>
      </c>
      <c r="R2" s="6" t="s">
        <v>7</v>
      </c>
      <c r="S2" s="5" t="s">
        <v>8</v>
      </c>
      <c r="T2" s="5" t="s">
        <v>9</v>
      </c>
      <c r="U2" s="7" t="s">
        <v>10</v>
      </c>
      <c r="V2" s="7" t="s">
        <v>0</v>
      </c>
      <c r="W2" s="46" t="s">
        <v>146</v>
      </c>
      <c r="X2" s="45" t="s">
        <v>24</v>
      </c>
      <c r="Y2" s="19" t="s">
        <v>13</v>
      </c>
      <c r="Z2" s="18" t="s">
        <v>147</v>
      </c>
      <c r="AA2" s="19" t="s">
        <v>148</v>
      </c>
      <c r="AB2" s="20" t="s">
        <v>152</v>
      </c>
      <c r="AC2" s="47" t="s">
        <v>22</v>
      </c>
      <c r="AD2" s="47" t="s">
        <v>14</v>
      </c>
      <c r="AE2" s="8" t="s">
        <v>18</v>
      </c>
      <c r="AF2" s="8" t="s">
        <v>21</v>
      </c>
      <c r="AG2" s="8" t="s">
        <v>19</v>
      </c>
      <c r="AH2" s="36" t="s">
        <v>306</v>
      </c>
      <c r="AI2" s="36" t="s">
        <v>307</v>
      </c>
      <c r="AJ2" s="8" t="s">
        <v>15</v>
      </c>
      <c r="AK2" s="8" t="s">
        <v>16</v>
      </c>
      <c r="AL2" s="8" t="s">
        <v>17</v>
      </c>
      <c r="AM2" s="7" t="s">
        <v>12</v>
      </c>
      <c r="AN2" s="7" t="s">
        <v>18</v>
      </c>
      <c r="AO2" s="5" t="s">
        <v>20</v>
      </c>
      <c r="AP2" s="40" t="s">
        <v>308</v>
      </c>
      <c r="AQ2" s="55" t="s">
        <v>500</v>
      </c>
    </row>
    <row r="3" spans="1:43" x14ac:dyDescent="0.35">
      <c r="A3" s="25" t="s">
        <v>151</v>
      </c>
      <c r="B3" s="44" t="s">
        <v>330</v>
      </c>
      <c r="C3" s="58" t="s">
        <v>182</v>
      </c>
      <c r="D3" s="63" t="s">
        <v>507</v>
      </c>
      <c r="E3" s="64" t="s">
        <v>120</v>
      </c>
      <c r="F3" s="69">
        <v>29909272104236</v>
      </c>
      <c r="G3" s="70" t="s">
        <v>526</v>
      </c>
      <c r="H3" s="72">
        <v>4000</v>
      </c>
      <c r="I3" s="72">
        <v>3000</v>
      </c>
      <c r="J3" s="31"/>
      <c r="K3" s="74">
        <v>1.05</v>
      </c>
      <c r="L3" s="9">
        <f t="shared" ref="L3:L30" si="0">+I3*K3</f>
        <v>3150</v>
      </c>
      <c r="M3" s="9">
        <v>0</v>
      </c>
      <c r="N3" s="9">
        <f t="shared" ref="N3:N30" si="1">30-X3</f>
        <v>30</v>
      </c>
      <c r="O3" s="9">
        <f t="shared" ref="O3:O30" si="2">M3*N3</f>
        <v>0</v>
      </c>
      <c r="P3" s="10">
        <f t="shared" ref="P3:P30" si="3">H3/30</f>
        <v>133.33333333333334</v>
      </c>
      <c r="Q3" s="10">
        <f t="shared" ref="Q3:Q30" si="4">L3/30</f>
        <v>105</v>
      </c>
      <c r="R3" s="10">
        <f t="shared" ref="R3:R30" si="5">Q3+P3</f>
        <v>238.33333333333334</v>
      </c>
      <c r="S3" s="10">
        <f t="shared" ref="S3:S30" si="6">+P3/8</f>
        <v>16.666666666666668</v>
      </c>
      <c r="T3" s="9">
        <v>28</v>
      </c>
      <c r="U3" s="9">
        <f t="shared" ref="U3:U30" si="7">+S3*T3</f>
        <v>466.66666666666669</v>
      </c>
      <c r="V3" s="9">
        <v>0</v>
      </c>
      <c r="W3" s="16">
        <f t="shared" ref="W3:W30" si="8">H3+L3+O3+U3+V3+J3</f>
        <v>7616.666666666667</v>
      </c>
      <c r="X3" s="30">
        <v>0</v>
      </c>
      <c r="Y3" s="30">
        <f t="shared" ref="Y3:Y30" si="9">R3*X3</f>
        <v>0</v>
      </c>
      <c r="Z3" s="38">
        <v>0</v>
      </c>
      <c r="AA3" s="30">
        <f t="shared" ref="AA3:AA30" si="10">P3*Z3</f>
        <v>0</v>
      </c>
      <c r="AB3" s="30">
        <v>0</v>
      </c>
      <c r="AC3" s="30">
        <f t="shared" ref="AC3:AC30" si="11">Q3*AB3</f>
        <v>0</v>
      </c>
      <c r="AD3" s="12">
        <f t="shared" ref="AD3:AD30" si="12">Y3+AA3+AC3</f>
        <v>0</v>
      </c>
      <c r="AE3" s="4">
        <f t="shared" ref="AE3:AE30" si="13">W3-AD3</f>
        <v>7616.666666666667</v>
      </c>
      <c r="AF3" s="3">
        <f t="shared" ref="AF3:AF56" si="14">7000/1.3</f>
        <v>5384.6153846153848</v>
      </c>
      <c r="AG3" s="3">
        <f t="shared" ref="AG3" si="15">+AF3*0.11</f>
        <v>592.30769230769238</v>
      </c>
      <c r="AH3" s="1">
        <v>1666.6666666666667</v>
      </c>
      <c r="AI3" s="1">
        <f t="shared" ref="AI3" si="16">(AE3-AG3-AH3)*12</f>
        <v>64292.307692307688</v>
      </c>
      <c r="AJ3" s="1">
        <f t="shared" ref="AJ3" si="17">IF(AND(AI3&gt;40000,AI3&lt;=55000),(AI3-40000)*10%,
IF(AND(AI3&gt;55000,AI3&lt;=70000),(AI3-55000)*15%+15000*10%,
IF(AND(AI3&gt;70000,AI3&lt;=200000),(AI3-70000)*20%+15000*10%+15000*15%,
IF(AND(AI3&gt;200000,AI3&lt;=400000),(AI3-200000)*22.5%+15000*10%+15000*15%+130000*20%,
IF(AND(AI3&gt;400000,AI3&lt;=600000),(AI3-400000)*25%+15000*10%+15000*15%+130000*20%+200000*22.5%,
IF(AND(AI3&gt;600000,AI3&lt;=700000),(AI3-400000)*25%+55000*10%+15000*15%+130000*20%+200000*22.5%,
IF(AND(AI3&gt;700000,AI3&lt;=800000),(AI3-400000)*25%+70000*15%+130000*20%+200000*22.5%,
IF(AND(AI3&gt;800000,AI3&lt;=900000),(AI3-400000)*25%+200000*20%+200000*22.5%,
IF(AND(AI3&gt;900000,AI3&lt;=1200000),(AI3-400000)*25%+400000*22.5%,
IF(AI3&gt;1200000,(AI3-1200000)*27.5%+1200000*25%))))))))))/12</f>
        <v>241.1538461538461</v>
      </c>
      <c r="AK3" s="3">
        <f t="shared" ref="AK3" si="18">+AE3*0.0005</f>
        <v>3.8083333333333336</v>
      </c>
      <c r="AL3" s="4">
        <f t="shared" ref="AL3:AL30" si="19">+AE3-AG3-AJ3-AK3</f>
        <v>6779.3967948717955</v>
      </c>
      <c r="AM3" s="3">
        <v>0</v>
      </c>
      <c r="AN3" s="4">
        <f t="shared" ref="AN3:AN30" si="20">+AL3-AM3</f>
        <v>6779.3967948717955</v>
      </c>
      <c r="AO3" s="1">
        <f t="shared" ref="AO3:AO30" si="21">+AF3*0.1875</f>
        <v>1009.6153846153846</v>
      </c>
      <c r="AP3" s="41">
        <v>10</v>
      </c>
      <c r="AQ3" s="54">
        <f t="shared" ref="AQ3:AQ43" si="22">AE3+AO3</f>
        <v>8626.2820512820508</v>
      </c>
    </row>
    <row r="4" spans="1:43" x14ac:dyDescent="0.35">
      <c r="A4" s="25" t="s">
        <v>151</v>
      </c>
      <c r="B4" s="44" t="s">
        <v>331</v>
      </c>
      <c r="C4" s="58" t="s">
        <v>156</v>
      </c>
      <c r="D4" s="63" t="s">
        <v>507</v>
      </c>
      <c r="E4" s="64" t="s">
        <v>66</v>
      </c>
      <c r="F4" s="69" t="s">
        <v>67</v>
      </c>
      <c r="G4" s="70" t="s">
        <v>526</v>
      </c>
      <c r="H4" s="72">
        <v>4000</v>
      </c>
      <c r="I4" s="72">
        <v>3000</v>
      </c>
      <c r="J4" s="31"/>
      <c r="K4" s="74">
        <v>1.05</v>
      </c>
      <c r="L4" s="9">
        <f t="shared" si="0"/>
        <v>3150</v>
      </c>
      <c r="M4" s="9">
        <v>0</v>
      </c>
      <c r="N4" s="9">
        <f t="shared" si="1"/>
        <v>30</v>
      </c>
      <c r="O4" s="9">
        <f t="shared" si="2"/>
        <v>0</v>
      </c>
      <c r="P4" s="10">
        <f t="shared" si="3"/>
        <v>133.33333333333334</v>
      </c>
      <c r="Q4" s="10">
        <f t="shared" si="4"/>
        <v>105</v>
      </c>
      <c r="R4" s="10">
        <f t="shared" si="5"/>
        <v>238.33333333333334</v>
      </c>
      <c r="S4" s="10">
        <f t="shared" si="6"/>
        <v>16.666666666666668</v>
      </c>
      <c r="T4" s="9">
        <v>44</v>
      </c>
      <c r="U4" s="9">
        <f t="shared" si="7"/>
        <v>733.33333333333337</v>
      </c>
      <c r="V4" s="9">
        <v>0</v>
      </c>
      <c r="W4" s="16">
        <f t="shared" si="8"/>
        <v>7883.333333333333</v>
      </c>
      <c r="X4" s="30">
        <v>0</v>
      </c>
      <c r="Y4" s="30">
        <f t="shared" si="9"/>
        <v>0</v>
      </c>
      <c r="Z4" s="38">
        <v>0</v>
      </c>
      <c r="AA4" s="30">
        <f t="shared" si="10"/>
        <v>0</v>
      </c>
      <c r="AB4" s="30">
        <v>0</v>
      </c>
      <c r="AC4" s="30">
        <f t="shared" si="11"/>
        <v>0</v>
      </c>
      <c r="AD4" s="12">
        <f t="shared" si="12"/>
        <v>0</v>
      </c>
      <c r="AE4" s="4">
        <f t="shared" si="13"/>
        <v>7883.333333333333</v>
      </c>
      <c r="AF4" s="3">
        <f t="shared" si="14"/>
        <v>5384.6153846153848</v>
      </c>
      <c r="AG4" s="3">
        <f t="shared" ref="AG4:AG57" si="23">+AF4*0.11</f>
        <v>592.30769230769238</v>
      </c>
      <c r="AH4" s="1">
        <v>1666.6666666666667</v>
      </c>
      <c r="AI4" s="1">
        <f t="shared" ref="AI4:AI57" si="24">(AE4-AG4-AH4)*12</f>
        <v>67492.307692307688</v>
      </c>
      <c r="AJ4" s="1">
        <f t="shared" ref="AJ4:AJ57" si="25">IF(AND(AI4&gt;40000,AI4&lt;=55000),(AI4-40000)*10%,
IF(AND(AI4&gt;55000,AI4&lt;=70000),(AI4-55000)*15%+15000*10%,
IF(AND(AI4&gt;70000,AI4&lt;=200000),(AI4-70000)*20%+15000*10%+15000*15%,
IF(AND(AI4&gt;200000,AI4&lt;=400000),(AI4-200000)*22.5%+15000*10%+15000*15%+130000*20%,
IF(AND(AI4&gt;400000,AI4&lt;=600000),(AI4-400000)*25%+15000*10%+15000*15%+130000*20%+200000*22.5%,
IF(AND(AI4&gt;600000,AI4&lt;=700000),(AI4-400000)*25%+55000*10%+15000*15%+130000*20%+200000*22.5%,
IF(AND(AI4&gt;700000,AI4&lt;=800000),(AI4-400000)*25%+70000*15%+130000*20%+200000*22.5%,
IF(AND(AI4&gt;800000,AI4&lt;=900000),(AI4-400000)*25%+200000*20%+200000*22.5%,
IF(AND(AI4&gt;900000,AI4&lt;=1200000),(AI4-400000)*25%+400000*22.5%,
IF(AI4&gt;1200000,(AI4-1200000)*27.5%+1200000*25%))))))))))/12</f>
        <v>281.15384615384613</v>
      </c>
      <c r="AK4" s="3">
        <f t="shared" ref="AK4:AK57" si="26">+AE4*0.0005</f>
        <v>3.9416666666666664</v>
      </c>
      <c r="AL4" s="4">
        <f t="shared" si="19"/>
        <v>7005.9301282051283</v>
      </c>
      <c r="AM4" s="3">
        <v>0</v>
      </c>
      <c r="AN4" s="4">
        <f t="shared" si="20"/>
        <v>7005.9301282051283</v>
      </c>
      <c r="AO4" s="1">
        <f t="shared" si="21"/>
        <v>1009.6153846153846</v>
      </c>
      <c r="AP4" s="41">
        <v>11</v>
      </c>
      <c r="AQ4" s="54">
        <f t="shared" si="22"/>
        <v>8892.9487179487169</v>
      </c>
    </row>
    <row r="5" spans="1:43" x14ac:dyDescent="0.35">
      <c r="A5" s="25" t="s">
        <v>151</v>
      </c>
      <c r="B5" s="44" t="s">
        <v>332</v>
      </c>
      <c r="C5" s="58" t="s">
        <v>157</v>
      </c>
      <c r="D5" s="63" t="s">
        <v>507</v>
      </c>
      <c r="E5" s="66" t="s">
        <v>68</v>
      </c>
      <c r="F5" s="69" t="s">
        <v>69</v>
      </c>
      <c r="G5" s="70" t="s">
        <v>526</v>
      </c>
      <c r="H5" s="72">
        <v>4000</v>
      </c>
      <c r="I5" s="72">
        <v>3000</v>
      </c>
      <c r="J5" s="31"/>
      <c r="K5" s="74">
        <v>1.05</v>
      </c>
      <c r="L5" s="9">
        <f t="shared" si="0"/>
        <v>3150</v>
      </c>
      <c r="M5" s="9">
        <v>0</v>
      </c>
      <c r="N5" s="9">
        <f t="shared" si="1"/>
        <v>30</v>
      </c>
      <c r="O5" s="9">
        <f t="shared" si="2"/>
        <v>0</v>
      </c>
      <c r="P5" s="10">
        <f t="shared" si="3"/>
        <v>133.33333333333334</v>
      </c>
      <c r="Q5" s="10">
        <f t="shared" si="4"/>
        <v>105</v>
      </c>
      <c r="R5" s="10">
        <f t="shared" si="5"/>
        <v>238.33333333333334</v>
      </c>
      <c r="S5" s="10">
        <f t="shared" si="6"/>
        <v>16.666666666666668</v>
      </c>
      <c r="T5" s="9">
        <v>44</v>
      </c>
      <c r="U5" s="9">
        <f t="shared" si="7"/>
        <v>733.33333333333337</v>
      </c>
      <c r="V5" s="9">
        <v>0</v>
      </c>
      <c r="W5" s="16">
        <f t="shared" si="8"/>
        <v>7883.333333333333</v>
      </c>
      <c r="X5" s="30">
        <v>0</v>
      </c>
      <c r="Y5" s="30">
        <f t="shared" si="9"/>
        <v>0</v>
      </c>
      <c r="Z5" s="38">
        <v>2</v>
      </c>
      <c r="AA5" s="30">
        <f t="shared" si="10"/>
        <v>266.66666666666669</v>
      </c>
      <c r="AB5" s="30">
        <v>0</v>
      </c>
      <c r="AC5" s="30">
        <f t="shared" si="11"/>
        <v>0</v>
      </c>
      <c r="AD5" s="12">
        <f t="shared" si="12"/>
        <v>266.66666666666669</v>
      </c>
      <c r="AE5" s="4">
        <f t="shared" si="13"/>
        <v>7616.6666666666661</v>
      </c>
      <c r="AF5" s="3">
        <f t="shared" si="14"/>
        <v>5384.6153846153848</v>
      </c>
      <c r="AG5" s="3">
        <f t="shared" si="23"/>
        <v>592.30769230769238</v>
      </c>
      <c r="AH5" s="1">
        <v>1666.6666666666667</v>
      </c>
      <c r="AI5" s="1">
        <f t="shared" si="24"/>
        <v>64292.307692307681</v>
      </c>
      <c r="AJ5" s="1">
        <f t="shared" si="25"/>
        <v>241.15384615384599</v>
      </c>
      <c r="AK5" s="3">
        <f t="shared" si="26"/>
        <v>3.8083333333333331</v>
      </c>
      <c r="AL5" s="4">
        <f t="shared" si="19"/>
        <v>6779.3967948717946</v>
      </c>
      <c r="AM5" s="3">
        <v>0</v>
      </c>
      <c r="AN5" s="4">
        <f t="shared" si="20"/>
        <v>6779.3967948717946</v>
      </c>
      <c r="AO5" s="1">
        <f t="shared" si="21"/>
        <v>1009.6153846153846</v>
      </c>
      <c r="AP5" s="41">
        <v>7</v>
      </c>
      <c r="AQ5" s="54">
        <f t="shared" si="22"/>
        <v>8626.2820512820508</v>
      </c>
    </row>
    <row r="6" spans="1:43" x14ac:dyDescent="0.35">
      <c r="A6" s="25" t="s">
        <v>151</v>
      </c>
      <c r="B6" s="44" t="s">
        <v>657</v>
      </c>
      <c r="C6" s="58" t="s">
        <v>495</v>
      </c>
      <c r="D6" s="63" t="s">
        <v>507</v>
      </c>
      <c r="E6" s="66" t="s">
        <v>481</v>
      </c>
      <c r="F6" s="69">
        <v>29704022102466</v>
      </c>
      <c r="G6" s="70" t="s">
        <v>526</v>
      </c>
      <c r="H6" s="72">
        <v>4000</v>
      </c>
      <c r="I6" s="72">
        <v>3000</v>
      </c>
      <c r="J6" s="31"/>
      <c r="K6" s="74">
        <v>1.05</v>
      </c>
      <c r="L6" s="9">
        <f t="shared" si="0"/>
        <v>3150</v>
      </c>
      <c r="M6" s="9">
        <v>0</v>
      </c>
      <c r="N6" s="9">
        <f t="shared" si="1"/>
        <v>30</v>
      </c>
      <c r="O6" s="9">
        <f t="shared" si="2"/>
        <v>0</v>
      </c>
      <c r="P6" s="10">
        <f t="shared" si="3"/>
        <v>133.33333333333334</v>
      </c>
      <c r="Q6" s="10">
        <f t="shared" si="4"/>
        <v>105</v>
      </c>
      <c r="R6" s="10">
        <f t="shared" si="5"/>
        <v>238.33333333333334</v>
      </c>
      <c r="S6" s="10">
        <f t="shared" si="6"/>
        <v>16.666666666666668</v>
      </c>
      <c r="T6" s="9">
        <v>44</v>
      </c>
      <c r="U6" s="9">
        <f t="shared" si="7"/>
        <v>733.33333333333337</v>
      </c>
      <c r="V6" s="9">
        <v>0</v>
      </c>
      <c r="W6" s="16">
        <f t="shared" si="8"/>
        <v>7883.333333333333</v>
      </c>
      <c r="X6" s="30">
        <v>0</v>
      </c>
      <c r="Y6" s="30">
        <f t="shared" si="9"/>
        <v>0</v>
      </c>
      <c r="Z6" s="38">
        <v>1</v>
      </c>
      <c r="AA6" s="30">
        <f t="shared" si="10"/>
        <v>133.33333333333334</v>
      </c>
      <c r="AB6" s="30">
        <v>0</v>
      </c>
      <c r="AC6" s="30">
        <f t="shared" si="11"/>
        <v>0</v>
      </c>
      <c r="AD6" s="12">
        <f t="shared" si="12"/>
        <v>133.33333333333334</v>
      </c>
      <c r="AE6" s="4">
        <f t="shared" si="13"/>
        <v>7750</v>
      </c>
      <c r="AF6" s="3">
        <f t="shared" si="14"/>
        <v>5384.6153846153848</v>
      </c>
      <c r="AG6" s="3">
        <f t="shared" si="23"/>
        <v>592.30769230769238</v>
      </c>
      <c r="AH6" s="1">
        <v>1666.6666666666667</v>
      </c>
      <c r="AI6" s="1">
        <f t="shared" si="24"/>
        <v>65892.307692307688</v>
      </c>
      <c r="AJ6" s="1">
        <f t="shared" si="25"/>
        <v>261.15384615384613</v>
      </c>
      <c r="AK6" s="3">
        <f t="shared" si="26"/>
        <v>3.875</v>
      </c>
      <c r="AL6" s="4">
        <f t="shared" si="19"/>
        <v>6892.6634615384619</v>
      </c>
      <c r="AM6" s="3">
        <v>0</v>
      </c>
      <c r="AN6" s="4">
        <f t="shared" si="20"/>
        <v>6892.6634615384619</v>
      </c>
      <c r="AO6" s="1">
        <f t="shared" si="21"/>
        <v>1009.6153846153846</v>
      </c>
      <c r="AP6" s="41">
        <v>6</v>
      </c>
      <c r="AQ6" s="54">
        <f t="shared" si="22"/>
        <v>8759.6153846153848</v>
      </c>
    </row>
    <row r="7" spans="1:43" x14ac:dyDescent="0.35">
      <c r="A7" s="25" t="s">
        <v>151</v>
      </c>
      <c r="B7" s="44" t="s">
        <v>333</v>
      </c>
      <c r="C7" s="58" t="s">
        <v>158</v>
      </c>
      <c r="D7" s="63" t="s">
        <v>507</v>
      </c>
      <c r="E7" s="66" t="s">
        <v>72</v>
      </c>
      <c r="F7" s="69" t="s">
        <v>73</v>
      </c>
      <c r="G7" s="70" t="s">
        <v>526</v>
      </c>
      <c r="H7" s="72">
        <v>4000</v>
      </c>
      <c r="I7" s="72">
        <v>3000</v>
      </c>
      <c r="J7" s="31"/>
      <c r="K7" s="74">
        <v>1.05</v>
      </c>
      <c r="L7" s="9">
        <f t="shared" si="0"/>
        <v>3150</v>
      </c>
      <c r="M7" s="9">
        <v>0</v>
      </c>
      <c r="N7" s="9">
        <f t="shared" si="1"/>
        <v>30</v>
      </c>
      <c r="O7" s="9">
        <f t="shared" si="2"/>
        <v>0</v>
      </c>
      <c r="P7" s="10">
        <f t="shared" si="3"/>
        <v>133.33333333333334</v>
      </c>
      <c r="Q7" s="10">
        <f t="shared" si="4"/>
        <v>105</v>
      </c>
      <c r="R7" s="10">
        <f t="shared" si="5"/>
        <v>238.33333333333334</v>
      </c>
      <c r="S7" s="10">
        <f t="shared" si="6"/>
        <v>16.666666666666668</v>
      </c>
      <c r="T7" s="9">
        <v>28</v>
      </c>
      <c r="U7" s="9">
        <f t="shared" si="7"/>
        <v>466.66666666666669</v>
      </c>
      <c r="V7" s="9">
        <v>0</v>
      </c>
      <c r="W7" s="16">
        <f t="shared" si="8"/>
        <v>7616.666666666667</v>
      </c>
      <c r="X7" s="30">
        <v>0</v>
      </c>
      <c r="Y7" s="30">
        <f t="shared" si="9"/>
        <v>0</v>
      </c>
      <c r="Z7" s="38">
        <v>2</v>
      </c>
      <c r="AA7" s="30">
        <f t="shared" si="10"/>
        <v>266.66666666666669</v>
      </c>
      <c r="AB7" s="30">
        <v>0</v>
      </c>
      <c r="AC7" s="30">
        <f t="shared" si="11"/>
        <v>0</v>
      </c>
      <c r="AD7" s="12">
        <f t="shared" si="12"/>
        <v>266.66666666666669</v>
      </c>
      <c r="AE7" s="4">
        <f t="shared" si="13"/>
        <v>7350</v>
      </c>
      <c r="AF7" s="3">
        <f t="shared" si="14"/>
        <v>5384.6153846153848</v>
      </c>
      <c r="AG7" s="3">
        <f t="shared" si="23"/>
        <v>592.30769230769238</v>
      </c>
      <c r="AH7" s="1">
        <v>1666.6666666666667</v>
      </c>
      <c r="AI7" s="1">
        <f t="shared" si="24"/>
        <v>61092.307692307688</v>
      </c>
      <c r="AJ7" s="1">
        <f t="shared" si="25"/>
        <v>201.1538461538461</v>
      </c>
      <c r="AK7" s="3">
        <f t="shared" si="26"/>
        <v>3.6750000000000003</v>
      </c>
      <c r="AL7" s="4">
        <f t="shared" si="19"/>
        <v>6552.8634615384617</v>
      </c>
      <c r="AM7" s="3">
        <v>0</v>
      </c>
      <c r="AN7" s="4">
        <f t="shared" si="20"/>
        <v>6552.8634615384617</v>
      </c>
      <c r="AO7" s="1">
        <f t="shared" si="21"/>
        <v>1009.6153846153846</v>
      </c>
      <c r="AP7" s="41">
        <v>13</v>
      </c>
      <c r="AQ7" s="54">
        <f t="shared" si="22"/>
        <v>8359.6153846153848</v>
      </c>
    </row>
    <row r="8" spans="1:43" x14ac:dyDescent="0.35">
      <c r="A8" s="25" t="s">
        <v>151</v>
      </c>
      <c r="B8" s="44" t="s">
        <v>334</v>
      </c>
      <c r="C8" s="58" t="s">
        <v>155</v>
      </c>
      <c r="D8" s="63" t="s">
        <v>507</v>
      </c>
      <c r="E8" s="66" t="s">
        <v>74</v>
      </c>
      <c r="F8" s="69" t="s">
        <v>75</v>
      </c>
      <c r="G8" s="70" t="s">
        <v>656</v>
      </c>
      <c r="H8" s="72">
        <v>5000</v>
      </c>
      <c r="I8" s="72">
        <v>3000</v>
      </c>
      <c r="J8" s="31"/>
      <c r="K8" s="74">
        <v>1.05</v>
      </c>
      <c r="L8" s="9">
        <f t="shared" si="0"/>
        <v>3150</v>
      </c>
      <c r="M8" s="9">
        <v>0</v>
      </c>
      <c r="N8" s="9">
        <f t="shared" si="1"/>
        <v>30</v>
      </c>
      <c r="O8" s="9">
        <f t="shared" si="2"/>
        <v>0</v>
      </c>
      <c r="P8" s="10">
        <f t="shared" si="3"/>
        <v>166.66666666666666</v>
      </c>
      <c r="Q8" s="10">
        <f t="shared" si="4"/>
        <v>105</v>
      </c>
      <c r="R8" s="10">
        <f t="shared" si="5"/>
        <v>271.66666666666663</v>
      </c>
      <c r="S8" s="10">
        <f t="shared" si="6"/>
        <v>20.833333333333332</v>
      </c>
      <c r="T8" s="9">
        <v>44</v>
      </c>
      <c r="U8" s="9">
        <f t="shared" si="7"/>
        <v>916.66666666666663</v>
      </c>
      <c r="V8" s="9">
        <v>0</v>
      </c>
      <c r="W8" s="16">
        <f t="shared" si="8"/>
        <v>9066.6666666666661</v>
      </c>
      <c r="X8" s="30">
        <v>0</v>
      </c>
      <c r="Y8" s="30">
        <f t="shared" si="9"/>
        <v>0</v>
      </c>
      <c r="Z8" s="38">
        <v>0</v>
      </c>
      <c r="AA8" s="30">
        <f t="shared" si="10"/>
        <v>0</v>
      </c>
      <c r="AB8" s="30">
        <v>0</v>
      </c>
      <c r="AC8" s="30">
        <f t="shared" si="11"/>
        <v>0</v>
      </c>
      <c r="AD8" s="12">
        <f t="shared" si="12"/>
        <v>0</v>
      </c>
      <c r="AE8" s="4">
        <f t="shared" si="13"/>
        <v>9066.6666666666661</v>
      </c>
      <c r="AF8" s="3">
        <f t="shared" si="14"/>
        <v>5384.6153846153848</v>
      </c>
      <c r="AG8" s="3">
        <f t="shared" si="23"/>
        <v>592.30769230769238</v>
      </c>
      <c r="AH8" s="1">
        <v>1666.6666666666667</v>
      </c>
      <c r="AI8" s="1">
        <f t="shared" si="24"/>
        <v>81692.307692307673</v>
      </c>
      <c r="AJ8" s="1">
        <f t="shared" si="25"/>
        <v>507.37179487179463</v>
      </c>
      <c r="AK8" s="3">
        <f t="shared" si="26"/>
        <v>4.5333333333333332</v>
      </c>
      <c r="AL8" s="4">
        <f t="shared" si="19"/>
        <v>7962.4538461538441</v>
      </c>
      <c r="AM8" s="3">
        <v>0</v>
      </c>
      <c r="AN8" s="4">
        <f t="shared" si="20"/>
        <v>7962.4538461538441</v>
      </c>
      <c r="AO8" s="1">
        <f t="shared" si="21"/>
        <v>1009.6153846153846</v>
      </c>
      <c r="AP8" s="41">
        <v>9</v>
      </c>
      <c r="AQ8" s="54">
        <f t="shared" si="22"/>
        <v>10076.282051282051</v>
      </c>
    </row>
    <row r="9" spans="1:43" x14ac:dyDescent="0.35">
      <c r="A9" s="25" t="s">
        <v>151</v>
      </c>
      <c r="B9" s="44" t="s">
        <v>335</v>
      </c>
      <c r="C9" s="58" t="s">
        <v>640</v>
      </c>
      <c r="D9" s="63" t="s">
        <v>507</v>
      </c>
      <c r="E9" s="66" t="s">
        <v>482</v>
      </c>
      <c r="F9" s="69">
        <v>30406271400145</v>
      </c>
      <c r="G9" s="70" t="s">
        <v>526</v>
      </c>
      <c r="H9" s="72">
        <v>4000</v>
      </c>
      <c r="I9" s="72">
        <v>3000</v>
      </c>
      <c r="J9" s="31"/>
      <c r="K9" s="74">
        <v>1.05</v>
      </c>
      <c r="L9" s="9">
        <f t="shared" si="0"/>
        <v>3150</v>
      </c>
      <c r="M9" s="9">
        <v>0</v>
      </c>
      <c r="N9" s="9">
        <f t="shared" si="1"/>
        <v>30</v>
      </c>
      <c r="O9" s="9">
        <f t="shared" si="2"/>
        <v>0</v>
      </c>
      <c r="P9" s="10">
        <f t="shared" si="3"/>
        <v>133.33333333333334</v>
      </c>
      <c r="Q9" s="10">
        <f t="shared" si="4"/>
        <v>105</v>
      </c>
      <c r="R9" s="10">
        <f t="shared" si="5"/>
        <v>238.33333333333334</v>
      </c>
      <c r="S9" s="10">
        <f t="shared" si="6"/>
        <v>16.666666666666668</v>
      </c>
      <c r="T9" s="9">
        <v>44</v>
      </c>
      <c r="U9" s="9">
        <f t="shared" si="7"/>
        <v>733.33333333333337</v>
      </c>
      <c r="V9" s="9">
        <v>0</v>
      </c>
      <c r="W9" s="16">
        <f t="shared" si="8"/>
        <v>7883.333333333333</v>
      </c>
      <c r="X9" s="30">
        <v>0</v>
      </c>
      <c r="Y9" s="30">
        <f t="shared" si="9"/>
        <v>0</v>
      </c>
      <c r="Z9" s="38">
        <v>0</v>
      </c>
      <c r="AA9" s="30">
        <f t="shared" si="10"/>
        <v>0</v>
      </c>
      <c r="AB9" s="30">
        <v>0</v>
      </c>
      <c r="AC9" s="30">
        <f t="shared" si="11"/>
        <v>0</v>
      </c>
      <c r="AD9" s="12">
        <f t="shared" si="12"/>
        <v>0</v>
      </c>
      <c r="AE9" s="4">
        <f t="shared" si="13"/>
        <v>7883.333333333333</v>
      </c>
      <c r="AF9" s="3">
        <f t="shared" si="14"/>
        <v>5384.6153846153848</v>
      </c>
      <c r="AG9" s="3">
        <f t="shared" si="23"/>
        <v>592.30769230769238</v>
      </c>
      <c r="AH9" s="1">
        <v>1666.6666666666667</v>
      </c>
      <c r="AI9" s="1">
        <f t="shared" si="24"/>
        <v>67492.307692307688</v>
      </c>
      <c r="AJ9" s="1">
        <f t="shared" si="25"/>
        <v>281.15384615384613</v>
      </c>
      <c r="AK9" s="3">
        <f t="shared" si="26"/>
        <v>3.9416666666666664</v>
      </c>
      <c r="AL9" s="4">
        <f t="shared" si="19"/>
        <v>7005.9301282051283</v>
      </c>
      <c r="AM9" s="3">
        <v>0</v>
      </c>
      <c r="AN9" s="4">
        <f t="shared" si="20"/>
        <v>7005.9301282051283</v>
      </c>
      <c r="AO9" s="1">
        <f t="shared" si="21"/>
        <v>1009.6153846153846</v>
      </c>
      <c r="AP9" s="41">
        <v>12</v>
      </c>
      <c r="AQ9" s="54">
        <f t="shared" si="22"/>
        <v>8892.9487179487169</v>
      </c>
    </row>
    <row r="10" spans="1:43" x14ac:dyDescent="0.35">
      <c r="A10" s="25" t="s">
        <v>151</v>
      </c>
      <c r="B10" s="44" t="s">
        <v>336</v>
      </c>
      <c r="C10" s="58" t="s">
        <v>159</v>
      </c>
      <c r="D10" s="63" t="s">
        <v>507</v>
      </c>
      <c r="E10" s="66" t="s">
        <v>76</v>
      </c>
      <c r="F10" s="69" t="s">
        <v>77</v>
      </c>
      <c r="G10" s="70" t="s">
        <v>526</v>
      </c>
      <c r="H10" s="72">
        <v>4000</v>
      </c>
      <c r="I10" s="72">
        <v>3000</v>
      </c>
      <c r="J10" s="31"/>
      <c r="K10" s="74">
        <v>1.05</v>
      </c>
      <c r="L10" s="9">
        <f t="shared" si="0"/>
        <v>3150</v>
      </c>
      <c r="M10" s="9">
        <v>0</v>
      </c>
      <c r="N10" s="9">
        <f t="shared" si="1"/>
        <v>30</v>
      </c>
      <c r="O10" s="9">
        <f t="shared" si="2"/>
        <v>0</v>
      </c>
      <c r="P10" s="10">
        <f t="shared" si="3"/>
        <v>133.33333333333334</v>
      </c>
      <c r="Q10" s="10">
        <f t="shared" si="4"/>
        <v>105</v>
      </c>
      <c r="R10" s="10">
        <f t="shared" si="5"/>
        <v>238.33333333333334</v>
      </c>
      <c r="S10" s="10">
        <f t="shared" si="6"/>
        <v>16.666666666666668</v>
      </c>
      <c r="T10" s="9">
        <v>44</v>
      </c>
      <c r="U10" s="9">
        <f t="shared" si="7"/>
        <v>733.33333333333337</v>
      </c>
      <c r="V10" s="9">
        <v>0</v>
      </c>
      <c r="W10" s="16">
        <f t="shared" si="8"/>
        <v>7883.333333333333</v>
      </c>
      <c r="X10" s="30">
        <v>0</v>
      </c>
      <c r="Y10" s="30">
        <f t="shared" si="9"/>
        <v>0</v>
      </c>
      <c r="Z10" s="38">
        <v>0</v>
      </c>
      <c r="AA10" s="30">
        <f t="shared" si="10"/>
        <v>0</v>
      </c>
      <c r="AB10" s="30">
        <v>0</v>
      </c>
      <c r="AC10" s="30">
        <f t="shared" si="11"/>
        <v>0</v>
      </c>
      <c r="AD10" s="12">
        <f t="shared" si="12"/>
        <v>0</v>
      </c>
      <c r="AE10" s="4">
        <f t="shared" si="13"/>
        <v>7883.333333333333</v>
      </c>
      <c r="AF10" s="3">
        <f t="shared" si="14"/>
        <v>5384.6153846153848</v>
      </c>
      <c r="AG10" s="3">
        <f t="shared" si="23"/>
        <v>592.30769230769238</v>
      </c>
      <c r="AH10" s="1">
        <v>1666.6666666666667</v>
      </c>
      <c r="AI10" s="1">
        <f t="shared" si="24"/>
        <v>67492.307692307688</v>
      </c>
      <c r="AJ10" s="1">
        <f t="shared" si="25"/>
        <v>281.15384615384613</v>
      </c>
      <c r="AK10" s="3">
        <f t="shared" si="26"/>
        <v>3.9416666666666664</v>
      </c>
      <c r="AL10" s="4">
        <f t="shared" si="19"/>
        <v>7005.9301282051283</v>
      </c>
      <c r="AM10" s="3">
        <v>0</v>
      </c>
      <c r="AN10" s="4">
        <f t="shared" si="20"/>
        <v>7005.9301282051283</v>
      </c>
      <c r="AO10" s="1">
        <f t="shared" si="21"/>
        <v>1009.6153846153846</v>
      </c>
      <c r="AP10" s="41">
        <v>15</v>
      </c>
      <c r="AQ10" s="54">
        <f t="shared" si="22"/>
        <v>8892.9487179487169</v>
      </c>
    </row>
    <row r="11" spans="1:43" x14ac:dyDescent="0.35">
      <c r="A11" s="25" t="s">
        <v>151</v>
      </c>
      <c r="B11" s="44" t="s">
        <v>337</v>
      </c>
      <c r="C11" s="58" t="s">
        <v>160</v>
      </c>
      <c r="D11" s="63" t="s">
        <v>507</v>
      </c>
      <c r="E11" s="64" t="s">
        <v>78</v>
      </c>
      <c r="F11" s="69" t="s">
        <v>79</v>
      </c>
      <c r="G11" s="70" t="s">
        <v>526</v>
      </c>
      <c r="H11" s="72">
        <v>4000</v>
      </c>
      <c r="I11" s="72">
        <v>3000</v>
      </c>
      <c r="J11" s="31"/>
      <c r="K11" s="74">
        <v>1.05</v>
      </c>
      <c r="L11" s="9">
        <f t="shared" si="0"/>
        <v>3150</v>
      </c>
      <c r="M11" s="9">
        <v>0</v>
      </c>
      <c r="N11" s="9">
        <f t="shared" si="1"/>
        <v>30</v>
      </c>
      <c r="O11" s="9">
        <f t="shared" si="2"/>
        <v>0</v>
      </c>
      <c r="P11" s="10">
        <f t="shared" si="3"/>
        <v>133.33333333333334</v>
      </c>
      <c r="Q11" s="10">
        <f t="shared" si="4"/>
        <v>105</v>
      </c>
      <c r="R11" s="10">
        <f t="shared" si="5"/>
        <v>238.33333333333334</v>
      </c>
      <c r="S11" s="10">
        <f t="shared" si="6"/>
        <v>16.666666666666668</v>
      </c>
      <c r="T11" s="9">
        <v>28</v>
      </c>
      <c r="U11" s="9">
        <f t="shared" si="7"/>
        <v>466.66666666666669</v>
      </c>
      <c r="V11" s="9">
        <v>0</v>
      </c>
      <c r="W11" s="16">
        <f t="shared" si="8"/>
        <v>7616.666666666667</v>
      </c>
      <c r="X11" s="30">
        <v>0</v>
      </c>
      <c r="Y11" s="30">
        <f t="shared" si="9"/>
        <v>0</v>
      </c>
      <c r="Z11" s="38">
        <v>0</v>
      </c>
      <c r="AA11" s="30">
        <f t="shared" si="10"/>
        <v>0</v>
      </c>
      <c r="AB11" s="30">
        <v>0</v>
      </c>
      <c r="AC11" s="30">
        <f t="shared" si="11"/>
        <v>0</v>
      </c>
      <c r="AD11" s="12">
        <f t="shared" si="12"/>
        <v>0</v>
      </c>
      <c r="AE11" s="4">
        <f t="shared" si="13"/>
        <v>7616.666666666667</v>
      </c>
      <c r="AF11" s="3">
        <f t="shared" si="14"/>
        <v>5384.6153846153848</v>
      </c>
      <c r="AG11" s="3">
        <f t="shared" si="23"/>
        <v>592.30769230769238</v>
      </c>
      <c r="AH11" s="1">
        <v>1666.6666666666667</v>
      </c>
      <c r="AI11" s="1">
        <f t="shared" si="24"/>
        <v>64292.307692307688</v>
      </c>
      <c r="AJ11" s="1">
        <f t="shared" si="25"/>
        <v>241.1538461538461</v>
      </c>
      <c r="AK11" s="3">
        <f t="shared" si="26"/>
        <v>3.8083333333333336</v>
      </c>
      <c r="AL11" s="4">
        <f t="shared" si="19"/>
        <v>6779.3967948717955</v>
      </c>
      <c r="AM11" s="3">
        <v>0</v>
      </c>
      <c r="AN11" s="4">
        <f t="shared" si="20"/>
        <v>6779.3967948717955</v>
      </c>
      <c r="AO11" s="1">
        <f t="shared" si="21"/>
        <v>1009.6153846153846</v>
      </c>
      <c r="AP11" s="41">
        <v>9</v>
      </c>
      <c r="AQ11" s="54">
        <f t="shared" si="22"/>
        <v>8626.2820512820508</v>
      </c>
    </row>
    <row r="12" spans="1:43" x14ac:dyDescent="0.35">
      <c r="A12" s="25" t="s">
        <v>151</v>
      </c>
      <c r="B12" s="44" t="s">
        <v>338</v>
      </c>
      <c r="C12" s="58" t="s">
        <v>161</v>
      </c>
      <c r="D12" s="63" t="s">
        <v>507</v>
      </c>
      <c r="E12" s="66" t="s">
        <v>80</v>
      </c>
      <c r="F12" s="69" t="s">
        <v>81</v>
      </c>
      <c r="G12" s="70" t="s">
        <v>526</v>
      </c>
      <c r="H12" s="72">
        <v>4000</v>
      </c>
      <c r="I12" s="72">
        <v>3000</v>
      </c>
      <c r="J12" s="31"/>
      <c r="K12" s="74">
        <v>1.05</v>
      </c>
      <c r="L12" s="9">
        <f t="shared" si="0"/>
        <v>3150</v>
      </c>
      <c r="M12" s="9">
        <v>0</v>
      </c>
      <c r="N12" s="9">
        <f t="shared" si="1"/>
        <v>30</v>
      </c>
      <c r="O12" s="9">
        <f t="shared" si="2"/>
        <v>0</v>
      </c>
      <c r="P12" s="10">
        <f t="shared" si="3"/>
        <v>133.33333333333334</v>
      </c>
      <c r="Q12" s="10">
        <f t="shared" si="4"/>
        <v>105</v>
      </c>
      <c r="R12" s="10">
        <f t="shared" si="5"/>
        <v>238.33333333333334</v>
      </c>
      <c r="S12" s="10">
        <f t="shared" si="6"/>
        <v>16.666666666666668</v>
      </c>
      <c r="T12" s="9">
        <v>28</v>
      </c>
      <c r="U12" s="9">
        <f t="shared" si="7"/>
        <v>466.66666666666669</v>
      </c>
      <c r="V12" s="9">
        <v>0</v>
      </c>
      <c r="W12" s="16">
        <f t="shared" si="8"/>
        <v>7616.666666666667</v>
      </c>
      <c r="X12" s="30">
        <v>0</v>
      </c>
      <c r="Y12" s="30">
        <f t="shared" si="9"/>
        <v>0</v>
      </c>
      <c r="Z12" s="38">
        <v>0</v>
      </c>
      <c r="AA12" s="30">
        <f t="shared" si="10"/>
        <v>0</v>
      </c>
      <c r="AB12" s="30">
        <v>0</v>
      </c>
      <c r="AC12" s="30">
        <f t="shared" si="11"/>
        <v>0</v>
      </c>
      <c r="AD12" s="12">
        <f t="shared" si="12"/>
        <v>0</v>
      </c>
      <c r="AE12" s="4">
        <f t="shared" si="13"/>
        <v>7616.666666666667</v>
      </c>
      <c r="AF12" s="3">
        <f t="shared" si="14"/>
        <v>5384.6153846153848</v>
      </c>
      <c r="AG12" s="3">
        <f t="shared" si="23"/>
        <v>592.30769230769238</v>
      </c>
      <c r="AH12" s="1">
        <v>1666.6666666666667</v>
      </c>
      <c r="AI12" s="1">
        <f t="shared" si="24"/>
        <v>64292.307692307688</v>
      </c>
      <c r="AJ12" s="1">
        <f t="shared" si="25"/>
        <v>241.1538461538461</v>
      </c>
      <c r="AK12" s="3">
        <f t="shared" si="26"/>
        <v>3.8083333333333336</v>
      </c>
      <c r="AL12" s="4">
        <f t="shared" si="19"/>
        <v>6779.3967948717955</v>
      </c>
      <c r="AM12" s="3">
        <v>0</v>
      </c>
      <c r="AN12" s="4">
        <f t="shared" si="20"/>
        <v>6779.3967948717955</v>
      </c>
      <c r="AO12" s="1">
        <f t="shared" si="21"/>
        <v>1009.6153846153846</v>
      </c>
      <c r="AP12" s="41">
        <v>12</v>
      </c>
      <c r="AQ12" s="54">
        <f t="shared" si="22"/>
        <v>8626.2820512820508</v>
      </c>
    </row>
    <row r="13" spans="1:43" x14ac:dyDescent="0.35">
      <c r="A13" s="25" t="s">
        <v>151</v>
      </c>
      <c r="B13" s="44" t="s">
        <v>339</v>
      </c>
      <c r="C13" s="58" t="s">
        <v>162</v>
      </c>
      <c r="D13" s="63" t="s">
        <v>507</v>
      </c>
      <c r="E13" s="66" t="s">
        <v>82</v>
      </c>
      <c r="F13" s="69" t="s">
        <v>83</v>
      </c>
      <c r="G13" s="70" t="s">
        <v>506</v>
      </c>
      <c r="H13" s="72">
        <v>4500</v>
      </c>
      <c r="I13" s="72">
        <v>3000</v>
      </c>
      <c r="J13" s="31"/>
      <c r="K13" s="74">
        <v>1.05</v>
      </c>
      <c r="L13" s="9">
        <f t="shared" si="0"/>
        <v>3150</v>
      </c>
      <c r="M13" s="9">
        <v>0</v>
      </c>
      <c r="N13" s="9">
        <f t="shared" si="1"/>
        <v>30</v>
      </c>
      <c r="O13" s="9">
        <f t="shared" si="2"/>
        <v>0</v>
      </c>
      <c r="P13" s="10">
        <f t="shared" si="3"/>
        <v>150</v>
      </c>
      <c r="Q13" s="10">
        <f t="shared" si="4"/>
        <v>105</v>
      </c>
      <c r="R13" s="10">
        <f t="shared" si="5"/>
        <v>255</v>
      </c>
      <c r="S13" s="10">
        <f t="shared" si="6"/>
        <v>18.75</v>
      </c>
      <c r="T13" s="48">
        <v>12</v>
      </c>
      <c r="U13" s="9">
        <f t="shared" si="7"/>
        <v>225</v>
      </c>
      <c r="V13" s="9">
        <v>0</v>
      </c>
      <c r="W13" s="16">
        <f t="shared" si="8"/>
        <v>7875</v>
      </c>
      <c r="X13" s="30">
        <v>0</v>
      </c>
      <c r="Y13" s="30">
        <f t="shared" si="9"/>
        <v>0</v>
      </c>
      <c r="Z13" s="38">
        <v>0</v>
      </c>
      <c r="AA13" s="30">
        <f t="shared" si="10"/>
        <v>0</v>
      </c>
      <c r="AB13" s="30">
        <v>0</v>
      </c>
      <c r="AC13" s="30">
        <f t="shared" si="11"/>
        <v>0</v>
      </c>
      <c r="AD13" s="12">
        <f t="shared" si="12"/>
        <v>0</v>
      </c>
      <c r="AE13" s="4">
        <f t="shared" si="13"/>
        <v>7875</v>
      </c>
      <c r="AF13" s="3">
        <f t="shared" si="14"/>
        <v>5384.6153846153848</v>
      </c>
      <c r="AG13" s="3">
        <f t="shared" si="23"/>
        <v>592.30769230769238</v>
      </c>
      <c r="AH13" s="1">
        <v>1666.6666666666667</v>
      </c>
      <c r="AI13" s="1">
        <f t="shared" si="24"/>
        <v>67392.307692307688</v>
      </c>
      <c r="AJ13" s="1">
        <f t="shared" si="25"/>
        <v>279.90384615384613</v>
      </c>
      <c r="AK13" s="3">
        <f t="shared" si="26"/>
        <v>3.9375</v>
      </c>
      <c r="AL13" s="4">
        <f t="shared" si="19"/>
        <v>6998.8509615384619</v>
      </c>
      <c r="AM13" s="3">
        <v>0</v>
      </c>
      <c r="AN13" s="4">
        <f t="shared" si="20"/>
        <v>6998.8509615384619</v>
      </c>
      <c r="AO13" s="1">
        <f t="shared" si="21"/>
        <v>1009.6153846153846</v>
      </c>
      <c r="AP13" s="41">
        <v>18</v>
      </c>
      <c r="AQ13" s="54">
        <f t="shared" si="22"/>
        <v>8884.6153846153848</v>
      </c>
    </row>
    <row r="14" spans="1:43" x14ac:dyDescent="0.35">
      <c r="A14" s="25" t="s">
        <v>151</v>
      </c>
      <c r="B14" s="44" t="s">
        <v>340</v>
      </c>
      <c r="C14" s="58" t="s">
        <v>163</v>
      </c>
      <c r="D14" s="63" t="s">
        <v>507</v>
      </c>
      <c r="E14" s="66" t="s">
        <v>84</v>
      </c>
      <c r="F14" s="69" t="s">
        <v>85</v>
      </c>
      <c r="G14" s="70" t="s">
        <v>526</v>
      </c>
      <c r="H14" s="72">
        <v>4000</v>
      </c>
      <c r="I14" s="72">
        <v>3000</v>
      </c>
      <c r="J14" s="31"/>
      <c r="K14" s="74">
        <v>1.05</v>
      </c>
      <c r="L14" s="9">
        <f t="shared" si="0"/>
        <v>3150</v>
      </c>
      <c r="M14" s="9">
        <v>0</v>
      </c>
      <c r="N14" s="9">
        <f t="shared" si="1"/>
        <v>30</v>
      </c>
      <c r="O14" s="9">
        <f t="shared" si="2"/>
        <v>0</v>
      </c>
      <c r="P14" s="10">
        <f t="shared" si="3"/>
        <v>133.33333333333334</v>
      </c>
      <c r="Q14" s="10">
        <f t="shared" si="4"/>
        <v>105</v>
      </c>
      <c r="R14" s="10">
        <f t="shared" si="5"/>
        <v>238.33333333333334</v>
      </c>
      <c r="S14" s="10">
        <f t="shared" si="6"/>
        <v>16.666666666666668</v>
      </c>
      <c r="T14" s="9">
        <v>44</v>
      </c>
      <c r="U14" s="9">
        <f t="shared" si="7"/>
        <v>733.33333333333337</v>
      </c>
      <c r="V14" s="9">
        <v>0</v>
      </c>
      <c r="W14" s="16">
        <f t="shared" si="8"/>
        <v>7883.333333333333</v>
      </c>
      <c r="X14" s="30">
        <v>0</v>
      </c>
      <c r="Y14" s="30">
        <f t="shared" si="9"/>
        <v>0</v>
      </c>
      <c r="Z14" s="38">
        <v>0</v>
      </c>
      <c r="AA14" s="30">
        <f t="shared" si="10"/>
        <v>0</v>
      </c>
      <c r="AB14" s="30">
        <v>0</v>
      </c>
      <c r="AC14" s="30">
        <f t="shared" si="11"/>
        <v>0</v>
      </c>
      <c r="AD14" s="12">
        <f t="shared" si="12"/>
        <v>0</v>
      </c>
      <c r="AE14" s="4">
        <f t="shared" si="13"/>
        <v>7883.333333333333</v>
      </c>
      <c r="AF14" s="3">
        <f t="shared" si="14"/>
        <v>5384.6153846153848</v>
      </c>
      <c r="AG14" s="3">
        <f t="shared" si="23"/>
        <v>592.30769230769238</v>
      </c>
      <c r="AH14" s="1">
        <v>1666.6666666666667</v>
      </c>
      <c r="AI14" s="1">
        <f t="shared" si="24"/>
        <v>67492.307692307688</v>
      </c>
      <c r="AJ14" s="1">
        <f t="shared" si="25"/>
        <v>281.15384615384613</v>
      </c>
      <c r="AK14" s="3">
        <f t="shared" si="26"/>
        <v>3.9416666666666664</v>
      </c>
      <c r="AL14" s="4">
        <f t="shared" si="19"/>
        <v>7005.9301282051283</v>
      </c>
      <c r="AM14" s="3">
        <v>0</v>
      </c>
      <c r="AN14" s="4">
        <f t="shared" si="20"/>
        <v>7005.9301282051283</v>
      </c>
      <c r="AO14" s="1">
        <f t="shared" si="21"/>
        <v>1009.6153846153846</v>
      </c>
      <c r="AP14" s="41">
        <v>13</v>
      </c>
      <c r="AQ14" s="54">
        <f t="shared" si="22"/>
        <v>8892.9487179487169</v>
      </c>
    </row>
    <row r="15" spans="1:43" x14ac:dyDescent="0.35">
      <c r="A15" s="25" t="s">
        <v>151</v>
      </c>
      <c r="B15" s="44" t="s">
        <v>520</v>
      </c>
      <c r="C15" s="58" t="s">
        <v>164</v>
      </c>
      <c r="D15" s="63" t="s">
        <v>507</v>
      </c>
      <c r="E15" s="66" t="s">
        <v>86</v>
      </c>
      <c r="F15" s="69" t="s">
        <v>87</v>
      </c>
      <c r="G15" s="70" t="s">
        <v>526</v>
      </c>
      <c r="H15" s="72">
        <v>4000</v>
      </c>
      <c r="I15" s="72">
        <v>3000</v>
      </c>
      <c r="J15" s="31"/>
      <c r="K15" s="74">
        <v>1.05</v>
      </c>
      <c r="L15" s="9">
        <f t="shared" si="0"/>
        <v>3150</v>
      </c>
      <c r="M15" s="9">
        <v>0</v>
      </c>
      <c r="N15" s="9">
        <f t="shared" si="1"/>
        <v>30</v>
      </c>
      <c r="O15" s="9">
        <f t="shared" si="2"/>
        <v>0</v>
      </c>
      <c r="P15" s="10">
        <f t="shared" si="3"/>
        <v>133.33333333333334</v>
      </c>
      <c r="Q15" s="10">
        <f t="shared" si="4"/>
        <v>105</v>
      </c>
      <c r="R15" s="10">
        <f t="shared" si="5"/>
        <v>238.33333333333334</v>
      </c>
      <c r="S15" s="10">
        <f t="shared" si="6"/>
        <v>16.666666666666668</v>
      </c>
      <c r="T15" s="9">
        <v>44</v>
      </c>
      <c r="U15" s="9">
        <f t="shared" si="7"/>
        <v>733.33333333333337</v>
      </c>
      <c r="V15" s="9">
        <v>0</v>
      </c>
      <c r="W15" s="16">
        <f t="shared" si="8"/>
        <v>7883.333333333333</v>
      </c>
      <c r="X15" s="30">
        <v>0</v>
      </c>
      <c r="Y15" s="30">
        <f t="shared" si="9"/>
        <v>0</v>
      </c>
      <c r="Z15" s="38">
        <v>0</v>
      </c>
      <c r="AA15" s="30">
        <f t="shared" si="10"/>
        <v>0</v>
      </c>
      <c r="AB15" s="30">
        <v>0</v>
      </c>
      <c r="AC15" s="30">
        <f t="shared" si="11"/>
        <v>0</v>
      </c>
      <c r="AD15" s="12">
        <f t="shared" si="12"/>
        <v>0</v>
      </c>
      <c r="AE15" s="4">
        <f t="shared" si="13"/>
        <v>7883.333333333333</v>
      </c>
      <c r="AF15" s="3">
        <f t="shared" si="14"/>
        <v>5384.6153846153848</v>
      </c>
      <c r="AG15" s="3">
        <f t="shared" si="23"/>
        <v>592.30769230769238</v>
      </c>
      <c r="AH15" s="1">
        <v>1666.6666666666667</v>
      </c>
      <c r="AI15" s="1">
        <f t="shared" si="24"/>
        <v>67492.307692307688</v>
      </c>
      <c r="AJ15" s="1">
        <f t="shared" si="25"/>
        <v>281.15384615384613</v>
      </c>
      <c r="AK15" s="3">
        <f t="shared" si="26"/>
        <v>3.9416666666666664</v>
      </c>
      <c r="AL15" s="4">
        <f t="shared" si="19"/>
        <v>7005.9301282051283</v>
      </c>
      <c r="AM15" s="3">
        <v>0</v>
      </c>
      <c r="AN15" s="4">
        <f t="shared" si="20"/>
        <v>7005.9301282051283</v>
      </c>
      <c r="AO15" s="1">
        <f t="shared" si="21"/>
        <v>1009.6153846153846</v>
      </c>
      <c r="AP15" s="41">
        <v>16</v>
      </c>
      <c r="AQ15" s="54">
        <f t="shared" si="22"/>
        <v>8892.9487179487169</v>
      </c>
    </row>
    <row r="16" spans="1:43" x14ac:dyDescent="0.35">
      <c r="A16" s="25" t="s">
        <v>151</v>
      </c>
      <c r="B16" s="44" t="s">
        <v>341</v>
      </c>
      <c r="C16" s="58" t="s">
        <v>165</v>
      </c>
      <c r="D16" s="63" t="s">
        <v>507</v>
      </c>
      <c r="E16" s="66" t="s">
        <v>88</v>
      </c>
      <c r="F16" s="69" t="s">
        <v>89</v>
      </c>
      <c r="G16" s="70" t="s">
        <v>526</v>
      </c>
      <c r="H16" s="72">
        <v>4000</v>
      </c>
      <c r="I16" s="72">
        <v>3000</v>
      </c>
      <c r="J16" s="31"/>
      <c r="K16" s="74">
        <v>1.05</v>
      </c>
      <c r="L16" s="9">
        <f t="shared" si="0"/>
        <v>3150</v>
      </c>
      <c r="M16" s="9">
        <v>0</v>
      </c>
      <c r="N16" s="9">
        <f t="shared" si="1"/>
        <v>30</v>
      </c>
      <c r="O16" s="9">
        <f t="shared" si="2"/>
        <v>0</v>
      </c>
      <c r="P16" s="10">
        <f t="shared" si="3"/>
        <v>133.33333333333334</v>
      </c>
      <c r="Q16" s="10">
        <f t="shared" si="4"/>
        <v>105</v>
      </c>
      <c r="R16" s="10">
        <f t="shared" si="5"/>
        <v>238.33333333333334</v>
      </c>
      <c r="S16" s="10">
        <f t="shared" si="6"/>
        <v>16.666666666666668</v>
      </c>
      <c r="T16" s="9">
        <v>44</v>
      </c>
      <c r="U16" s="9">
        <f t="shared" si="7"/>
        <v>733.33333333333337</v>
      </c>
      <c r="V16" s="9">
        <v>0</v>
      </c>
      <c r="W16" s="16">
        <f t="shared" si="8"/>
        <v>7883.333333333333</v>
      </c>
      <c r="X16" s="30">
        <v>0</v>
      </c>
      <c r="Y16" s="30">
        <f t="shared" si="9"/>
        <v>0</v>
      </c>
      <c r="Z16" s="38">
        <v>0</v>
      </c>
      <c r="AA16" s="30">
        <f t="shared" si="10"/>
        <v>0</v>
      </c>
      <c r="AB16" s="30">
        <v>0</v>
      </c>
      <c r="AC16" s="30">
        <f t="shared" si="11"/>
        <v>0</v>
      </c>
      <c r="AD16" s="12">
        <f t="shared" si="12"/>
        <v>0</v>
      </c>
      <c r="AE16" s="4">
        <f t="shared" si="13"/>
        <v>7883.333333333333</v>
      </c>
      <c r="AF16" s="3">
        <f t="shared" si="14"/>
        <v>5384.6153846153848</v>
      </c>
      <c r="AG16" s="3">
        <f t="shared" si="23"/>
        <v>592.30769230769238</v>
      </c>
      <c r="AH16" s="1">
        <v>1666.6666666666667</v>
      </c>
      <c r="AI16" s="1">
        <f t="shared" si="24"/>
        <v>67492.307692307688</v>
      </c>
      <c r="AJ16" s="1">
        <f t="shared" si="25"/>
        <v>281.15384615384613</v>
      </c>
      <c r="AK16" s="3">
        <f t="shared" si="26"/>
        <v>3.9416666666666664</v>
      </c>
      <c r="AL16" s="4">
        <f t="shared" si="19"/>
        <v>7005.9301282051283</v>
      </c>
      <c r="AM16" s="3">
        <v>0</v>
      </c>
      <c r="AN16" s="4">
        <f t="shared" si="20"/>
        <v>7005.9301282051283</v>
      </c>
      <c r="AO16" s="1">
        <f t="shared" si="21"/>
        <v>1009.6153846153846</v>
      </c>
      <c r="AP16" s="41">
        <v>9</v>
      </c>
      <c r="AQ16" s="54">
        <f t="shared" si="22"/>
        <v>8892.9487179487169</v>
      </c>
    </row>
    <row r="17" spans="1:43" x14ac:dyDescent="0.35">
      <c r="A17" s="25" t="s">
        <v>151</v>
      </c>
      <c r="B17" s="44" t="s">
        <v>342</v>
      </c>
      <c r="C17" s="58" t="s">
        <v>496</v>
      </c>
      <c r="D17" s="63" t="s">
        <v>507</v>
      </c>
      <c r="E17" s="66" t="s">
        <v>483</v>
      </c>
      <c r="F17" s="69">
        <v>30611052101364</v>
      </c>
      <c r="G17" s="70" t="s">
        <v>526</v>
      </c>
      <c r="H17" s="72">
        <v>4000</v>
      </c>
      <c r="I17" s="72">
        <v>3000</v>
      </c>
      <c r="J17" s="31"/>
      <c r="K17" s="74">
        <v>1.05</v>
      </c>
      <c r="L17" s="9">
        <f t="shared" si="0"/>
        <v>3150</v>
      </c>
      <c r="M17" s="9">
        <v>0</v>
      </c>
      <c r="N17" s="9">
        <f t="shared" si="1"/>
        <v>30</v>
      </c>
      <c r="O17" s="9">
        <f t="shared" si="2"/>
        <v>0</v>
      </c>
      <c r="P17" s="10">
        <f t="shared" si="3"/>
        <v>133.33333333333334</v>
      </c>
      <c r="Q17" s="10">
        <f t="shared" si="4"/>
        <v>105</v>
      </c>
      <c r="R17" s="10">
        <f t="shared" si="5"/>
        <v>238.33333333333334</v>
      </c>
      <c r="S17" s="10">
        <f t="shared" si="6"/>
        <v>16.666666666666668</v>
      </c>
      <c r="T17" s="9">
        <v>44</v>
      </c>
      <c r="U17" s="9">
        <f t="shared" si="7"/>
        <v>733.33333333333337</v>
      </c>
      <c r="V17" s="9">
        <v>0</v>
      </c>
      <c r="W17" s="16">
        <f t="shared" si="8"/>
        <v>7883.333333333333</v>
      </c>
      <c r="X17" s="30">
        <v>0</v>
      </c>
      <c r="Y17" s="30">
        <f t="shared" si="9"/>
        <v>0</v>
      </c>
      <c r="Z17" s="38">
        <v>0</v>
      </c>
      <c r="AA17" s="30">
        <f t="shared" si="10"/>
        <v>0</v>
      </c>
      <c r="AB17" s="30">
        <v>0</v>
      </c>
      <c r="AC17" s="30">
        <f t="shared" si="11"/>
        <v>0</v>
      </c>
      <c r="AD17" s="12">
        <f t="shared" si="12"/>
        <v>0</v>
      </c>
      <c r="AE17" s="4">
        <f t="shared" si="13"/>
        <v>7883.333333333333</v>
      </c>
      <c r="AF17" s="3">
        <f t="shared" si="14"/>
        <v>5384.6153846153848</v>
      </c>
      <c r="AG17" s="3">
        <f t="shared" si="23"/>
        <v>592.30769230769238</v>
      </c>
      <c r="AH17" s="1">
        <v>1666.6666666666667</v>
      </c>
      <c r="AI17" s="1">
        <f t="shared" si="24"/>
        <v>67492.307692307688</v>
      </c>
      <c r="AJ17" s="1">
        <f t="shared" si="25"/>
        <v>281.15384615384613</v>
      </c>
      <c r="AK17" s="3">
        <f t="shared" si="26"/>
        <v>3.9416666666666664</v>
      </c>
      <c r="AL17" s="4">
        <f t="shared" si="19"/>
        <v>7005.9301282051283</v>
      </c>
      <c r="AM17" s="3">
        <v>0</v>
      </c>
      <c r="AN17" s="4">
        <f t="shared" si="20"/>
        <v>7005.9301282051283</v>
      </c>
      <c r="AO17" s="1">
        <f t="shared" si="21"/>
        <v>1009.6153846153846</v>
      </c>
      <c r="AP17" s="41">
        <v>14</v>
      </c>
      <c r="AQ17" s="54">
        <f t="shared" si="22"/>
        <v>8892.9487179487169</v>
      </c>
    </row>
    <row r="18" spans="1:43" x14ac:dyDescent="0.35">
      <c r="A18" s="25" t="s">
        <v>151</v>
      </c>
      <c r="B18" s="44" t="s">
        <v>343</v>
      </c>
      <c r="C18" s="58" t="s">
        <v>498</v>
      </c>
      <c r="D18" s="63" t="s">
        <v>507</v>
      </c>
      <c r="E18" s="66" t="s">
        <v>484</v>
      </c>
      <c r="F18" s="69">
        <v>29908251400076</v>
      </c>
      <c r="G18" s="70" t="s">
        <v>526</v>
      </c>
      <c r="H18" s="72">
        <v>4000</v>
      </c>
      <c r="I18" s="72">
        <v>3000</v>
      </c>
      <c r="J18" s="31"/>
      <c r="K18" s="74">
        <v>1.05</v>
      </c>
      <c r="L18" s="9">
        <f t="shared" si="0"/>
        <v>3150</v>
      </c>
      <c r="M18" s="9">
        <v>0</v>
      </c>
      <c r="N18" s="9">
        <f t="shared" si="1"/>
        <v>30</v>
      </c>
      <c r="O18" s="9">
        <f t="shared" si="2"/>
        <v>0</v>
      </c>
      <c r="P18" s="10">
        <f t="shared" si="3"/>
        <v>133.33333333333334</v>
      </c>
      <c r="Q18" s="10">
        <f t="shared" si="4"/>
        <v>105</v>
      </c>
      <c r="R18" s="10">
        <f t="shared" si="5"/>
        <v>238.33333333333334</v>
      </c>
      <c r="S18" s="10">
        <f t="shared" si="6"/>
        <v>16.666666666666668</v>
      </c>
      <c r="T18" s="9">
        <v>44</v>
      </c>
      <c r="U18" s="9">
        <f t="shared" si="7"/>
        <v>733.33333333333337</v>
      </c>
      <c r="V18" s="9">
        <v>0</v>
      </c>
      <c r="W18" s="16">
        <f t="shared" si="8"/>
        <v>7883.333333333333</v>
      </c>
      <c r="X18" s="30">
        <v>0</v>
      </c>
      <c r="Y18" s="30">
        <f t="shared" si="9"/>
        <v>0</v>
      </c>
      <c r="Z18" s="38">
        <v>0</v>
      </c>
      <c r="AA18" s="30">
        <f t="shared" si="10"/>
        <v>0</v>
      </c>
      <c r="AB18" s="30">
        <v>0</v>
      </c>
      <c r="AC18" s="30">
        <f t="shared" si="11"/>
        <v>0</v>
      </c>
      <c r="AD18" s="12">
        <f t="shared" si="12"/>
        <v>0</v>
      </c>
      <c r="AE18" s="4">
        <f t="shared" si="13"/>
        <v>7883.333333333333</v>
      </c>
      <c r="AF18" s="3">
        <f t="shared" si="14"/>
        <v>5384.6153846153848</v>
      </c>
      <c r="AG18" s="3">
        <f t="shared" si="23"/>
        <v>592.30769230769238</v>
      </c>
      <c r="AH18" s="1">
        <v>1666.6666666666667</v>
      </c>
      <c r="AI18" s="1">
        <f t="shared" si="24"/>
        <v>67492.307692307688</v>
      </c>
      <c r="AJ18" s="1">
        <f t="shared" si="25"/>
        <v>281.15384615384613</v>
      </c>
      <c r="AK18" s="3">
        <f t="shared" si="26"/>
        <v>3.9416666666666664</v>
      </c>
      <c r="AL18" s="4">
        <f t="shared" si="19"/>
        <v>7005.9301282051283</v>
      </c>
      <c r="AM18" s="3">
        <v>0</v>
      </c>
      <c r="AN18" s="4">
        <f t="shared" si="20"/>
        <v>7005.9301282051283</v>
      </c>
      <c r="AO18" s="1">
        <f t="shared" si="21"/>
        <v>1009.6153846153846</v>
      </c>
      <c r="AP18" s="41">
        <v>18</v>
      </c>
      <c r="AQ18" s="54">
        <f t="shared" si="22"/>
        <v>8892.9487179487169</v>
      </c>
    </row>
    <row r="19" spans="1:43" x14ac:dyDescent="0.35">
      <c r="A19" s="25" t="s">
        <v>151</v>
      </c>
      <c r="B19" s="44" t="s">
        <v>344</v>
      </c>
      <c r="C19" s="58" t="s">
        <v>457</v>
      </c>
      <c r="D19" s="63" t="s">
        <v>507</v>
      </c>
      <c r="E19" s="66" t="s">
        <v>456</v>
      </c>
      <c r="F19" s="69">
        <v>30708160101749</v>
      </c>
      <c r="G19" s="70" t="s">
        <v>526</v>
      </c>
      <c r="H19" s="72">
        <v>4000</v>
      </c>
      <c r="I19" s="72">
        <v>3000</v>
      </c>
      <c r="J19" s="31"/>
      <c r="K19" s="74">
        <v>1.05</v>
      </c>
      <c r="L19" s="9">
        <f t="shared" si="0"/>
        <v>3150</v>
      </c>
      <c r="M19" s="9">
        <v>0</v>
      </c>
      <c r="N19" s="9">
        <f t="shared" si="1"/>
        <v>30</v>
      </c>
      <c r="O19" s="9">
        <f t="shared" si="2"/>
        <v>0</v>
      </c>
      <c r="P19" s="10">
        <f t="shared" si="3"/>
        <v>133.33333333333334</v>
      </c>
      <c r="Q19" s="10">
        <f t="shared" si="4"/>
        <v>105</v>
      </c>
      <c r="R19" s="10">
        <f t="shared" si="5"/>
        <v>238.33333333333334</v>
      </c>
      <c r="S19" s="10">
        <f t="shared" si="6"/>
        <v>16.666666666666668</v>
      </c>
      <c r="T19" s="9">
        <v>44</v>
      </c>
      <c r="U19" s="9">
        <f t="shared" si="7"/>
        <v>733.33333333333337</v>
      </c>
      <c r="V19" s="9">
        <v>0</v>
      </c>
      <c r="W19" s="16">
        <f t="shared" si="8"/>
        <v>7883.333333333333</v>
      </c>
      <c r="X19" s="30">
        <v>0</v>
      </c>
      <c r="Y19" s="30">
        <f t="shared" si="9"/>
        <v>0</v>
      </c>
      <c r="Z19" s="38">
        <v>0</v>
      </c>
      <c r="AA19" s="30">
        <f t="shared" si="10"/>
        <v>0</v>
      </c>
      <c r="AB19" s="30">
        <v>0</v>
      </c>
      <c r="AC19" s="30">
        <f t="shared" si="11"/>
        <v>0</v>
      </c>
      <c r="AD19" s="12">
        <f t="shared" si="12"/>
        <v>0</v>
      </c>
      <c r="AE19" s="4">
        <f t="shared" si="13"/>
        <v>7883.333333333333</v>
      </c>
      <c r="AF19" s="3">
        <f t="shared" si="14"/>
        <v>5384.6153846153848</v>
      </c>
      <c r="AG19" s="3">
        <f t="shared" si="23"/>
        <v>592.30769230769238</v>
      </c>
      <c r="AH19" s="1">
        <v>1666.6666666666667</v>
      </c>
      <c r="AI19" s="1">
        <f t="shared" si="24"/>
        <v>67492.307692307688</v>
      </c>
      <c r="AJ19" s="1">
        <f t="shared" si="25"/>
        <v>281.15384615384613</v>
      </c>
      <c r="AK19" s="3">
        <f t="shared" si="26"/>
        <v>3.9416666666666664</v>
      </c>
      <c r="AL19" s="4">
        <f t="shared" si="19"/>
        <v>7005.9301282051283</v>
      </c>
      <c r="AM19" s="3">
        <v>0</v>
      </c>
      <c r="AN19" s="4">
        <f t="shared" si="20"/>
        <v>7005.9301282051283</v>
      </c>
      <c r="AO19" s="1">
        <f t="shared" si="21"/>
        <v>1009.6153846153846</v>
      </c>
      <c r="AP19" s="41">
        <v>5</v>
      </c>
      <c r="AQ19" s="54">
        <f t="shared" si="22"/>
        <v>8892.9487179487169</v>
      </c>
    </row>
    <row r="20" spans="1:43" x14ac:dyDescent="0.35">
      <c r="A20" s="25" t="s">
        <v>151</v>
      </c>
      <c r="B20" s="44" t="s">
        <v>345</v>
      </c>
      <c r="C20" s="58" t="s">
        <v>771</v>
      </c>
      <c r="D20" s="63" t="s">
        <v>507</v>
      </c>
      <c r="E20" s="66" t="s">
        <v>129</v>
      </c>
      <c r="F20" s="69" t="s">
        <v>130</v>
      </c>
      <c r="G20" s="70" t="s">
        <v>526</v>
      </c>
      <c r="H20" s="72">
        <v>4000</v>
      </c>
      <c r="I20" s="72">
        <v>3000</v>
      </c>
      <c r="J20" s="31"/>
      <c r="K20" s="74">
        <v>1.05</v>
      </c>
      <c r="L20" s="9">
        <f t="shared" si="0"/>
        <v>3150</v>
      </c>
      <c r="M20" s="9">
        <v>0</v>
      </c>
      <c r="N20" s="9">
        <f t="shared" si="1"/>
        <v>30</v>
      </c>
      <c r="O20" s="9">
        <f t="shared" si="2"/>
        <v>0</v>
      </c>
      <c r="P20" s="10">
        <f t="shared" si="3"/>
        <v>133.33333333333334</v>
      </c>
      <c r="Q20" s="10">
        <f t="shared" si="4"/>
        <v>105</v>
      </c>
      <c r="R20" s="10">
        <f t="shared" si="5"/>
        <v>238.33333333333334</v>
      </c>
      <c r="S20" s="10">
        <f t="shared" si="6"/>
        <v>16.666666666666668</v>
      </c>
      <c r="T20" s="9">
        <v>44</v>
      </c>
      <c r="U20" s="9">
        <f t="shared" si="7"/>
        <v>733.33333333333337</v>
      </c>
      <c r="V20" s="9">
        <v>0</v>
      </c>
      <c r="W20" s="16">
        <f t="shared" si="8"/>
        <v>7883.333333333333</v>
      </c>
      <c r="X20" s="30">
        <v>0</v>
      </c>
      <c r="Y20" s="30">
        <f t="shared" si="9"/>
        <v>0</v>
      </c>
      <c r="Z20" s="38">
        <v>0</v>
      </c>
      <c r="AA20" s="30">
        <f t="shared" si="10"/>
        <v>0</v>
      </c>
      <c r="AB20" s="30">
        <v>0</v>
      </c>
      <c r="AC20" s="30">
        <f t="shared" si="11"/>
        <v>0</v>
      </c>
      <c r="AD20" s="12">
        <f t="shared" si="12"/>
        <v>0</v>
      </c>
      <c r="AE20" s="4">
        <f t="shared" si="13"/>
        <v>7883.333333333333</v>
      </c>
      <c r="AF20" s="3">
        <f t="shared" si="14"/>
        <v>5384.6153846153848</v>
      </c>
      <c r="AG20" s="3">
        <f t="shared" si="23"/>
        <v>592.30769230769238</v>
      </c>
      <c r="AH20" s="1">
        <v>1666.6666666666667</v>
      </c>
      <c r="AI20" s="1">
        <f t="shared" si="24"/>
        <v>67492.307692307688</v>
      </c>
      <c r="AJ20" s="1">
        <f t="shared" si="25"/>
        <v>281.15384615384613</v>
      </c>
      <c r="AK20" s="3">
        <f t="shared" si="26"/>
        <v>3.9416666666666664</v>
      </c>
      <c r="AL20" s="4">
        <f t="shared" si="19"/>
        <v>7005.9301282051283</v>
      </c>
      <c r="AM20" s="3">
        <v>0</v>
      </c>
      <c r="AN20" s="4">
        <f t="shared" si="20"/>
        <v>7005.9301282051283</v>
      </c>
      <c r="AO20" s="1">
        <f t="shared" si="21"/>
        <v>1009.6153846153846</v>
      </c>
      <c r="AP20" s="41">
        <v>11</v>
      </c>
      <c r="AQ20" s="54">
        <f t="shared" si="22"/>
        <v>8892.9487179487169</v>
      </c>
    </row>
    <row r="21" spans="1:43" x14ac:dyDescent="0.35">
      <c r="A21" s="25" t="s">
        <v>151</v>
      </c>
      <c r="B21" s="44" t="s">
        <v>521</v>
      </c>
      <c r="C21" s="58" t="s">
        <v>166</v>
      </c>
      <c r="D21" s="63" t="s">
        <v>507</v>
      </c>
      <c r="E21" s="66" t="s">
        <v>90</v>
      </c>
      <c r="F21" s="69">
        <v>30002171400489</v>
      </c>
      <c r="G21" s="70" t="s">
        <v>526</v>
      </c>
      <c r="H21" s="72">
        <v>4000</v>
      </c>
      <c r="I21" s="72">
        <v>3000</v>
      </c>
      <c r="J21" s="31"/>
      <c r="K21" s="74">
        <v>1.05</v>
      </c>
      <c r="L21" s="9">
        <f t="shared" si="0"/>
        <v>3150</v>
      </c>
      <c r="M21" s="9">
        <v>0</v>
      </c>
      <c r="N21" s="9">
        <f t="shared" si="1"/>
        <v>30</v>
      </c>
      <c r="O21" s="9">
        <f t="shared" si="2"/>
        <v>0</v>
      </c>
      <c r="P21" s="10">
        <f t="shared" si="3"/>
        <v>133.33333333333334</v>
      </c>
      <c r="Q21" s="10">
        <f t="shared" si="4"/>
        <v>105</v>
      </c>
      <c r="R21" s="10">
        <f t="shared" si="5"/>
        <v>238.33333333333334</v>
      </c>
      <c r="S21" s="10">
        <f t="shared" si="6"/>
        <v>16.666666666666668</v>
      </c>
      <c r="T21" s="9">
        <v>44</v>
      </c>
      <c r="U21" s="9">
        <f t="shared" si="7"/>
        <v>733.33333333333337</v>
      </c>
      <c r="V21" s="9">
        <v>0</v>
      </c>
      <c r="W21" s="16">
        <f t="shared" si="8"/>
        <v>7883.333333333333</v>
      </c>
      <c r="X21" s="30">
        <v>0</v>
      </c>
      <c r="Y21" s="30">
        <f t="shared" si="9"/>
        <v>0</v>
      </c>
      <c r="Z21" s="38">
        <v>0</v>
      </c>
      <c r="AA21" s="30">
        <f t="shared" si="10"/>
        <v>0</v>
      </c>
      <c r="AB21" s="30">
        <v>0</v>
      </c>
      <c r="AC21" s="30">
        <f t="shared" si="11"/>
        <v>0</v>
      </c>
      <c r="AD21" s="12">
        <f t="shared" si="12"/>
        <v>0</v>
      </c>
      <c r="AE21" s="4">
        <f t="shared" si="13"/>
        <v>7883.333333333333</v>
      </c>
      <c r="AF21" s="3">
        <f t="shared" si="14"/>
        <v>5384.6153846153848</v>
      </c>
      <c r="AG21" s="3">
        <f t="shared" si="23"/>
        <v>592.30769230769238</v>
      </c>
      <c r="AH21" s="1">
        <v>1666.6666666666667</v>
      </c>
      <c r="AI21" s="1">
        <f t="shared" si="24"/>
        <v>67492.307692307688</v>
      </c>
      <c r="AJ21" s="1">
        <f t="shared" si="25"/>
        <v>281.15384615384613</v>
      </c>
      <c r="AK21" s="3">
        <f t="shared" si="26"/>
        <v>3.9416666666666664</v>
      </c>
      <c r="AL21" s="4">
        <f t="shared" si="19"/>
        <v>7005.9301282051283</v>
      </c>
      <c r="AM21" s="3">
        <v>0</v>
      </c>
      <c r="AN21" s="4">
        <f t="shared" si="20"/>
        <v>7005.9301282051283</v>
      </c>
      <c r="AO21" s="1">
        <f t="shared" si="21"/>
        <v>1009.6153846153846</v>
      </c>
      <c r="AP21" s="41">
        <v>6</v>
      </c>
      <c r="AQ21" s="54">
        <f t="shared" si="22"/>
        <v>8892.9487179487169</v>
      </c>
    </row>
    <row r="22" spans="1:43" x14ac:dyDescent="0.35">
      <c r="A22" s="25" t="s">
        <v>151</v>
      </c>
      <c r="B22" s="44" t="s">
        <v>346</v>
      </c>
      <c r="C22" s="58" t="s">
        <v>188</v>
      </c>
      <c r="D22" s="63" t="s">
        <v>507</v>
      </c>
      <c r="E22" s="66" t="s">
        <v>131</v>
      </c>
      <c r="F22" s="69" t="s">
        <v>132</v>
      </c>
      <c r="G22" s="70" t="s">
        <v>526</v>
      </c>
      <c r="H22" s="72">
        <v>4000</v>
      </c>
      <c r="I22" s="72">
        <v>3000</v>
      </c>
      <c r="J22" s="31"/>
      <c r="K22" s="74">
        <v>1.05</v>
      </c>
      <c r="L22" s="9">
        <f t="shared" si="0"/>
        <v>3150</v>
      </c>
      <c r="M22" s="9">
        <v>0</v>
      </c>
      <c r="N22" s="9">
        <f t="shared" si="1"/>
        <v>30</v>
      </c>
      <c r="O22" s="9">
        <f t="shared" si="2"/>
        <v>0</v>
      </c>
      <c r="P22" s="10">
        <f t="shared" si="3"/>
        <v>133.33333333333334</v>
      </c>
      <c r="Q22" s="10">
        <f t="shared" si="4"/>
        <v>105</v>
      </c>
      <c r="R22" s="10">
        <f t="shared" si="5"/>
        <v>238.33333333333334</v>
      </c>
      <c r="S22" s="10">
        <f t="shared" si="6"/>
        <v>16.666666666666668</v>
      </c>
      <c r="T22" s="9">
        <v>44</v>
      </c>
      <c r="U22" s="9">
        <f t="shared" si="7"/>
        <v>733.33333333333337</v>
      </c>
      <c r="V22" s="9">
        <v>0</v>
      </c>
      <c r="W22" s="16">
        <f t="shared" si="8"/>
        <v>7883.333333333333</v>
      </c>
      <c r="X22" s="30">
        <v>0</v>
      </c>
      <c r="Y22" s="30">
        <f t="shared" si="9"/>
        <v>0</v>
      </c>
      <c r="Z22" s="38">
        <v>0</v>
      </c>
      <c r="AA22" s="30">
        <f t="shared" si="10"/>
        <v>0</v>
      </c>
      <c r="AB22" s="30">
        <v>0</v>
      </c>
      <c r="AC22" s="30">
        <f t="shared" si="11"/>
        <v>0</v>
      </c>
      <c r="AD22" s="12">
        <f t="shared" si="12"/>
        <v>0</v>
      </c>
      <c r="AE22" s="4">
        <f t="shared" si="13"/>
        <v>7883.333333333333</v>
      </c>
      <c r="AF22" s="3">
        <f t="shared" si="14"/>
        <v>5384.6153846153848</v>
      </c>
      <c r="AG22" s="3">
        <f t="shared" si="23"/>
        <v>592.30769230769238</v>
      </c>
      <c r="AH22" s="1">
        <v>1666.6666666666667</v>
      </c>
      <c r="AI22" s="1">
        <f t="shared" si="24"/>
        <v>67492.307692307688</v>
      </c>
      <c r="AJ22" s="1">
        <f t="shared" si="25"/>
        <v>281.15384615384613</v>
      </c>
      <c r="AK22" s="3">
        <f t="shared" si="26"/>
        <v>3.9416666666666664</v>
      </c>
      <c r="AL22" s="4">
        <f t="shared" si="19"/>
        <v>7005.9301282051283</v>
      </c>
      <c r="AM22" s="3">
        <v>0</v>
      </c>
      <c r="AN22" s="4">
        <f t="shared" si="20"/>
        <v>7005.9301282051283</v>
      </c>
      <c r="AO22" s="1">
        <f t="shared" si="21"/>
        <v>1009.6153846153846</v>
      </c>
      <c r="AP22" s="41">
        <v>13</v>
      </c>
      <c r="AQ22" s="54">
        <f t="shared" si="22"/>
        <v>8892.9487179487169</v>
      </c>
    </row>
    <row r="23" spans="1:43" x14ac:dyDescent="0.35">
      <c r="A23" s="25" t="s">
        <v>151</v>
      </c>
      <c r="B23" s="44" t="s">
        <v>347</v>
      </c>
      <c r="C23" s="58" t="s">
        <v>167</v>
      </c>
      <c r="D23" s="63" t="s">
        <v>507</v>
      </c>
      <c r="E23" s="64" t="s">
        <v>91</v>
      </c>
      <c r="F23" s="69" t="s">
        <v>92</v>
      </c>
      <c r="G23" s="70" t="s">
        <v>526</v>
      </c>
      <c r="H23" s="72">
        <v>4000</v>
      </c>
      <c r="I23" s="72">
        <v>3000</v>
      </c>
      <c r="J23" s="31"/>
      <c r="K23" s="74">
        <v>1.05</v>
      </c>
      <c r="L23" s="9">
        <f t="shared" si="0"/>
        <v>3150</v>
      </c>
      <c r="M23" s="9">
        <v>0</v>
      </c>
      <c r="N23" s="9">
        <f t="shared" si="1"/>
        <v>30</v>
      </c>
      <c r="O23" s="9">
        <f t="shared" si="2"/>
        <v>0</v>
      </c>
      <c r="P23" s="10">
        <f t="shared" si="3"/>
        <v>133.33333333333334</v>
      </c>
      <c r="Q23" s="10">
        <f t="shared" si="4"/>
        <v>105</v>
      </c>
      <c r="R23" s="10">
        <f t="shared" si="5"/>
        <v>238.33333333333334</v>
      </c>
      <c r="S23" s="10">
        <f t="shared" si="6"/>
        <v>16.666666666666668</v>
      </c>
      <c r="T23" s="9">
        <v>44</v>
      </c>
      <c r="U23" s="9">
        <f t="shared" si="7"/>
        <v>733.33333333333337</v>
      </c>
      <c r="V23" s="9">
        <v>0</v>
      </c>
      <c r="W23" s="16">
        <f t="shared" si="8"/>
        <v>7883.333333333333</v>
      </c>
      <c r="X23" s="30">
        <v>0</v>
      </c>
      <c r="Y23" s="30">
        <f t="shared" si="9"/>
        <v>0</v>
      </c>
      <c r="Z23" s="38">
        <v>2</v>
      </c>
      <c r="AA23" s="30">
        <f t="shared" si="10"/>
        <v>266.66666666666669</v>
      </c>
      <c r="AB23" s="30">
        <v>0</v>
      </c>
      <c r="AC23" s="30">
        <f t="shared" si="11"/>
        <v>0</v>
      </c>
      <c r="AD23" s="12">
        <f t="shared" si="12"/>
        <v>266.66666666666669</v>
      </c>
      <c r="AE23" s="4">
        <f t="shared" si="13"/>
        <v>7616.6666666666661</v>
      </c>
      <c r="AF23" s="3">
        <f t="shared" si="14"/>
        <v>5384.6153846153848</v>
      </c>
      <c r="AG23" s="3">
        <f t="shared" si="23"/>
        <v>592.30769230769238</v>
      </c>
      <c r="AH23" s="1">
        <v>1666.6666666666667</v>
      </c>
      <c r="AI23" s="1">
        <f t="shared" si="24"/>
        <v>64292.307692307681</v>
      </c>
      <c r="AJ23" s="1">
        <f t="shared" si="25"/>
        <v>241.15384615384599</v>
      </c>
      <c r="AK23" s="3">
        <f t="shared" si="26"/>
        <v>3.8083333333333331</v>
      </c>
      <c r="AL23" s="4">
        <f t="shared" si="19"/>
        <v>6779.3967948717946</v>
      </c>
      <c r="AM23" s="3">
        <v>0</v>
      </c>
      <c r="AN23" s="4">
        <f t="shared" si="20"/>
        <v>6779.3967948717946</v>
      </c>
      <c r="AO23" s="1">
        <f t="shared" si="21"/>
        <v>1009.6153846153846</v>
      </c>
      <c r="AP23" s="41">
        <v>10</v>
      </c>
      <c r="AQ23" s="54">
        <f t="shared" si="22"/>
        <v>8626.2820512820508</v>
      </c>
    </row>
    <row r="24" spans="1:43" x14ac:dyDescent="0.35">
      <c r="A24" s="25" t="s">
        <v>151</v>
      </c>
      <c r="B24" s="44" t="s">
        <v>348</v>
      </c>
      <c r="C24" s="58" t="s">
        <v>168</v>
      </c>
      <c r="D24" s="63" t="s">
        <v>507</v>
      </c>
      <c r="E24" s="64" t="s">
        <v>93</v>
      </c>
      <c r="F24" s="69" t="s">
        <v>94</v>
      </c>
      <c r="G24" s="70" t="s">
        <v>526</v>
      </c>
      <c r="H24" s="72">
        <v>4000</v>
      </c>
      <c r="I24" s="72">
        <v>3000</v>
      </c>
      <c r="J24" s="31"/>
      <c r="K24" s="74">
        <v>1.05</v>
      </c>
      <c r="L24" s="37">
        <f t="shared" si="0"/>
        <v>3150</v>
      </c>
      <c r="M24" s="9">
        <v>0</v>
      </c>
      <c r="N24" s="9">
        <f t="shared" si="1"/>
        <v>30</v>
      </c>
      <c r="O24" s="9">
        <f t="shared" si="2"/>
        <v>0</v>
      </c>
      <c r="P24" s="10">
        <f t="shared" si="3"/>
        <v>133.33333333333334</v>
      </c>
      <c r="Q24" s="10">
        <f t="shared" si="4"/>
        <v>105</v>
      </c>
      <c r="R24" s="10">
        <f t="shared" si="5"/>
        <v>238.33333333333334</v>
      </c>
      <c r="S24" s="10">
        <f t="shared" si="6"/>
        <v>16.666666666666668</v>
      </c>
      <c r="T24" s="9">
        <v>44</v>
      </c>
      <c r="U24" s="9">
        <f t="shared" si="7"/>
        <v>733.33333333333337</v>
      </c>
      <c r="V24" s="9">
        <v>0</v>
      </c>
      <c r="W24" s="16">
        <f t="shared" si="8"/>
        <v>7883.333333333333</v>
      </c>
      <c r="X24" s="30">
        <v>0</v>
      </c>
      <c r="Y24" s="30">
        <f t="shared" si="9"/>
        <v>0</v>
      </c>
      <c r="Z24" s="38">
        <v>0</v>
      </c>
      <c r="AA24" s="30">
        <f t="shared" si="10"/>
        <v>0</v>
      </c>
      <c r="AB24" s="30">
        <v>0</v>
      </c>
      <c r="AC24" s="30">
        <f t="shared" si="11"/>
        <v>0</v>
      </c>
      <c r="AD24" s="12">
        <f t="shared" si="12"/>
        <v>0</v>
      </c>
      <c r="AE24" s="4">
        <f t="shared" si="13"/>
        <v>7883.333333333333</v>
      </c>
      <c r="AF24" s="3">
        <f t="shared" si="14"/>
        <v>5384.6153846153848</v>
      </c>
      <c r="AG24" s="3">
        <f t="shared" si="23"/>
        <v>592.30769230769238</v>
      </c>
      <c r="AH24" s="1">
        <v>1666.6666666666667</v>
      </c>
      <c r="AI24" s="1">
        <f t="shared" si="24"/>
        <v>67492.307692307688</v>
      </c>
      <c r="AJ24" s="1">
        <f t="shared" si="25"/>
        <v>281.15384615384613</v>
      </c>
      <c r="AK24" s="3">
        <f t="shared" si="26"/>
        <v>3.9416666666666664</v>
      </c>
      <c r="AL24" s="4">
        <f t="shared" si="19"/>
        <v>7005.9301282051283</v>
      </c>
      <c r="AM24" s="3">
        <v>0</v>
      </c>
      <c r="AN24" s="4">
        <f t="shared" si="20"/>
        <v>7005.9301282051283</v>
      </c>
      <c r="AO24" s="1">
        <f t="shared" si="21"/>
        <v>1009.6153846153846</v>
      </c>
      <c r="AP24" s="41">
        <v>19</v>
      </c>
      <c r="AQ24" s="54">
        <f t="shared" si="22"/>
        <v>8892.9487179487169</v>
      </c>
    </row>
    <row r="25" spans="1:43" x14ac:dyDescent="0.35">
      <c r="A25" s="25" t="s">
        <v>151</v>
      </c>
      <c r="B25" s="44" t="s">
        <v>349</v>
      </c>
      <c r="C25" s="58" t="s">
        <v>169</v>
      </c>
      <c r="D25" s="63" t="s">
        <v>507</v>
      </c>
      <c r="E25" s="64" t="s">
        <v>95</v>
      </c>
      <c r="F25" s="69" t="s">
        <v>96</v>
      </c>
      <c r="G25" s="70" t="s">
        <v>526</v>
      </c>
      <c r="H25" s="72">
        <v>4000</v>
      </c>
      <c r="I25" s="72">
        <v>3000</v>
      </c>
      <c r="J25" s="31"/>
      <c r="K25" s="74">
        <v>1.05</v>
      </c>
      <c r="L25" s="9">
        <f t="shared" si="0"/>
        <v>3150</v>
      </c>
      <c r="M25" s="9">
        <v>0</v>
      </c>
      <c r="N25" s="9">
        <f t="shared" si="1"/>
        <v>30</v>
      </c>
      <c r="O25" s="9">
        <f t="shared" si="2"/>
        <v>0</v>
      </c>
      <c r="P25" s="10">
        <f t="shared" si="3"/>
        <v>133.33333333333334</v>
      </c>
      <c r="Q25" s="10">
        <f t="shared" si="4"/>
        <v>105</v>
      </c>
      <c r="R25" s="10">
        <f t="shared" si="5"/>
        <v>238.33333333333334</v>
      </c>
      <c r="S25" s="10">
        <f t="shared" si="6"/>
        <v>16.666666666666668</v>
      </c>
      <c r="T25" s="9">
        <v>44</v>
      </c>
      <c r="U25" s="9">
        <f t="shared" si="7"/>
        <v>733.33333333333337</v>
      </c>
      <c r="V25" s="9">
        <v>0</v>
      </c>
      <c r="W25" s="16">
        <f t="shared" si="8"/>
        <v>7883.333333333333</v>
      </c>
      <c r="X25" s="30">
        <v>0</v>
      </c>
      <c r="Y25" s="30">
        <f t="shared" si="9"/>
        <v>0</v>
      </c>
      <c r="Z25" s="38">
        <v>0</v>
      </c>
      <c r="AA25" s="30">
        <f t="shared" si="10"/>
        <v>0</v>
      </c>
      <c r="AB25" s="30">
        <v>0</v>
      </c>
      <c r="AC25" s="30">
        <f t="shared" si="11"/>
        <v>0</v>
      </c>
      <c r="AD25" s="12">
        <f t="shared" si="12"/>
        <v>0</v>
      </c>
      <c r="AE25" s="4">
        <f t="shared" si="13"/>
        <v>7883.333333333333</v>
      </c>
      <c r="AF25" s="3">
        <f t="shared" si="14"/>
        <v>5384.6153846153848</v>
      </c>
      <c r="AG25" s="3">
        <f t="shared" si="23"/>
        <v>592.30769230769238</v>
      </c>
      <c r="AH25" s="1">
        <v>1666.6666666666667</v>
      </c>
      <c r="AI25" s="1">
        <f t="shared" si="24"/>
        <v>67492.307692307688</v>
      </c>
      <c r="AJ25" s="1">
        <f t="shared" si="25"/>
        <v>281.15384615384613</v>
      </c>
      <c r="AK25" s="3">
        <f t="shared" si="26"/>
        <v>3.9416666666666664</v>
      </c>
      <c r="AL25" s="4">
        <f t="shared" si="19"/>
        <v>7005.9301282051283</v>
      </c>
      <c r="AM25" s="3">
        <v>0</v>
      </c>
      <c r="AN25" s="4">
        <f t="shared" si="20"/>
        <v>7005.9301282051283</v>
      </c>
      <c r="AO25" s="1">
        <f t="shared" si="21"/>
        <v>1009.6153846153846</v>
      </c>
      <c r="AP25" s="41">
        <v>7</v>
      </c>
      <c r="AQ25" s="54">
        <f t="shared" si="22"/>
        <v>8892.9487179487169</v>
      </c>
    </row>
    <row r="26" spans="1:43" x14ac:dyDescent="0.35">
      <c r="A26" s="25" t="s">
        <v>151</v>
      </c>
      <c r="B26" s="44" t="s">
        <v>350</v>
      </c>
      <c r="C26" s="58" t="s">
        <v>189</v>
      </c>
      <c r="D26" s="63" t="s">
        <v>507</v>
      </c>
      <c r="E26" s="64" t="s">
        <v>133</v>
      </c>
      <c r="F26" s="69" t="s">
        <v>134</v>
      </c>
      <c r="G26" s="70" t="s">
        <v>526</v>
      </c>
      <c r="H26" s="72">
        <v>4000</v>
      </c>
      <c r="I26" s="72">
        <v>3000</v>
      </c>
      <c r="J26" s="31"/>
      <c r="K26" s="74">
        <v>1.05</v>
      </c>
      <c r="L26" s="9">
        <f t="shared" si="0"/>
        <v>3150</v>
      </c>
      <c r="M26" s="9">
        <v>0</v>
      </c>
      <c r="N26" s="9">
        <f t="shared" si="1"/>
        <v>30</v>
      </c>
      <c r="O26" s="9">
        <f t="shared" si="2"/>
        <v>0</v>
      </c>
      <c r="P26" s="10">
        <f t="shared" si="3"/>
        <v>133.33333333333334</v>
      </c>
      <c r="Q26" s="10">
        <f t="shared" si="4"/>
        <v>105</v>
      </c>
      <c r="R26" s="10">
        <f t="shared" si="5"/>
        <v>238.33333333333334</v>
      </c>
      <c r="S26" s="10">
        <f t="shared" si="6"/>
        <v>16.666666666666668</v>
      </c>
      <c r="T26" s="9">
        <v>44</v>
      </c>
      <c r="U26" s="9">
        <f t="shared" si="7"/>
        <v>733.33333333333337</v>
      </c>
      <c r="V26" s="9">
        <v>0</v>
      </c>
      <c r="W26" s="16">
        <f t="shared" si="8"/>
        <v>7883.333333333333</v>
      </c>
      <c r="X26" s="30">
        <v>0</v>
      </c>
      <c r="Y26" s="30">
        <f t="shared" si="9"/>
        <v>0</v>
      </c>
      <c r="Z26" s="38">
        <v>0</v>
      </c>
      <c r="AA26" s="30">
        <f t="shared" si="10"/>
        <v>0</v>
      </c>
      <c r="AB26" s="30">
        <v>0</v>
      </c>
      <c r="AC26" s="30">
        <f t="shared" si="11"/>
        <v>0</v>
      </c>
      <c r="AD26" s="12">
        <f t="shared" si="12"/>
        <v>0</v>
      </c>
      <c r="AE26" s="4">
        <f t="shared" si="13"/>
        <v>7883.333333333333</v>
      </c>
      <c r="AF26" s="3">
        <f t="shared" si="14"/>
        <v>5384.6153846153848</v>
      </c>
      <c r="AG26" s="3">
        <f t="shared" si="23"/>
        <v>592.30769230769238</v>
      </c>
      <c r="AH26" s="1">
        <v>1666.6666666666667</v>
      </c>
      <c r="AI26" s="1">
        <f t="shared" si="24"/>
        <v>67492.307692307688</v>
      </c>
      <c r="AJ26" s="1">
        <f t="shared" si="25"/>
        <v>281.15384615384613</v>
      </c>
      <c r="AK26" s="3">
        <f t="shared" si="26"/>
        <v>3.9416666666666664</v>
      </c>
      <c r="AL26" s="4">
        <f t="shared" si="19"/>
        <v>7005.9301282051283</v>
      </c>
      <c r="AM26" s="3">
        <v>0</v>
      </c>
      <c r="AN26" s="4">
        <f t="shared" si="20"/>
        <v>7005.9301282051283</v>
      </c>
      <c r="AO26" s="1">
        <f t="shared" si="21"/>
        <v>1009.6153846153846</v>
      </c>
      <c r="AP26" s="41">
        <v>15</v>
      </c>
      <c r="AQ26" s="54">
        <f t="shared" si="22"/>
        <v>8892.9487179487169</v>
      </c>
    </row>
    <row r="27" spans="1:43" x14ac:dyDescent="0.35">
      <c r="A27" s="25" t="s">
        <v>151</v>
      </c>
      <c r="B27" s="44" t="s">
        <v>351</v>
      </c>
      <c r="C27" s="58" t="s">
        <v>190</v>
      </c>
      <c r="D27" s="63" t="s">
        <v>507</v>
      </c>
      <c r="E27" s="66" t="s">
        <v>731</v>
      </c>
      <c r="F27" s="69" t="s">
        <v>135</v>
      </c>
      <c r="G27" s="70" t="s">
        <v>526</v>
      </c>
      <c r="H27" s="72">
        <v>4000</v>
      </c>
      <c r="I27" s="72">
        <v>3000</v>
      </c>
      <c r="J27" s="31"/>
      <c r="K27" s="74">
        <v>1.05</v>
      </c>
      <c r="L27" s="9">
        <f t="shared" si="0"/>
        <v>3150</v>
      </c>
      <c r="M27" s="9">
        <v>0</v>
      </c>
      <c r="N27" s="9">
        <f t="shared" si="1"/>
        <v>30</v>
      </c>
      <c r="O27" s="9">
        <f t="shared" si="2"/>
        <v>0</v>
      </c>
      <c r="P27" s="10">
        <f t="shared" si="3"/>
        <v>133.33333333333334</v>
      </c>
      <c r="Q27" s="10">
        <f t="shared" si="4"/>
        <v>105</v>
      </c>
      <c r="R27" s="10">
        <f t="shared" si="5"/>
        <v>238.33333333333334</v>
      </c>
      <c r="S27" s="10">
        <f t="shared" si="6"/>
        <v>16.666666666666668</v>
      </c>
      <c r="T27" s="9">
        <v>44</v>
      </c>
      <c r="U27" s="9">
        <f t="shared" si="7"/>
        <v>733.33333333333337</v>
      </c>
      <c r="V27" s="9">
        <v>0</v>
      </c>
      <c r="W27" s="16">
        <f t="shared" si="8"/>
        <v>7883.333333333333</v>
      </c>
      <c r="X27" s="30">
        <v>0</v>
      </c>
      <c r="Y27" s="30">
        <f t="shared" si="9"/>
        <v>0</v>
      </c>
      <c r="Z27" s="38">
        <v>0</v>
      </c>
      <c r="AA27" s="30">
        <f t="shared" si="10"/>
        <v>0</v>
      </c>
      <c r="AB27" s="30">
        <v>0</v>
      </c>
      <c r="AC27" s="30">
        <f t="shared" si="11"/>
        <v>0</v>
      </c>
      <c r="AD27" s="12">
        <f t="shared" si="12"/>
        <v>0</v>
      </c>
      <c r="AE27" s="4">
        <f t="shared" si="13"/>
        <v>7883.333333333333</v>
      </c>
      <c r="AF27" s="3">
        <f t="shared" si="14"/>
        <v>5384.6153846153848</v>
      </c>
      <c r="AG27" s="3">
        <f t="shared" si="23"/>
        <v>592.30769230769238</v>
      </c>
      <c r="AH27" s="1">
        <v>1666.6666666666667</v>
      </c>
      <c r="AI27" s="1">
        <f t="shared" si="24"/>
        <v>67492.307692307688</v>
      </c>
      <c r="AJ27" s="1">
        <f t="shared" si="25"/>
        <v>281.15384615384613</v>
      </c>
      <c r="AK27" s="3">
        <f t="shared" si="26"/>
        <v>3.9416666666666664</v>
      </c>
      <c r="AL27" s="4">
        <f t="shared" si="19"/>
        <v>7005.9301282051283</v>
      </c>
      <c r="AM27" s="3">
        <v>0</v>
      </c>
      <c r="AN27" s="4">
        <f t="shared" si="20"/>
        <v>7005.9301282051283</v>
      </c>
      <c r="AO27" s="1">
        <f t="shared" si="21"/>
        <v>1009.6153846153846</v>
      </c>
      <c r="AP27" s="41">
        <v>15</v>
      </c>
      <c r="AQ27" s="54">
        <f t="shared" si="22"/>
        <v>8892.9487179487169</v>
      </c>
    </row>
    <row r="28" spans="1:43" x14ac:dyDescent="0.35">
      <c r="A28" s="25" t="s">
        <v>151</v>
      </c>
      <c r="B28" s="44" t="s">
        <v>352</v>
      </c>
      <c r="C28" s="58" t="s">
        <v>191</v>
      </c>
      <c r="D28" s="63" t="s">
        <v>507</v>
      </c>
      <c r="E28" s="66" t="s">
        <v>136</v>
      </c>
      <c r="F28" s="69" t="s">
        <v>137</v>
      </c>
      <c r="G28" s="70" t="s">
        <v>28</v>
      </c>
      <c r="H28" s="72">
        <v>4000</v>
      </c>
      <c r="I28" s="72">
        <v>3000</v>
      </c>
      <c r="J28" s="31"/>
      <c r="K28" s="74">
        <v>1.05</v>
      </c>
      <c r="L28" s="9">
        <f t="shared" si="0"/>
        <v>3150</v>
      </c>
      <c r="M28" s="9">
        <v>0</v>
      </c>
      <c r="N28" s="9">
        <f t="shared" si="1"/>
        <v>30</v>
      </c>
      <c r="O28" s="9">
        <f t="shared" si="2"/>
        <v>0</v>
      </c>
      <c r="P28" s="10">
        <f t="shared" si="3"/>
        <v>133.33333333333334</v>
      </c>
      <c r="Q28" s="10">
        <f t="shared" si="4"/>
        <v>105</v>
      </c>
      <c r="R28" s="10">
        <f t="shared" si="5"/>
        <v>238.33333333333334</v>
      </c>
      <c r="S28" s="10">
        <f t="shared" si="6"/>
        <v>16.666666666666668</v>
      </c>
      <c r="T28" s="9">
        <v>44</v>
      </c>
      <c r="U28" s="9">
        <f t="shared" si="7"/>
        <v>733.33333333333337</v>
      </c>
      <c r="V28" s="9">
        <v>0</v>
      </c>
      <c r="W28" s="16">
        <f t="shared" si="8"/>
        <v>7883.333333333333</v>
      </c>
      <c r="X28" s="30">
        <v>0</v>
      </c>
      <c r="Y28" s="30">
        <f t="shared" si="9"/>
        <v>0</v>
      </c>
      <c r="Z28" s="38">
        <v>0</v>
      </c>
      <c r="AA28" s="30">
        <f t="shared" si="10"/>
        <v>0</v>
      </c>
      <c r="AB28" s="30">
        <v>0</v>
      </c>
      <c r="AC28" s="30">
        <f t="shared" si="11"/>
        <v>0</v>
      </c>
      <c r="AD28" s="12">
        <f t="shared" si="12"/>
        <v>0</v>
      </c>
      <c r="AE28" s="4">
        <f t="shared" si="13"/>
        <v>7883.333333333333</v>
      </c>
      <c r="AF28" s="3">
        <f t="shared" si="14"/>
        <v>5384.6153846153848</v>
      </c>
      <c r="AG28" s="3">
        <f t="shared" si="23"/>
        <v>592.30769230769238</v>
      </c>
      <c r="AH28" s="1">
        <v>1666.6666666666667</v>
      </c>
      <c r="AI28" s="1">
        <f t="shared" si="24"/>
        <v>67492.307692307688</v>
      </c>
      <c r="AJ28" s="1">
        <f t="shared" si="25"/>
        <v>281.15384615384613</v>
      </c>
      <c r="AK28" s="3">
        <f t="shared" si="26"/>
        <v>3.9416666666666664</v>
      </c>
      <c r="AL28" s="4">
        <f t="shared" si="19"/>
        <v>7005.9301282051283</v>
      </c>
      <c r="AM28" s="3">
        <v>0</v>
      </c>
      <c r="AN28" s="4">
        <f t="shared" si="20"/>
        <v>7005.9301282051283</v>
      </c>
      <c r="AO28" s="1">
        <f t="shared" si="21"/>
        <v>1009.6153846153846</v>
      </c>
      <c r="AP28" s="41">
        <v>9</v>
      </c>
      <c r="AQ28" s="54">
        <f t="shared" si="22"/>
        <v>8892.9487179487169</v>
      </c>
    </row>
    <row r="29" spans="1:43" x14ac:dyDescent="0.35">
      <c r="A29" s="25" t="s">
        <v>151</v>
      </c>
      <c r="B29" s="44" t="s">
        <v>353</v>
      </c>
      <c r="C29" s="58" t="s">
        <v>192</v>
      </c>
      <c r="D29" s="63" t="s">
        <v>507</v>
      </c>
      <c r="E29" s="66" t="s">
        <v>138</v>
      </c>
      <c r="F29" s="69" t="s">
        <v>139</v>
      </c>
      <c r="G29" s="70" t="s">
        <v>526</v>
      </c>
      <c r="H29" s="72">
        <v>4000</v>
      </c>
      <c r="I29" s="72">
        <v>3000</v>
      </c>
      <c r="J29" s="31"/>
      <c r="K29" s="74">
        <v>1.05</v>
      </c>
      <c r="L29" s="9">
        <f t="shared" si="0"/>
        <v>3150</v>
      </c>
      <c r="M29" s="9">
        <v>0</v>
      </c>
      <c r="N29" s="9">
        <f t="shared" si="1"/>
        <v>30</v>
      </c>
      <c r="O29" s="9">
        <f t="shared" si="2"/>
        <v>0</v>
      </c>
      <c r="P29" s="10">
        <f t="shared" si="3"/>
        <v>133.33333333333334</v>
      </c>
      <c r="Q29" s="10">
        <f t="shared" si="4"/>
        <v>105</v>
      </c>
      <c r="R29" s="10">
        <f t="shared" si="5"/>
        <v>238.33333333333334</v>
      </c>
      <c r="S29" s="10">
        <f t="shared" si="6"/>
        <v>16.666666666666668</v>
      </c>
      <c r="T29" s="9">
        <v>44</v>
      </c>
      <c r="U29" s="9">
        <f t="shared" si="7"/>
        <v>733.33333333333337</v>
      </c>
      <c r="V29" s="9">
        <v>0</v>
      </c>
      <c r="W29" s="16">
        <f t="shared" si="8"/>
        <v>7883.333333333333</v>
      </c>
      <c r="X29" s="30">
        <v>0</v>
      </c>
      <c r="Y29" s="30">
        <f t="shared" si="9"/>
        <v>0</v>
      </c>
      <c r="Z29" s="38">
        <v>0</v>
      </c>
      <c r="AA29" s="30">
        <f t="shared" si="10"/>
        <v>0</v>
      </c>
      <c r="AB29" s="30">
        <v>0</v>
      </c>
      <c r="AC29" s="30">
        <f t="shared" si="11"/>
        <v>0</v>
      </c>
      <c r="AD29" s="12">
        <f t="shared" si="12"/>
        <v>0</v>
      </c>
      <c r="AE29" s="4">
        <f t="shared" si="13"/>
        <v>7883.333333333333</v>
      </c>
      <c r="AF29" s="3">
        <f t="shared" si="14"/>
        <v>5384.6153846153848</v>
      </c>
      <c r="AG29" s="3">
        <f t="shared" si="23"/>
        <v>592.30769230769238</v>
      </c>
      <c r="AH29" s="1">
        <v>1666.6666666666667</v>
      </c>
      <c r="AI29" s="1">
        <f t="shared" si="24"/>
        <v>67492.307692307688</v>
      </c>
      <c r="AJ29" s="1">
        <f t="shared" si="25"/>
        <v>281.15384615384613</v>
      </c>
      <c r="AK29" s="3">
        <f t="shared" si="26"/>
        <v>3.9416666666666664</v>
      </c>
      <c r="AL29" s="4">
        <f t="shared" si="19"/>
        <v>7005.9301282051283</v>
      </c>
      <c r="AM29" s="3">
        <v>0</v>
      </c>
      <c r="AN29" s="4">
        <f t="shared" si="20"/>
        <v>7005.9301282051283</v>
      </c>
      <c r="AO29" s="1">
        <f t="shared" si="21"/>
        <v>1009.6153846153846</v>
      </c>
      <c r="AP29" s="41">
        <v>16</v>
      </c>
      <c r="AQ29" s="54">
        <f t="shared" si="22"/>
        <v>8892.9487179487169</v>
      </c>
    </row>
    <row r="30" spans="1:43" x14ac:dyDescent="0.35">
      <c r="A30" s="25" t="s">
        <v>151</v>
      </c>
      <c r="B30" s="44" t="s">
        <v>354</v>
      </c>
      <c r="C30" s="58" t="s">
        <v>193</v>
      </c>
      <c r="D30" s="63" t="s">
        <v>507</v>
      </c>
      <c r="E30" s="66" t="s">
        <v>140</v>
      </c>
      <c r="F30" s="69" t="s">
        <v>141</v>
      </c>
      <c r="G30" s="70" t="s">
        <v>526</v>
      </c>
      <c r="H30" s="72">
        <v>4000</v>
      </c>
      <c r="I30" s="72">
        <v>3000</v>
      </c>
      <c r="J30" s="31"/>
      <c r="K30" s="74">
        <v>1.05</v>
      </c>
      <c r="L30" s="9">
        <f t="shared" si="0"/>
        <v>3150</v>
      </c>
      <c r="M30" s="9">
        <v>0</v>
      </c>
      <c r="N30" s="9">
        <f t="shared" si="1"/>
        <v>30</v>
      </c>
      <c r="O30" s="9">
        <f t="shared" si="2"/>
        <v>0</v>
      </c>
      <c r="P30" s="10">
        <f t="shared" si="3"/>
        <v>133.33333333333334</v>
      </c>
      <c r="Q30" s="10">
        <f t="shared" si="4"/>
        <v>105</v>
      </c>
      <c r="R30" s="10">
        <f t="shared" si="5"/>
        <v>238.33333333333334</v>
      </c>
      <c r="S30" s="10">
        <f t="shared" si="6"/>
        <v>16.666666666666668</v>
      </c>
      <c r="T30" s="9">
        <v>44</v>
      </c>
      <c r="U30" s="9">
        <f t="shared" si="7"/>
        <v>733.33333333333337</v>
      </c>
      <c r="V30" s="9">
        <v>0</v>
      </c>
      <c r="W30" s="16">
        <f t="shared" si="8"/>
        <v>7883.333333333333</v>
      </c>
      <c r="X30" s="30">
        <v>0</v>
      </c>
      <c r="Y30" s="30">
        <f t="shared" si="9"/>
        <v>0</v>
      </c>
      <c r="Z30" s="38">
        <v>1</v>
      </c>
      <c r="AA30" s="30">
        <f t="shared" si="10"/>
        <v>133.33333333333334</v>
      </c>
      <c r="AB30" s="30">
        <v>0</v>
      </c>
      <c r="AC30" s="30">
        <f t="shared" si="11"/>
        <v>0</v>
      </c>
      <c r="AD30" s="12">
        <f t="shared" si="12"/>
        <v>133.33333333333334</v>
      </c>
      <c r="AE30" s="4">
        <f t="shared" si="13"/>
        <v>7750</v>
      </c>
      <c r="AF30" s="3">
        <f t="shared" si="14"/>
        <v>5384.6153846153848</v>
      </c>
      <c r="AG30" s="3">
        <f t="shared" si="23"/>
        <v>592.30769230769238</v>
      </c>
      <c r="AH30" s="1">
        <v>1666.6666666666667</v>
      </c>
      <c r="AI30" s="1">
        <f t="shared" si="24"/>
        <v>65892.307692307688</v>
      </c>
      <c r="AJ30" s="1">
        <f t="shared" si="25"/>
        <v>261.15384615384613</v>
      </c>
      <c r="AK30" s="3">
        <f t="shared" si="26"/>
        <v>3.875</v>
      </c>
      <c r="AL30" s="4">
        <f t="shared" si="19"/>
        <v>6892.6634615384619</v>
      </c>
      <c r="AM30" s="3">
        <v>0</v>
      </c>
      <c r="AN30" s="4">
        <f t="shared" si="20"/>
        <v>6892.6634615384619</v>
      </c>
      <c r="AO30" s="1">
        <f t="shared" si="21"/>
        <v>1009.6153846153846</v>
      </c>
      <c r="AP30" s="41">
        <v>18</v>
      </c>
      <c r="AQ30" s="54">
        <f t="shared" si="22"/>
        <v>8759.6153846153848</v>
      </c>
    </row>
    <row r="31" spans="1:43" x14ac:dyDescent="0.35">
      <c r="A31" s="25" t="s">
        <v>151</v>
      </c>
      <c r="B31" s="44" t="s">
        <v>355</v>
      </c>
      <c r="C31" s="58" t="s">
        <v>181</v>
      </c>
      <c r="D31" s="63" t="s">
        <v>507</v>
      </c>
      <c r="E31" s="66" t="s">
        <v>144</v>
      </c>
      <c r="F31" s="69" t="s">
        <v>145</v>
      </c>
      <c r="G31" s="70" t="s">
        <v>656</v>
      </c>
      <c r="H31" s="72">
        <v>5000</v>
      </c>
      <c r="I31" s="72">
        <v>3000</v>
      </c>
      <c r="J31" s="31"/>
      <c r="K31" s="74">
        <v>1.05</v>
      </c>
      <c r="L31" s="9">
        <f t="shared" ref="L31:L45" si="27">+I31*K31</f>
        <v>3150</v>
      </c>
      <c r="M31" s="9">
        <v>0</v>
      </c>
      <c r="N31" s="9">
        <f t="shared" ref="N31:N46" si="28">30-X31</f>
        <v>30</v>
      </c>
      <c r="O31" s="9">
        <f t="shared" ref="O31:O46" si="29">M31*N31</f>
        <v>0</v>
      </c>
      <c r="P31" s="10">
        <f t="shared" ref="P31:P46" si="30">H31/30</f>
        <v>166.66666666666666</v>
      </c>
      <c r="Q31" s="10">
        <f t="shared" ref="Q31:Q46" si="31">L31/30</f>
        <v>105</v>
      </c>
      <c r="R31" s="10">
        <f t="shared" ref="R31:R48" si="32">Q31+P31</f>
        <v>271.66666666666663</v>
      </c>
      <c r="S31" s="10">
        <f t="shared" ref="S31:S46" si="33">+P31/8</f>
        <v>20.833333333333332</v>
      </c>
      <c r="T31" s="9">
        <v>44</v>
      </c>
      <c r="U31" s="9">
        <f t="shared" ref="U31:U45" si="34">+S31*T31</f>
        <v>916.66666666666663</v>
      </c>
      <c r="V31" s="9">
        <v>0</v>
      </c>
      <c r="W31" s="16">
        <f t="shared" ref="W31:W45" si="35">H31+L31+O31+U31+V31+J31</f>
        <v>9066.6666666666661</v>
      </c>
      <c r="X31" s="30">
        <v>0</v>
      </c>
      <c r="Y31" s="30">
        <f t="shared" ref="Y31:Y45" si="36">R31*X31</f>
        <v>0</v>
      </c>
      <c r="Z31" s="38">
        <v>0</v>
      </c>
      <c r="AA31" s="30">
        <f t="shared" ref="AA31:AA45" si="37">P31*Z31</f>
        <v>0</v>
      </c>
      <c r="AB31" s="30">
        <v>0</v>
      </c>
      <c r="AC31" s="30">
        <f t="shared" ref="AC31:AC45" si="38">Q31*AB31</f>
        <v>0</v>
      </c>
      <c r="AD31" s="12">
        <f t="shared" ref="AD31:AD45" si="39">Y31+AA31+AC31</f>
        <v>0</v>
      </c>
      <c r="AE31" s="4">
        <f t="shared" ref="AE31:AE45" si="40">W31-AD31</f>
        <v>9066.6666666666661</v>
      </c>
      <c r="AF31" s="3">
        <f t="shared" si="14"/>
        <v>5384.6153846153848</v>
      </c>
      <c r="AG31" s="3">
        <f t="shared" si="23"/>
        <v>592.30769230769238</v>
      </c>
      <c r="AH31" s="1">
        <v>1666.6666666666667</v>
      </c>
      <c r="AI31" s="1">
        <f t="shared" si="24"/>
        <v>81692.307692307673</v>
      </c>
      <c r="AJ31" s="1">
        <f t="shared" si="25"/>
        <v>507.37179487179463</v>
      </c>
      <c r="AK31" s="3">
        <f t="shared" si="26"/>
        <v>4.5333333333333332</v>
      </c>
      <c r="AL31" s="4">
        <f t="shared" ref="AL31:AL45" si="41">+AE31-AG31-AJ31-AK31</f>
        <v>7962.4538461538441</v>
      </c>
      <c r="AM31" s="3">
        <v>0</v>
      </c>
      <c r="AN31" s="4">
        <f t="shared" ref="AN31:AN45" si="42">+AL31-AM31</f>
        <v>7962.4538461538441</v>
      </c>
      <c r="AO31" s="1">
        <f t="shared" ref="AO31:AO47" si="43">+AF31*0.1875</f>
        <v>1009.6153846153846</v>
      </c>
      <c r="AP31" s="41">
        <v>13</v>
      </c>
      <c r="AQ31" s="54">
        <f t="shared" si="22"/>
        <v>10076.282051282051</v>
      </c>
    </row>
    <row r="32" spans="1:43" x14ac:dyDescent="0.35">
      <c r="A32" s="25" t="s">
        <v>151</v>
      </c>
      <c r="B32" s="44" t="s">
        <v>807</v>
      </c>
      <c r="C32" s="58" t="s">
        <v>642</v>
      </c>
      <c r="D32" s="63" t="s">
        <v>507</v>
      </c>
      <c r="E32" s="66" t="s">
        <v>631</v>
      </c>
      <c r="F32" s="69">
        <v>30105132103624</v>
      </c>
      <c r="G32" s="70" t="s">
        <v>526</v>
      </c>
      <c r="H32" s="72">
        <v>4000</v>
      </c>
      <c r="I32" s="72">
        <v>3000</v>
      </c>
      <c r="J32" s="31"/>
      <c r="K32" s="74">
        <v>1.05</v>
      </c>
      <c r="L32" s="9">
        <f t="shared" si="27"/>
        <v>3150</v>
      </c>
      <c r="M32" s="9">
        <v>0</v>
      </c>
      <c r="N32" s="9">
        <f t="shared" si="28"/>
        <v>30</v>
      </c>
      <c r="O32" s="9">
        <f t="shared" si="29"/>
        <v>0</v>
      </c>
      <c r="P32" s="10">
        <f t="shared" si="30"/>
        <v>133.33333333333334</v>
      </c>
      <c r="Q32" s="10">
        <f t="shared" si="31"/>
        <v>105</v>
      </c>
      <c r="R32" s="10">
        <f t="shared" si="32"/>
        <v>238.33333333333334</v>
      </c>
      <c r="S32" s="10">
        <f t="shared" si="33"/>
        <v>16.666666666666668</v>
      </c>
      <c r="T32" s="9">
        <v>44</v>
      </c>
      <c r="U32" s="9">
        <f t="shared" si="34"/>
        <v>733.33333333333337</v>
      </c>
      <c r="V32" s="9">
        <v>0</v>
      </c>
      <c r="W32" s="16">
        <f t="shared" si="35"/>
        <v>7883.333333333333</v>
      </c>
      <c r="X32" s="30">
        <v>0</v>
      </c>
      <c r="Y32" s="30">
        <f t="shared" si="36"/>
        <v>0</v>
      </c>
      <c r="Z32" s="38">
        <v>1</v>
      </c>
      <c r="AA32" s="30">
        <f t="shared" si="37"/>
        <v>133.33333333333334</v>
      </c>
      <c r="AB32" s="30">
        <v>0</v>
      </c>
      <c r="AC32" s="30">
        <f t="shared" si="38"/>
        <v>0</v>
      </c>
      <c r="AD32" s="12">
        <f t="shared" si="39"/>
        <v>133.33333333333334</v>
      </c>
      <c r="AE32" s="4">
        <f t="shared" si="40"/>
        <v>7750</v>
      </c>
      <c r="AF32" s="3">
        <f t="shared" si="14"/>
        <v>5384.6153846153848</v>
      </c>
      <c r="AG32" s="3">
        <f t="shared" si="23"/>
        <v>592.30769230769238</v>
      </c>
      <c r="AH32" s="1">
        <v>1666.6666666666667</v>
      </c>
      <c r="AI32" s="1">
        <f t="shared" si="24"/>
        <v>65892.307692307688</v>
      </c>
      <c r="AJ32" s="1">
        <f t="shared" si="25"/>
        <v>261.15384615384613</v>
      </c>
      <c r="AK32" s="3">
        <f t="shared" si="26"/>
        <v>3.875</v>
      </c>
      <c r="AL32" s="4">
        <f t="shared" si="41"/>
        <v>6892.6634615384619</v>
      </c>
      <c r="AM32" s="3">
        <v>0</v>
      </c>
      <c r="AN32" s="4">
        <f t="shared" si="42"/>
        <v>6892.6634615384619</v>
      </c>
      <c r="AO32" s="1">
        <f t="shared" si="43"/>
        <v>1009.6153846153846</v>
      </c>
      <c r="AP32" s="41">
        <v>15</v>
      </c>
      <c r="AQ32" s="54">
        <f t="shared" si="22"/>
        <v>8759.6153846153848</v>
      </c>
    </row>
    <row r="33" spans="1:43" x14ac:dyDescent="0.35">
      <c r="A33" s="25" t="s">
        <v>151</v>
      </c>
      <c r="B33" s="44" t="s">
        <v>356</v>
      </c>
      <c r="C33" s="58" t="s">
        <v>170</v>
      </c>
      <c r="D33" s="63" t="s">
        <v>507</v>
      </c>
      <c r="E33" s="64" t="s">
        <v>97</v>
      </c>
      <c r="F33" s="69" t="s">
        <v>833</v>
      </c>
      <c r="G33" s="70" t="s">
        <v>526</v>
      </c>
      <c r="H33" s="72">
        <v>4000</v>
      </c>
      <c r="I33" s="72">
        <v>3000</v>
      </c>
      <c r="J33" s="31"/>
      <c r="K33" s="74">
        <v>1.05</v>
      </c>
      <c r="L33" s="9">
        <f t="shared" si="27"/>
        <v>3150</v>
      </c>
      <c r="M33" s="9">
        <v>0</v>
      </c>
      <c r="N33" s="9">
        <f t="shared" si="28"/>
        <v>30</v>
      </c>
      <c r="O33" s="9">
        <f t="shared" si="29"/>
        <v>0</v>
      </c>
      <c r="P33" s="10">
        <f t="shared" si="30"/>
        <v>133.33333333333334</v>
      </c>
      <c r="Q33" s="10">
        <f t="shared" si="31"/>
        <v>105</v>
      </c>
      <c r="R33" s="10">
        <f t="shared" si="32"/>
        <v>238.33333333333334</v>
      </c>
      <c r="S33" s="10">
        <f t="shared" si="33"/>
        <v>16.666666666666668</v>
      </c>
      <c r="T33" s="9">
        <v>44</v>
      </c>
      <c r="U33" s="9">
        <f t="shared" si="34"/>
        <v>733.33333333333337</v>
      </c>
      <c r="V33" s="9">
        <v>0</v>
      </c>
      <c r="W33" s="16">
        <f t="shared" si="35"/>
        <v>7883.333333333333</v>
      </c>
      <c r="X33" s="30">
        <v>0</v>
      </c>
      <c r="Y33" s="30">
        <f t="shared" si="36"/>
        <v>0</v>
      </c>
      <c r="Z33" s="38">
        <v>1</v>
      </c>
      <c r="AA33" s="30">
        <f t="shared" si="37"/>
        <v>133.33333333333334</v>
      </c>
      <c r="AB33" s="30">
        <v>0</v>
      </c>
      <c r="AC33" s="30">
        <f t="shared" si="38"/>
        <v>0</v>
      </c>
      <c r="AD33" s="12">
        <f t="shared" si="39"/>
        <v>133.33333333333334</v>
      </c>
      <c r="AE33" s="4">
        <f t="shared" si="40"/>
        <v>7750</v>
      </c>
      <c r="AF33" s="3">
        <f t="shared" si="14"/>
        <v>5384.6153846153848</v>
      </c>
      <c r="AG33" s="3">
        <f t="shared" si="23"/>
        <v>592.30769230769238</v>
      </c>
      <c r="AH33" s="1">
        <v>1666.6666666666667</v>
      </c>
      <c r="AI33" s="1">
        <f t="shared" si="24"/>
        <v>65892.307692307688</v>
      </c>
      <c r="AJ33" s="1">
        <f t="shared" si="25"/>
        <v>261.15384615384613</v>
      </c>
      <c r="AK33" s="3">
        <f t="shared" si="26"/>
        <v>3.875</v>
      </c>
      <c r="AL33" s="4">
        <f t="shared" si="41"/>
        <v>6892.6634615384619</v>
      </c>
      <c r="AM33" s="3">
        <v>0</v>
      </c>
      <c r="AN33" s="4">
        <f t="shared" si="42"/>
        <v>6892.6634615384619</v>
      </c>
      <c r="AO33" s="1">
        <f t="shared" si="43"/>
        <v>1009.6153846153846</v>
      </c>
      <c r="AP33" s="41">
        <v>8</v>
      </c>
      <c r="AQ33" s="54">
        <f t="shared" si="22"/>
        <v>8759.6153846153848</v>
      </c>
    </row>
    <row r="34" spans="1:43" x14ac:dyDescent="0.35">
      <c r="A34" s="25" t="s">
        <v>151</v>
      </c>
      <c r="B34" s="44" t="s">
        <v>522</v>
      </c>
      <c r="C34" s="58" t="s">
        <v>171</v>
      </c>
      <c r="D34" s="63" t="s">
        <v>507</v>
      </c>
      <c r="E34" s="64" t="s">
        <v>632</v>
      </c>
      <c r="F34" s="69">
        <v>29808092102421</v>
      </c>
      <c r="G34" s="70" t="s">
        <v>526</v>
      </c>
      <c r="H34" s="72">
        <v>4000</v>
      </c>
      <c r="I34" s="72">
        <v>3000</v>
      </c>
      <c r="J34" s="31"/>
      <c r="K34" s="74">
        <v>1.05</v>
      </c>
      <c r="L34" s="9">
        <f t="shared" si="27"/>
        <v>3150</v>
      </c>
      <c r="M34" s="9">
        <v>0</v>
      </c>
      <c r="N34" s="9">
        <f t="shared" si="28"/>
        <v>30</v>
      </c>
      <c r="O34" s="9">
        <f t="shared" si="29"/>
        <v>0</v>
      </c>
      <c r="P34" s="10">
        <f t="shared" si="30"/>
        <v>133.33333333333334</v>
      </c>
      <c r="Q34" s="10">
        <f t="shared" si="31"/>
        <v>105</v>
      </c>
      <c r="R34" s="10">
        <f t="shared" si="32"/>
        <v>238.33333333333334</v>
      </c>
      <c r="S34" s="10">
        <f t="shared" si="33"/>
        <v>16.666666666666668</v>
      </c>
      <c r="T34" s="9">
        <v>44</v>
      </c>
      <c r="U34" s="9">
        <f t="shared" si="34"/>
        <v>733.33333333333337</v>
      </c>
      <c r="V34" s="9">
        <v>0</v>
      </c>
      <c r="W34" s="16">
        <f t="shared" si="35"/>
        <v>7883.333333333333</v>
      </c>
      <c r="X34" s="30">
        <v>0</v>
      </c>
      <c r="Y34" s="30">
        <f t="shared" si="36"/>
        <v>0</v>
      </c>
      <c r="Z34" s="38">
        <v>0</v>
      </c>
      <c r="AA34" s="30">
        <f t="shared" si="37"/>
        <v>0</v>
      </c>
      <c r="AB34" s="30">
        <v>0</v>
      </c>
      <c r="AC34" s="30">
        <f t="shared" si="38"/>
        <v>0</v>
      </c>
      <c r="AD34" s="12">
        <f t="shared" si="39"/>
        <v>0</v>
      </c>
      <c r="AE34" s="4">
        <f t="shared" si="40"/>
        <v>7883.333333333333</v>
      </c>
      <c r="AF34" s="3">
        <f t="shared" si="14"/>
        <v>5384.6153846153848</v>
      </c>
      <c r="AG34" s="3">
        <f t="shared" si="23"/>
        <v>592.30769230769238</v>
      </c>
      <c r="AH34" s="1">
        <v>1666.6666666666667</v>
      </c>
      <c r="AI34" s="1">
        <f t="shared" si="24"/>
        <v>67492.307692307688</v>
      </c>
      <c r="AJ34" s="1">
        <f t="shared" si="25"/>
        <v>281.15384615384613</v>
      </c>
      <c r="AK34" s="3">
        <f t="shared" si="26"/>
        <v>3.9416666666666664</v>
      </c>
      <c r="AL34" s="4">
        <f t="shared" si="41"/>
        <v>7005.9301282051283</v>
      </c>
      <c r="AM34" s="3">
        <v>0</v>
      </c>
      <c r="AN34" s="4">
        <f t="shared" si="42"/>
        <v>7005.9301282051283</v>
      </c>
      <c r="AO34" s="1">
        <f t="shared" si="43"/>
        <v>1009.6153846153846</v>
      </c>
      <c r="AP34" s="41">
        <v>20</v>
      </c>
      <c r="AQ34" s="54">
        <f t="shared" si="22"/>
        <v>8892.9487179487169</v>
      </c>
    </row>
    <row r="35" spans="1:43" x14ac:dyDescent="0.35">
      <c r="A35" s="25" t="s">
        <v>151</v>
      </c>
      <c r="B35" s="44" t="s">
        <v>357</v>
      </c>
      <c r="C35" s="58" t="s">
        <v>172</v>
      </c>
      <c r="D35" s="63" t="s">
        <v>507</v>
      </c>
      <c r="E35" s="64" t="s">
        <v>98</v>
      </c>
      <c r="F35" s="69" t="s">
        <v>99</v>
      </c>
      <c r="G35" s="70" t="s">
        <v>526</v>
      </c>
      <c r="H35" s="72">
        <v>4000</v>
      </c>
      <c r="I35" s="72">
        <v>3000</v>
      </c>
      <c r="J35" s="31"/>
      <c r="K35" s="74">
        <v>1.05</v>
      </c>
      <c r="L35" s="9">
        <f t="shared" si="27"/>
        <v>3150</v>
      </c>
      <c r="M35" s="9">
        <v>0</v>
      </c>
      <c r="N35" s="9">
        <f t="shared" si="28"/>
        <v>30</v>
      </c>
      <c r="O35" s="9">
        <f t="shared" si="29"/>
        <v>0</v>
      </c>
      <c r="P35" s="10">
        <f t="shared" si="30"/>
        <v>133.33333333333334</v>
      </c>
      <c r="Q35" s="10">
        <f t="shared" si="31"/>
        <v>105</v>
      </c>
      <c r="R35" s="10">
        <f t="shared" si="32"/>
        <v>238.33333333333334</v>
      </c>
      <c r="S35" s="10">
        <f t="shared" si="33"/>
        <v>16.666666666666668</v>
      </c>
      <c r="T35" s="9">
        <v>44</v>
      </c>
      <c r="U35" s="9">
        <f t="shared" si="34"/>
        <v>733.33333333333337</v>
      </c>
      <c r="V35" s="9">
        <v>0</v>
      </c>
      <c r="W35" s="16">
        <f t="shared" si="35"/>
        <v>7883.333333333333</v>
      </c>
      <c r="X35" s="30">
        <v>0</v>
      </c>
      <c r="Y35" s="30">
        <f t="shared" si="36"/>
        <v>0</v>
      </c>
      <c r="Z35" s="38">
        <v>0</v>
      </c>
      <c r="AA35" s="30">
        <f t="shared" si="37"/>
        <v>0</v>
      </c>
      <c r="AB35" s="30">
        <v>0</v>
      </c>
      <c r="AC35" s="30">
        <f t="shared" si="38"/>
        <v>0</v>
      </c>
      <c r="AD35" s="12">
        <f t="shared" si="39"/>
        <v>0</v>
      </c>
      <c r="AE35" s="4">
        <f t="shared" si="40"/>
        <v>7883.333333333333</v>
      </c>
      <c r="AF35" s="3">
        <f t="shared" si="14"/>
        <v>5384.6153846153848</v>
      </c>
      <c r="AG35" s="3">
        <f t="shared" si="23"/>
        <v>592.30769230769238</v>
      </c>
      <c r="AH35" s="1">
        <v>1666.6666666666667</v>
      </c>
      <c r="AI35" s="1">
        <f t="shared" si="24"/>
        <v>67492.307692307688</v>
      </c>
      <c r="AJ35" s="1">
        <f t="shared" si="25"/>
        <v>281.15384615384613</v>
      </c>
      <c r="AK35" s="3">
        <f t="shared" si="26"/>
        <v>3.9416666666666664</v>
      </c>
      <c r="AL35" s="4">
        <f t="shared" si="41"/>
        <v>7005.9301282051283</v>
      </c>
      <c r="AM35" s="3">
        <v>0</v>
      </c>
      <c r="AN35" s="4">
        <f t="shared" si="42"/>
        <v>7005.9301282051283</v>
      </c>
      <c r="AO35" s="1">
        <f t="shared" si="43"/>
        <v>1009.6153846153846</v>
      </c>
      <c r="AP35" s="41">
        <v>15</v>
      </c>
      <c r="AQ35" s="54">
        <f t="shared" si="22"/>
        <v>8892.9487179487169</v>
      </c>
    </row>
    <row r="36" spans="1:43" x14ac:dyDescent="0.35">
      <c r="A36" s="25" t="s">
        <v>151</v>
      </c>
      <c r="B36" s="44" t="s">
        <v>358</v>
      </c>
      <c r="C36" s="58" t="s">
        <v>174</v>
      </c>
      <c r="D36" s="63" t="s">
        <v>507</v>
      </c>
      <c r="E36" s="64" t="s">
        <v>102</v>
      </c>
      <c r="F36" s="69" t="s">
        <v>103</v>
      </c>
      <c r="G36" s="70" t="s">
        <v>526</v>
      </c>
      <c r="H36" s="72">
        <v>4000</v>
      </c>
      <c r="I36" s="72">
        <v>3000</v>
      </c>
      <c r="J36" s="31"/>
      <c r="K36" s="74">
        <v>1.05</v>
      </c>
      <c r="L36" s="9">
        <f t="shared" si="27"/>
        <v>3150</v>
      </c>
      <c r="M36" s="9">
        <v>0</v>
      </c>
      <c r="N36" s="9">
        <f t="shared" si="28"/>
        <v>30</v>
      </c>
      <c r="O36" s="9">
        <f t="shared" si="29"/>
        <v>0</v>
      </c>
      <c r="P36" s="10">
        <f t="shared" si="30"/>
        <v>133.33333333333334</v>
      </c>
      <c r="Q36" s="10">
        <f t="shared" si="31"/>
        <v>105</v>
      </c>
      <c r="R36" s="10">
        <f t="shared" si="32"/>
        <v>238.33333333333334</v>
      </c>
      <c r="S36" s="10">
        <f t="shared" si="33"/>
        <v>16.666666666666668</v>
      </c>
      <c r="T36" s="9">
        <v>28</v>
      </c>
      <c r="U36" s="9">
        <f t="shared" si="34"/>
        <v>466.66666666666669</v>
      </c>
      <c r="V36" s="9">
        <v>0</v>
      </c>
      <c r="W36" s="16">
        <f t="shared" si="35"/>
        <v>7616.666666666667</v>
      </c>
      <c r="X36" s="30">
        <v>0</v>
      </c>
      <c r="Y36" s="30">
        <f t="shared" si="36"/>
        <v>0</v>
      </c>
      <c r="Z36" s="38">
        <v>0</v>
      </c>
      <c r="AA36" s="30">
        <f t="shared" si="37"/>
        <v>0</v>
      </c>
      <c r="AB36" s="30">
        <v>0</v>
      </c>
      <c r="AC36" s="30">
        <f t="shared" si="38"/>
        <v>0</v>
      </c>
      <c r="AD36" s="12">
        <f t="shared" si="39"/>
        <v>0</v>
      </c>
      <c r="AE36" s="4">
        <f t="shared" si="40"/>
        <v>7616.666666666667</v>
      </c>
      <c r="AF36" s="3">
        <f t="shared" si="14"/>
        <v>5384.6153846153848</v>
      </c>
      <c r="AG36" s="3">
        <f t="shared" si="23"/>
        <v>592.30769230769238</v>
      </c>
      <c r="AH36" s="1">
        <v>1666.6666666666667</v>
      </c>
      <c r="AI36" s="1">
        <f t="shared" si="24"/>
        <v>64292.307692307688</v>
      </c>
      <c r="AJ36" s="1">
        <f t="shared" si="25"/>
        <v>241.1538461538461</v>
      </c>
      <c r="AK36" s="3">
        <f t="shared" si="26"/>
        <v>3.8083333333333336</v>
      </c>
      <c r="AL36" s="4">
        <f t="shared" si="41"/>
        <v>6779.3967948717955</v>
      </c>
      <c r="AM36" s="3">
        <v>0</v>
      </c>
      <c r="AN36" s="4">
        <f t="shared" si="42"/>
        <v>6779.3967948717955</v>
      </c>
      <c r="AO36" s="1">
        <f t="shared" si="43"/>
        <v>1009.6153846153846</v>
      </c>
      <c r="AP36" s="41">
        <v>12</v>
      </c>
      <c r="AQ36" s="54">
        <f t="shared" si="22"/>
        <v>8626.2820512820508</v>
      </c>
    </row>
    <row r="37" spans="1:43" x14ac:dyDescent="0.35">
      <c r="A37" s="25" t="s">
        <v>151</v>
      </c>
      <c r="B37" s="44" t="s">
        <v>359</v>
      </c>
      <c r="C37" s="58" t="s">
        <v>175</v>
      </c>
      <c r="D37" s="63" t="s">
        <v>507</v>
      </c>
      <c r="E37" s="64" t="s">
        <v>104</v>
      </c>
      <c r="F37" s="69" t="s">
        <v>105</v>
      </c>
      <c r="G37" s="70" t="s">
        <v>526</v>
      </c>
      <c r="H37" s="72">
        <v>4000</v>
      </c>
      <c r="I37" s="72">
        <v>3000</v>
      </c>
      <c r="J37" s="31"/>
      <c r="K37" s="74">
        <v>1.05</v>
      </c>
      <c r="L37" s="9">
        <f t="shared" si="27"/>
        <v>3150</v>
      </c>
      <c r="M37" s="9">
        <v>0</v>
      </c>
      <c r="N37" s="9">
        <f t="shared" si="28"/>
        <v>30</v>
      </c>
      <c r="O37" s="9">
        <f t="shared" si="29"/>
        <v>0</v>
      </c>
      <c r="P37" s="10">
        <f t="shared" si="30"/>
        <v>133.33333333333334</v>
      </c>
      <c r="Q37" s="10">
        <f t="shared" si="31"/>
        <v>105</v>
      </c>
      <c r="R37" s="10">
        <f t="shared" si="32"/>
        <v>238.33333333333334</v>
      </c>
      <c r="S37" s="10">
        <f t="shared" si="33"/>
        <v>16.666666666666668</v>
      </c>
      <c r="T37" s="9">
        <v>44</v>
      </c>
      <c r="U37" s="9">
        <f t="shared" si="34"/>
        <v>733.33333333333337</v>
      </c>
      <c r="V37" s="9">
        <v>0</v>
      </c>
      <c r="W37" s="16">
        <f t="shared" si="35"/>
        <v>7883.333333333333</v>
      </c>
      <c r="X37" s="30">
        <v>0</v>
      </c>
      <c r="Y37" s="30">
        <f t="shared" si="36"/>
        <v>0</v>
      </c>
      <c r="Z37" s="38">
        <v>0</v>
      </c>
      <c r="AA37" s="30">
        <f t="shared" si="37"/>
        <v>0</v>
      </c>
      <c r="AB37" s="30">
        <v>0</v>
      </c>
      <c r="AC37" s="30">
        <f t="shared" si="38"/>
        <v>0</v>
      </c>
      <c r="AD37" s="12">
        <f t="shared" si="39"/>
        <v>0</v>
      </c>
      <c r="AE37" s="4">
        <f t="shared" si="40"/>
        <v>7883.333333333333</v>
      </c>
      <c r="AF37" s="3">
        <f t="shared" si="14"/>
        <v>5384.6153846153848</v>
      </c>
      <c r="AG37" s="3">
        <f t="shared" si="23"/>
        <v>592.30769230769238</v>
      </c>
      <c r="AH37" s="1">
        <v>1666.6666666666667</v>
      </c>
      <c r="AI37" s="1">
        <f t="shared" si="24"/>
        <v>67492.307692307688</v>
      </c>
      <c r="AJ37" s="1">
        <f t="shared" si="25"/>
        <v>281.15384615384613</v>
      </c>
      <c r="AK37" s="3">
        <f t="shared" si="26"/>
        <v>3.9416666666666664</v>
      </c>
      <c r="AL37" s="4">
        <f t="shared" si="41"/>
        <v>7005.9301282051283</v>
      </c>
      <c r="AM37" s="3">
        <v>0</v>
      </c>
      <c r="AN37" s="4">
        <f t="shared" si="42"/>
        <v>7005.9301282051283</v>
      </c>
      <c r="AO37" s="1">
        <f t="shared" si="43"/>
        <v>1009.6153846153846</v>
      </c>
      <c r="AP37" s="41">
        <v>13</v>
      </c>
      <c r="AQ37" s="54">
        <f t="shared" si="22"/>
        <v>8892.9487179487169</v>
      </c>
    </row>
    <row r="38" spans="1:43" x14ac:dyDescent="0.35">
      <c r="A38" s="25" t="s">
        <v>151</v>
      </c>
      <c r="B38" s="44" t="s">
        <v>360</v>
      </c>
      <c r="C38" s="58" t="s">
        <v>195</v>
      </c>
      <c r="D38" s="63" t="s">
        <v>507</v>
      </c>
      <c r="E38" s="64" t="s">
        <v>106</v>
      </c>
      <c r="F38" s="69" t="s">
        <v>107</v>
      </c>
      <c r="G38" s="70" t="s">
        <v>526</v>
      </c>
      <c r="H38" s="72">
        <v>4000</v>
      </c>
      <c r="I38" s="72">
        <v>3000</v>
      </c>
      <c r="J38" s="31"/>
      <c r="K38" s="74">
        <v>1.05</v>
      </c>
      <c r="L38" s="9">
        <f t="shared" si="27"/>
        <v>3150</v>
      </c>
      <c r="M38" s="9">
        <v>0</v>
      </c>
      <c r="N38" s="9">
        <f t="shared" si="28"/>
        <v>30</v>
      </c>
      <c r="O38" s="9">
        <f t="shared" si="29"/>
        <v>0</v>
      </c>
      <c r="P38" s="10">
        <f t="shared" si="30"/>
        <v>133.33333333333334</v>
      </c>
      <c r="Q38" s="10">
        <f t="shared" si="31"/>
        <v>105</v>
      </c>
      <c r="R38" s="10">
        <f t="shared" si="32"/>
        <v>238.33333333333334</v>
      </c>
      <c r="S38" s="10">
        <f t="shared" si="33"/>
        <v>16.666666666666668</v>
      </c>
      <c r="T38" s="9">
        <v>44</v>
      </c>
      <c r="U38" s="9">
        <f t="shared" si="34"/>
        <v>733.33333333333337</v>
      </c>
      <c r="V38" s="9">
        <v>0</v>
      </c>
      <c r="W38" s="16">
        <f t="shared" si="35"/>
        <v>7883.333333333333</v>
      </c>
      <c r="X38" s="30">
        <v>0</v>
      </c>
      <c r="Y38" s="30">
        <f t="shared" si="36"/>
        <v>0</v>
      </c>
      <c r="Z38" s="38">
        <v>0</v>
      </c>
      <c r="AA38" s="30">
        <f t="shared" si="37"/>
        <v>0</v>
      </c>
      <c r="AB38" s="30">
        <v>0</v>
      </c>
      <c r="AC38" s="30">
        <f t="shared" si="38"/>
        <v>0</v>
      </c>
      <c r="AD38" s="12">
        <f t="shared" si="39"/>
        <v>0</v>
      </c>
      <c r="AE38" s="4">
        <f t="shared" si="40"/>
        <v>7883.333333333333</v>
      </c>
      <c r="AF38" s="3">
        <f t="shared" si="14"/>
        <v>5384.6153846153848</v>
      </c>
      <c r="AG38" s="3">
        <f t="shared" si="23"/>
        <v>592.30769230769238</v>
      </c>
      <c r="AH38" s="1">
        <v>1666.6666666666667</v>
      </c>
      <c r="AI38" s="1">
        <f t="shared" si="24"/>
        <v>67492.307692307688</v>
      </c>
      <c r="AJ38" s="1">
        <f t="shared" si="25"/>
        <v>281.15384615384613</v>
      </c>
      <c r="AK38" s="3">
        <f t="shared" si="26"/>
        <v>3.9416666666666664</v>
      </c>
      <c r="AL38" s="4">
        <f t="shared" si="41"/>
        <v>7005.9301282051283</v>
      </c>
      <c r="AM38" s="3">
        <v>0</v>
      </c>
      <c r="AN38" s="4">
        <f t="shared" si="42"/>
        <v>7005.9301282051283</v>
      </c>
      <c r="AO38" s="1">
        <f t="shared" si="43"/>
        <v>1009.6153846153846</v>
      </c>
      <c r="AP38" s="41">
        <v>8</v>
      </c>
      <c r="AQ38" s="54">
        <f t="shared" si="22"/>
        <v>8892.9487179487169</v>
      </c>
    </row>
    <row r="39" spans="1:43" x14ac:dyDescent="0.35">
      <c r="A39" s="25" t="s">
        <v>151</v>
      </c>
      <c r="B39" s="44" t="s">
        <v>361</v>
      </c>
      <c r="C39" s="58" t="s">
        <v>176</v>
      </c>
      <c r="D39" s="63" t="s">
        <v>507</v>
      </c>
      <c r="E39" s="64" t="s">
        <v>108</v>
      </c>
      <c r="F39" s="69" t="s">
        <v>109</v>
      </c>
      <c r="G39" s="70" t="s">
        <v>526</v>
      </c>
      <c r="H39" s="72">
        <v>4000</v>
      </c>
      <c r="I39" s="72">
        <v>3000</v>
      </c>
      <c r="J39" s="31"/>
      <c r="K39" s="74">
        <v>1.05</v>
      </c>
      <c r="L39" s="9">
        <f t="shared" si="27"/>
        <v>3150</v>
      </c>
      <c r="M39" s="9">
        <v>0</v>
      </c>
      <c r="N39" s="9">
        <f t="shared" si="28"/>
        <v>30</v>
      </c>
      <c r="O39" s="9">
        <f t="shared" si="29"/>
        <v>0</v>
      </c>
      <c r="P39" s="10">
        <f t="shared" si="30"/>
        <v>133.33333333333334</v>
      </c>
      <c r="Q39" s="10">
        <f t="shared" si="31"/>
        <v>105</v>
      </c>
      <c r="R39" s="10">
        <f t="shared" si="32"/>
        <v>238.33333333333334</v>
      </c>
      <c r="S39" s="10">
        <f t="shared" si="33"/>
        <v>16.666666666666668</v>
      </c>
      <c r="T39" s="9">
        <v>44</v>
      </c>
      <c r="U39" s="9">
        <f t="shared" si="34"/>
        <v>733.33333333333337</v>
      </c>
      <c r="V39" s="9">
        <v>0</v>
      </c>
      <c r="W39" s="16">
        <f t="shared" si="35"/>
        <v>7883.333333333333</v>
      </c>
      <c r="X39" s="30">
        <v>0</v>
      </c>
      <c r="Y39" s="30">
        <f t="shared" si="36"/>
        <v>0</v>
      </c>
      <c r="Z39" s="38">
        <v>0</v>
      </c>
      <c r="AA39" s="30">
        <f t="shared" si="37"/>
        <v>0</v>
      </c>
      <c r="AB39" s="30">
        <v>0</v>
      </c>
      <c r="AC39" s="30">
        <f t="shared" si="38"/>
        <v>0</v>
      </c>
      <c r="AD39" s="12">
        <f t="shared" si="39"/>
        <v>0</v>
      </c>
      <c r="AE39" s="4">
        <f t="shared" si="40"/>
        <v>7883.333333333333</v>
      </c>
      <c r="AF39" s="3">
        <f t="shared" si="14"/>
        <v>5384.6153846153848</v>
      </c>
      <c r="AG39" s="3">
        <f t="shared" si="23"/>
        <v>592.30769230769238</v>
      </c>
      <c r="AH39" s="1">
        <v>1666.6666666666667</v>
      </c>
      <c r="AI39" s="1">
        <f t="shared" si="24"/>
        <v>67492.307692307688</v>
      </c>
      <c r="AJ39" s="1">
        <f t="shared" si="25"/>
        <v>281.15384615384613</v>
      </c>
      <c r="AK39" s="3">
        <f t="shared" si="26"/>
        <v>3.9416666666666664</v>
      </c>
      <c r="AL39" s="4">
        <f t="shared" si="41"/>
        <v>7005.9301282051283</v>
      </c>
      <c r="AM39" s="3">
        <v>0</v>
      </c>
      <c r="AN39" s="4">
        <f t="shared" si="42"/>
        <v>7005.9301282051283</v>
      </c>
      <c r="AO39" s="1">
        <f t="shared" si="43"/>
        <v>1009.6153846153846</v>
      </c>
      <c r="AP39" s="41">
        <v>12</v>
      </c>
      <c r="AQ39" s="54">
        <f t="shared" si="22"/>
        <v>8892.9487179487169</v>
      </c>
    </row>
    <row r="40" spans="1:43" x14ac:dyDescent="0.35">
      <c r="A40" s="25" t="s">
        <v>151</v>
      </c>
      <c r="B40" s="44" t="s">
        <v>362</v>
      </c>
      <c r="C40" s="58" t="s">
        <v>504</v>
      </c>
      <c r="D40" s="60" t="s">
        <v>259</v>
      </c>
      <c r="E40" s="64" t="s">
        <v>505</v>
      </c>
      <c r="F40" s="69">
        <v>30412120104781</v>
      </c>
      <c r="G40" s="70" t="s">
        <v>526</v>
      </c>
      <c r="H40" s="72">
        <v>4000</v>
      </c>
      <c r="I40" s="72">
        <v>3000</v>
      </c>
      <c r="J40" s="31"/>
      <c r="K40" s="74">
        <v>1.05</v>
      </c>
      <c r="L40" s="9">
        <f t="shared" si="27"/>
        <v>3150</v>
      </c>
      <c r="M40" s="9">
        <v>0</v>
      </c>
      <c r="N40" s="9">
        <f t="shared" si="28"/>
        <v>30</v>
      </c>
      <c r="O40" s="9">
        <f t="shared" si="29"/>
        <v>0</v>
      </c>
      <c r="P40" s="10">
        <f t="shared" si="30"/>
        <v>133.33333333333334</v>
      </c>
      <c r="Q40" s="10">
        <f t="shared" si="31"/>
        <v>105</v>
      </c>
      <c r="R40" s="10">
        <f t="shared" si="32"/>
        <v>238.33333333333334</v>
      </c>
      <c r="S40" s="10">
        <f t="shared" si="33"/>
        <v>16.666666666666668</v>
      </c>
      <c r="T40" s="9">
        <v>44</v>
      </c>
      <c r="U40" s="9">
        <f t="shared" si="34"/>
        <v>733.33333333333337</v>
      </c>
      <c r="V40" s="9">
        <v>0</v>
      </c>
      <c r="W40" s="16">
        <f t="shared" si="35"/>
        <v>7883.333333333333</v>
      </c>
      <c r="X40" s="30">
        <v>0</v>
      </c>
      <c r="Y40" s="30">
        <f t="shared" si="36"/>
        <v>0</v>
      </c>
      <c r="Z40" s="38">
        <v>2</v>
      </c>
      <c r="AA40" s="30">
        <f t="shared" si="37"/>
        <v>266.66666666666669</v>
      </c>
      <c r="AB40" s="30">
        <v>0</v>
      </c>
      <c r="AC40" s="30">
        <f t="shared" si="38"/>
        <v>0</v>
      </c>
      <c r="AD40" s="12">
        <f t="shared" si="39"/>
        <v>266.66666666666669</v>
      </c>
      <c r="AE40" s="4">
        <f t="shared" si="40"/>
        <v>7616.6666666666661</v>
      </c>
      <c r="AF40" s="3">
        <f t="shared" si="14"/>
        <v>5384.6153846153848</v>
      </c>
      <c r="AG40" s="3">
        <f t="shared" si="23"/>
        <v>592.30769230769238</v>
      </c>
      <c r="AH40" s="1">
        <v>1666.6666666666667</v>
      </c>
      <c r="AI40" s="1">
        <f t="shared" si="24"/>
        <v>64292.307692307681</v>
      </c>
      <c r="AJ40" s="1">
        <f t="shared" si="25"/>
        <v>241.15384615384599</v>
      </c>
      <c r="AK40" s="3">
        <f t="shared" si="26"/>
        <v>3.8083333333333331</v>
      </c>
      <c r="AL40" s="4">
        <f t="shared" si="41"/>
        <v>6779.3967948717946</v>
      </c>
      <c r="AM40" s="3">
        <v>0</v>
      </c>
      <c r="AN40" s="4">
        <f t="shared" si="42"/>
        <v>6779.3967948717946</v>
      </c>
      <c r="AO40" s="1">
        <f t="shared" si="43"/>
        <v>1009.6153846153846</v>
      </c>
      <c r="AP40" s="41">
        <v>2</v>
      </c>
      <c r="AQ40" s="54">
        <f t="shared" si="22"/>
        <v>8626.2820512820508</v>
      </c>
    </row>
    <row r="41" spans="1:43" x14ac:dyDescent="0.35">
      <c r="A41" s="25" t="s">
        <v>151</v>
      </c>
      <c r="B41" s="44" t="s">
        <v>363</v>
      </c>
      <c r="C41" s="62" t="s">
        <v>457</v>
      </c>
      <c r="D41" s="63" t="s">
        <v>507</v>
      </c>
      <c r="E41" s="64" t="s">
        <v>503</v>
      </c>
      <c r="F41" s="69">
        <v>28203200101336</v>
      </c>
      <c r="G41" s="70" t="s">
        <v>502</v>
      </c>
      <c r="H41" s="72">
        <v>1200</v>
      </c>
      <c r="I41" s="72">
        <v>0</v>
      </c>
      <c r="J41" s="31"/>
      <c r="K41" s="74">
        <v>1.05</v>
      </c>
      <c r="L41" s="9">
        <f t="shared" si="27"/>
        <v>0</v>
      </c>
      <c r="M41" s="9">
        <v>0</v>
      </c>
      <c r="N41" s="9">
        <f t="shared" si="28"/>
        <v>30</v>
      </c>
      <c r="O41" s="9">
        <f t="shared" si="29"/>
        <v>0</v>
      </c>
      <c r="P41" s="10">
        <f t="shared" si="30"/>
        <v>40</v>
      </c>
      <c r="Q41" s="10">
        <f t="shared" si="31"/>
        <v>0</v>
      </c>
      <c r="R41" s="10">
        <f t="shared" si="32"/>
        <v>40</v>
      </c>
      <c r="S41" s="10">
        <f t="shared" si="33"/>
        <v>5</v>
      </c>
      <c r="T41" s="9">
        <v>28</v>
      </c>
      <c r="U41" s="9">
        <f t="shared" si="34"/>
        <v>140</v>
      </c>
      <c r="V41" s="9">
        <v>0</v>
      </c>
      <c r="W41" s="16">
        <f t="shared" si="35"/>
        <v>1340</v>
      </c>
      <c r="X41" s="30">
        <v>0</v>
      </c>
      <c r="Y41" s="30">
        <f t="shared" si="36"/>
        <v>0</v>
      </c>
      <c r="Z41" s="38">
        <v>0</v>
      </c>
      <c r="AA41" s="30">
        <f t="shared" si="37"/>
        <v>0</v>
      </c>
      <c r="AB41" s="30">
        <v>0</v>
      </c>
      <c r="AC41" s="30">
        <f t="shared" si="38"/>
        <v>0</v>
      </c>
      <c r="AD41" s="12">
        <f t="shared" si="39"/>
        <v>0</v>
      </c>
      <c r="AE41" s="4">
        <f t="shared" si="40"/>
        <v>1340</v>
      </c>
      <c r="AF41" s="3"/>
      <c r="AG41" s="3">
        <f t="shared" si="23"/>
        <v>0</v>
      </c>
      <c r="AH41" s="1">
        <v>1666.6666666666667</v>
      </c>
      <c r="AI41" s="1">
        <f t="shared" si="24"/>
        <v>-3920.0000000000009</v>
      </c>
      <c r="AJ41" s="1">
        <f t="shared" si="25"/>
        <v>0</v>
      </c>
      <c r="AK41" s="3">
        <f t="shared" si="26"/>
        <v>0.67</v>
      </c>
      <c r="AL41" s="4">
        <f t="shared" si="41"/>
        <v>1339.33</v>
      </c>
      <c r="AM41" s="3">
        <v>0</v>
      </c>
      <c r="AN41" s="4">
        <f t="shared" si="42"/>
        <v>1339.33</v>
      </c>
      <c r="AO41" s="1">
        <f t="shared" si="43"/>
        <v>0</v>
      </c>
      <c r="AP41" s="41">
        <v>18</v>
      </c>
      <c r="AQ41" s="54">
        <f t="shared" si="22"/>
        <v>1340</v>
      </c>
    </row>
    <row r="42" spans="1:43" x14ac:dyDescent="0.35">
      <c r="A42" s="25" t="s">
        <v>151</v>
      </c>
      <c r="B42" s="44" t="s">
        <v>364</v>
      </c>
      <c r="C42" s="62" t="s">
        <v>177</v>
      </c>
      <c r="D42" s="63" t="s">
        <v>507</v>
      </c>
      <c r="E42" s="66" t="s">
        <v>110</v>
      </c>
      <c r="F42" s="69" t="s">
        <v>111</v>
      </c>
      <c r="G42" s="70" t="s">
        <v>526</v>
      </c>
      <c r="H42" s="72">
        <v>4000</v>
      </c>
      <c r="I42" s="72">
        <v>3000</v>
      </c>
      <c r="J42" s="31"/>
      <c r="K42" s="74">
        <v>1.05</v>
      </c>
      <c r="L42" s="9">
        <f t="shared" si="27"/>
        <v>3150</v>
      </c>
      <c r="M42" s="9">
        <v>0</v>
      </c>
      <c r="N42" s="9">
        <f t="shared" si="28"/>
        <v>30</v>
      </c>
      <c r="O42" s="9">
        <f t="shared" si="29"/>
        <v>0</v>
      </c>
      <c r="P42" s="10">
        <f t="shared" si="30"/>
        <v>133.33333333333334</v>
      </c>
      <c r="Q42" s="10">
        <f t="shared" si="31"/>
        <v>105</v>
      </c>
      <c r="R42" s="10">
        <f t="shared" si="32"/>
        <v>238.33333333333334</v>
      </c>
      <c r="S42" s="10">
        <f t="shared" si="33"/>
        <v>16.666666666666668</v>
      </c>
      <c r="T42" s="9">
        <v>44</v>
      </c>
      <c r="U42" s="9">
        <f t="shared" si="34"/>
        <v>733.33333333333337</v>
      </c>
      <c r="V42" s="9">
        <v>0</v>
      </c>
      <c r="W42" s="16">
        <f t="shared" si="35"/>
        <v>7883.333333333333</v>
      </c>
      <c r="X42" s="30">
        <v>0</v>
      </c>
      <c r="Y42" s="30">
        <f t="shared" si="36"/>
        <v>0</v>
      </c>
      <c r="Z42" s="38">
        <v>0</v>
      </c>
      <c r="AA42" s="30">
        <f t="shared" si="37"/>
        <v>0</v>
      </c>
      <c r="AB42" s="30">
        <v>0</v>
      </c>
      <c r="AC42" s="30">
        <f t="shared" si="38"/>
        <v>0</v>
      </c>
      <c r="AD42" s="12">
        <f t="shared" si="39"/>
        <v>0</v>
      </c>
      <c r="AE42" s="4">
        <f t="shared" si="40"/>
        <v>7883.333333333333</v>
      </c>
      <c r="AF42" s="3">
        <f t="shared" si="14"/>
        <v>5384.6153846153848</v>
      </c>
      <c r="AG42" s="3">
        <f t="shared" si="23"/>
        <v>592.30769230769238</v>
      </c>
      <c r="AH42" s="1">
        <v>1666.6666666666667</v>
      </c>
      <c r="AI42" s="1">
        <f t="shared" si="24"/>
        <v>67492.307692307688</v>
      </c>
      <c r="AJ42" s="1">
        <f t="shared" si="25"/>
        <v>281.15384615384613</v>
      </c>
      <c r="AK42" s="3">
        <f t="shared" si="26"/>
        <v>3.9416666666666664</v>
      </c>
      <c r="AL42" s="4">
        <f t="shared" si="41"/>
        <v>7005.9301282051283</v>
      </c>
      <c r="AM42" s="3">
        <v>0</v>
      </c>
      <c r="AN42" s="4">
        <f t="shared" si="42"/>
        <v>7005.9301282051283</v>
      </c>
      <c r="AO42" s="1">
        <f t="shared" si="43"/>
        <v>1009.6153846153846</v>
      </c>
      <c r="AP42" s="41">
        <v>17</v>
      </c>
      <c r="AQ42" s="54">
        <f t="shared" si="22"/>
        <v>8892.9487179487169</v>
      </c>
    </row>
    <row r="43" spans="1:43" x14ac:dyDescent="0.35">
      <c r="A43" s="25" t="s">
        <v>151</v>
      </c>
      <c r="B43" s="44" t="s">
        <v>365</v>
      </c>
      <c r="C43" s="62" t="s">
        <v>183</v>
      </c>
      <c r="D43" s="63" t="s">
        <v>507</v>
      </c>
      <c r="E43" s="66" t="s">
        <v>112</v>
      </c>
      <c r="F43" s="69" t="s">
        <v>113</v>
      </c>
      <c r="G43" s="70" t="s">
        <v>526</v>
      </c>
      <c r="H43" s="72">
        <v>4000</v>
      </c>
      <c r="I43" s="72">
        <v>3000</v>
      </c>
      <c r="J43" s="31"/>
      <c r="K43" s="74">
        <v>1.05</v>
      </c>
      <c r="L43" s="9">
        <f t="shared" si="27"/>
        <v>3150</v>
      </c>
      <c r="M43" s="9">
        <v>0</v>
      </c>
      <c r="N43" s="9">
        <f t="shared" si="28"/>
        <v>30</v>
      </c>
      <c r="O43" s="9">
        <f t="shared" si="29"/>
        <v>0</v>
      </c>
      <c r="P43" s="10">
        <f t="shared" si="30"/>
        <v>133.33333333333334</v>
      </c>
      <c r="Q43" s="10">
        <f t="shared" si="31"/>
        <v>105</v>
      </c>
      <c r="R43" s="10">
        <f t="shared" si="32"/>
        <v>238.33333333333334</v>
      </c>
      <c r="S43" s="10">
        <f t="shared" si="33"/>
        <v>16.666666666666668</v>
      </c>
      <c r="T43" s="9">
        <v>44</v>
      </c>
      <c r="U43" s="9">
        <f t="shared" si="34"/>
        <v>733.33333333333337</v>
      </c>
      <c r="V43" s="9">
        <v>0</v>
      </c>
      <c r="W43" s="16">
        <f t="shared" si="35"/>
        <v>7883.333333333333</v>
      </c>
      <c r="X43" s="30">
        <v>0</v>
      </c>
      <c r="Y43" s="30">
        <f t="shared" si="36"/>
        <v>0</v>
      </c>
      <c r="Z43" s="38">
        <v>1</v>
      </c>
      <c r="AA43" s="30">
        <f t="shared" si="37"/>
        <v>133.33333333333334</v>
      </c>
      <c r="AB43" s="30">
        <v>0</v>
      </c>
      <c r="AC43" s="30">
        <f t="shared" si="38"/>
        <v>0</v>
      </c>
      <c r="AD43" s="12">
        <f t="shared" si="39"/>
        <v>133.33333333333334</v>
      </c>
      <c r="AE43" s="4">
        <f t="shared" si="40"/>
        <v>7750</v>
      </c>
      <c r="AF43" s="3">
        <f t="shared" si="14"/>
        <v>5384.6153846153848</v>
      </c>
      <c r="AG43" s="3">
        <f t="shared" si="23"/>
        <v>592.30769230769238</v>
      </c>
      <c r="AH43" s="1">
        <v>1666.6666666666667</v>
      </c>
      <c r="AI43" s="1">
        <f t="shared" si="24"/>
        <v>65892.307692307688</v>
      </c>
      <c r="AJ43" s="1">
        <f t="shared" si="25"/>
        <v>261.15384615384613</v>
      </c>
      <c r="AK43" s="3">
        <f t="shared" si="26"/>
        <v>3.875</v>
      </c>
      <c r="AL43" s="4">
        <f t="shared" si="41"/>
        <v>6892.6634615384619</v>
      </c>
      <c r="AM43" s="3">
        <v>0</v>
      </c>
      <c r="AN43" s="4">
        <f t="shared" si="42"/>
        <v>6892.6634615384619</v>
      </c>
      <c r="AO43" s="1">
        <f t="shared" si="43"/>
        <v>1009.6153846153846</v>
      </c>
      <c r="AP43" s="41">
        <v>11</v>
      </c>
      <c r="AQ43" s="54">
        <f t="shared" si="22"/>
        <v>8759.6153846153848</v>
      </c>
    </row>
    <row r="44" spans="1:43" x14ac:dyDescent="0.35">
      <c r="A44" s="25" t="s">
        <v>151</v>
      </c>
      <c r="B44" s="44" t="s">
        <v>366</v>
      </c>
      <c r="C44" s="58" t="s">
        <v>179</v>
      </c>
      <c r="D44" s="63" t="s">
        <v>507</v>
      </c>
      <c r="E44" s="66" t="s">
        <v>116</v>
      </c>
      <c r="F44" s="69" t="s">
        <v>117</v>
      </c>
      <c r="G44" s="70" t="s">
        <v>526</v>
      </c>
      <c r="H44" s="72">
        <v>4000</v>
      </c>
      <c r="I44" s="72">
        <v>3000</v>
      </c>
      <c r="J44" s="31"/>
      <c r="K44" s="74">
        <v>1.05</v>
      </c>
      <c r="L44" s="9">
        <f t="shared" si="27"/>
        <v>3150</v>
      </c>
      <c r="M44" s="9">
        <v>0</v>
      </c>
      <c r="N44" s="9">
        <f t="shared" si="28"/>
        <v>30</v>
      </c>
      <c r="O44" s="9">
        <f t="shared" si="29"/>
        <v>0</v>
      </c>
      <c r="P44" s="10">
        <f t="shared" si="30"/>
        <v>133.33333333333334</v>
      </c>
      <c r="Q44" s="10">
        <f t="shared" si="31"/>
        <v>105</v>
      </c>
      <c r="R44" s="10">
        <f t="shared" si="32"/>
        <v>238.33333333333334</v>
      </c>
      <c r="S44" s="10">
        <f t="shared" si="33"/>
        <v>16.666666666666668</v>
      </c>
      <c r="T44" s="9">
        <v>44</v>
      </c>
      <c r="U44" s="9">
        <f t="shared" si="34"/>
        <v>733.33333333333337</v>
      </c>
      <c r="V44" s="9">
        <v>0</v>
      </c>
      <c r="W44" s="16">
        <f t="shared" si="35"/>
        <v>7883.333333333333</v>
      </c>
      <c r="X44" s="30">
        <v>0</v>
      </c>
      <c r="Y44" s="30">
        <f t="shared" si="36"/>
        <v>0</v>
      </c>
      <c r="Z44" s="38">
        <v>0</v>
      </c>
      <c r="AA44" s="30">
        <f t="shared" si="37"/>
        <v>0</v>
      </c>
      <c r="AB44" s="30">
        <v>0</v>
      </c>
      <c r="AC44" s="30">
        <f t="shared" si="38"/>
        <v>0</v>
      </c>
      <c r="AD44" s="12">
        <f t="shared" si="39"/>
        <v>0</v>
      </c>
      <c r="AE44" s="4">
        <f t="shared" si="40"/>
        <v>7883.333333333333</v>
      </c>
      <c r="AF44" s="3">
        <f t="shared" si="14"/>
        <v>5384.6153846153848</v>
      </c>
      <c r="AG44" s="3">
        <f t="shared" si="23"/>
        <v>592.30769230769238</v>
      </c>
      <c r="AH44" s="1">
        <v>1666.6666666666667</v>
      </c>
      <c r="AI44" s="1">
        <f t="shared" si="24"/>
        <v>67492.307692307688</v>
      </c>
      <c r="AJ44" s="1">
        <f t="shared" si="25"/>
        <v>281.15384615384613</v>
      </c>
      <c r="AK44" s="3">
        <f t="shared" si="26"/>
        <v>3.9416666666666664</v>
      </c>
      <c r="AL44" s="4">
        <f t="shared" si="41"/>
        <v>7005.9301282051283</v>
      </c>
      <c r="AM44" s="3">
        <v>0</v>
      </c>
      <c r="AN44" s="4">
        <f t="shared" si="42"/>
        <v>7005.9301282051283</v>
      </c>
      <c r="AO44" s="1">
        <f t="shared" si="43"/>
        <v>1009.6153846153846</v>
      </c>
      <c r="AP44" s="41">
        <v>12</v>
      </c>
      <c r="AQ44" s="54">
        <f t="shared" ref="AQ44:AQ51" si="44">AE44+AO44</f>
        <v>8892.9487179487169</v>
      </c>
    </row>
    <row r="45" spans="1:43" x14ac:dyDescent="0.35">
      <c r="A45" s="25" t="s">
        <v>151</v>
      </c>
      <c r="B45" s="44" t="s">
        <v>367</v>
      </c>
      <c r="C45" s="58" t="s">
        <v>180</v>
      </c>
      <c r="D45" s="63" t="s">
        <v>507</v>
      </c>
      <c r="E45" s="66" t="s">
        <v>118</v>
      </c>
      <c r="F45" s="69" t="s">
        <v>119</v>
      </c>
      <c r="G45" s="70" t="s">
        <v>526</v>
      </c>
      <c r="H45" s="72">
        <v>4000</v>
      </c>
      <c r="I45" s="72">
        <v>3000</v>
      </c>
      <c r="J45" s="31"/>
      <c r="K45" s="74">
        <v>1.05</v>
      </c>
      <c r="L45" s="9">
        <f t="shared" si="27"/>
        <v>3150</v>
      </c>
      <c r="M45" s="9">
        <v>0</v>
      </c>
      <c r="N45" s="9">
        <f t="shared" si="28"/>
        <v>30</v>
      </c>
      <c r="O45" s="9">
        <f t="shared" si="29"/>
        <v>0</v>
      </c>
      <c r="P45" s="10">
        <f t="shared" si="30"/>
        <v>133.33333333333334</v>
      </c>
      <c r="Q45" s="10">
        <f t="shared" si="31"/>
        <v>105</v>
      </c>
      <c r="R45" s="10">
        <f t="shared" si="32"/>
        <v>238.33333333333334</v>
      </c>
      <c r="S45" s="10">
        <f t="shared" si="33"/>
        <v>16.666666666666668</v>
      </c>
      <c r="T45" s="9">
        <v>44</v>
      </c>
      <c r="U45" s="9">
        <f t="shared" si="34"/>
        <v>733.33333333333337</v>
      </c>
      <c r="V45" s="9">
        <v>0</v>
      </c>
      <c r="W45" s="16">
        <f t="shared" si="35"/>
        <v>7883.333333333333</v>
      </c>
      <c r="X45" s="30">
        <v>0</v>
      </c>
      <c r="Y45" s="30">
        <f t="shared" si="36"/>
        <v>0</v>
      </c>
      <c r="Z45" s="38">
        <v>1</v>
      </c>
      <c r="AA45" s="30">
        <f t="shared" si="37"/>
        <v>133.33333333333334</v>
      </c>
      <c r="AB45" s="30">
        <v>0</v>
      </c>
      <c r="AC45" s="30">
        <f t="shared" si="38"/>
        <v>0</v>
      </c>
      <c r="AD45" s="12">
        <f t="shared" si="39"/>
        <v>133.33333333333334</v>
      </c>
      <c r="AE45" s="4">
        <f t="shared" si="40"/>
        <v>7750</v>
      </c>
      <c r="AF45" s="3">
        <f t="shared" si="14"/>
        <v>5384.6153846153848</v>
      </c>
      <c r="AG45" s="3">
        <f t="shared" si="23"/>
        <v>592.30769230769238</v>
      </c>
      <c r="AH45" s="1">
        <v>1666.6666666666667</v>
      </c>
      <c r="AI45" s="1">
        <f t="shared" si="24"/>
        <v>65892.307692307688</v>
      </c>
      <c r="AJ45" s="1">
        <f t="shared" si="25"/>
        <v>261.15384615384613</v>
      </c>
      <c r="AK45" s="3">
        <f t="shared" si="26"/>
        <v>3.875</v>
      </c>
      <c r="AL45" s="4">
        <f t="shared" si="41"/>
        <v>6892.6634615384619</v>
      </c>
      <c r="AM45" s="3">
        <v>0</v>
      </c>
      <c r="AN45" s="4">
        <f t="shared" si="42"/>
        <v>6892.6634615384619</v>
      </c>
      <c r="AO45" s="1">
        <f t="shared" si="43"/>
        <v>1009.6153846153846</v>
      </c>
      <c r="AP45" s="41">
        <v>10</v>
      </c>
      <c r="AQ45" s="54">
        <f t="shared" si="44"/>
        <v>8759.6153846153848</v>
      </c>
    </row>
    <row r="46" spans="1:43" x14ac:dyDescent="0.35">
      <c r="A46" s="25" t="s">
        <v>151</v>
      </c>
      <c r="B46" s="44" t="s">
        <v>368</v>
      </c>
      <c r="C46" s="58" t="s">
        <v>645</v>
      </c>
      <c r="D46" s="63" t="s">
        <v>507</v>
      </c>
      <c r="E46" s="67" t="s">
        <v>634</v>
      </c>
      <c r="F46" s="69">
        <v>30705130104868</v>
      </c>
      <c r="G46" s="70" t="s">
        <v>526</v>
      </c>
      <c r="H46" s="72">
        <v>4000</v>
      </c>
      <c r="I46" s="72">
        <v>3000</v>
      </c>
      <c r="J46" s="31"/>
      <c r="K46" s="74">
        <v>1.05</v>
      </c>
      <c r="L46" s="9">
        <f t="shared" ref="L46:L52" si="45">+I46*K46</f>
        <v>3150</v>
      </c>
      <c r="M46" s="9">
        <v>0</v>
      </c>
      <c r="N46" s="9">
        <f t="shared" si="28"/>
        <v>30</v>
      </c>
      <c r="O46" s="9">
        <f t="shared" si="29"/>
        <v>0</v>
      </c>
      <c r="P46" s="10">
        <f t="shared" si="30"/>
        <v>133.33333333333334</v>
      </c>
      <c r="Q46" s="10">
        <f t="shared" si="31"/>
        <v>105</v>
      </c>
      <c r="R46" s="10">
        <f t="shared" si="32"/>
        <v>238.33333333333334</v>
      </c>
      <c r="S46" s="10">
        <f t="shared" si="33"/>
        <v>16.666666666666668</v>
      </c>
      <c r="T46" s="9">
        <v>44</v>
      </c>
      <c r="U46" s="9">
        <f t="shared" ref="U46:U83" si="46">+S46*T46</f>
        <v>733.33333333333337</v>
      </c>
      <c r="V46" s="9">
        <v>0</v>
      </c>
      <c r="W46" s="16">
        <f t="shared" ref="W46:W83" si="47">H46+L46+O46+U46+V46+J46</f>
        <v>7883.333333333333</v>
      </c>
      <c r="X46" s="30">
        <v>0</v>
      </c>
      <c r="Y46" s="30">
        <f t="shared" ref="Y46:Y83" si="48">R46*X46</f>
        <v>0</v>
      </c>
      <c r="Z46" s="38">
        <v>0</v>
      </c>
      <c r="AA46" s="30">
        <f t="shared" ref="AA46:AA83" si="49">P46*Z46</f>
        <v>0</v>
      </c>
      <c r="AB46" s="30">
        <v>0</v>
      </c>
      <c r="AC46" s="30">
        <f t="shared" ref="AC46:AC52" si="50">Q46*AB46</f>
        <v>0</v>
      </c>
      <c r="AD46" s="12">
        <f t="shared" ref="AD46:AD83" si="51">Y46+AA46+AC46</f>
        <v>0</v>
      </c>
      <c r="AE46" s="4">
        <f t="shared" ref="AE46:AE83" si="52">W46-AD46</f>
        <v>7883.333333333333</v>
      </c>
      <c r="AF46" s="3">
        <f t="shared" si="14"/>
        <v>5384.6153846153848</v>
      </c>
      <c r="AG46" s="3">
        <f t="shared" si="23"/>
        <v>592.30769230769238</v>
      </c>
      <c r="AH46" s="1">
        <v>1666.6666666666667</v>
      </c>
      <c r="AI46" s="1">
        <f t="shared" si="24"/>
        <v>67492.307692307688</v>
      </c>
      <c r="AJ46" s="1">
        <f t="shared" si="25"/>
        <v>281.15384615384613</v>
      </c>
      <c r="AK46" s="3">
        <f t="shared" si="26"/>
        <v>3.9416666666666664</v>
      </c>
      <c r="AL46" s="4">
        <f t="shared" ref="AL46:AL83" si="53">+AE46-AG46-AJ46-AK46</f>
        <v>7005.9301282051283</v>
      </c>
      <c r="AM46" s="3">
        <v>0</v>
      </c>
      <c r="AN46" s="4">
        <f t="shared" ref="AN46:AN83" si="54">+AL46-AM46</f>
        <v>7005.9301282051283</v>
      </c>
      <c r="AO46" s="1">
        <f t="shared" si="43"/>
        <v>1009.6153846153846</v>
      </c>
      <c r="AP46" s="41">
        <v>5</v>
      </c>
      <c r="AQ46" s="54">
        <f t="shared" si="44"/>
        <v>8892.9487179487169</v>
      </c>
    </row>
    <row r="47" spans="1:43" x14ac:dyDescent="0.35">
      <c r="A47" s="25" t="s">
        <v>151</v>
      </c>
      <c r="B47" s="44" t="s">
        <v>369</v>
      </c>
      <c r="C47" s="58" t="s">
        <v>646</v>
      </c>
      <c r="D47" s="63" t="s">
        <v>507</v>
      </c>
      <c r="E47" s="67" t="s">
        <v>635</v>
      </c>
      <c r="F47" s="69">
        <v>30609300123553</v>
      </c>
      <c r="G47" s="70" t="s">
        <v>526</v>
      </c>
      <c r="H47" s="72">
        <v>4000</v>
      </c>
      <c r="I47" s="72">
        <v>3000</v>
      </c>
      <c r="J47" s="31"/>
      <c r="K47" s="74">
        <v>1.05</v>
      </c>
      <c r="L47" s="9">
        <f t="shared" si="45"/>
        <v>3150</v>
      </c>
      <c r="M47" s="9">
        <v>0</v>
      </c>
      <c r="N47" s="9">
        <f t="shared" ref="N47:N83" si="55">30-X47</f>
        <v>30</v>
      </c>
      <c r="O47" s="9">
        <f t="shared" ref="O47:O83" si="56">M47*N47</f>
        <v>0</v>
      </c>
      <c r="P47" s="10">
        <f t="shared" ref="P47:P83" si="57">H47/30</f>
        <v>133.33333333333334</v>
      </c>
      <c r="Q47" s="10">
        <f t="shared" ref="Q47:Q83" si="58">L47/30</f>
        <v>105</v>
      </c>
      <c r="R47" s="10">
        <f t="shared" si="32"/>
        <v>238.33333333333334</v>
      </c>
      <c r="S47" s="10">
        <f t="shared" ref="S47:S83" si="59">+P47/8</f>
        <v>16.666666666666668</v>
      </c>
      <c r="T47" s="9">
        <v>44</v>
      </c>
      <c r="U47" s="9">
        <f t="shared" si="46"/>
        <v>733.33333333333337</v>
      </c>
      <c r="V47" s="9">
        <v>0</v>
      </c>
      <c r="W47" s="16">
        <f t="shared" si="47"/>
        <v>7883.333333333333</v>
      </c>
      <c r="X47" s="30">
        <v>0</v>
      </c>
      <c r="Y47" s="30">
        <f t="shared" si="48"/>
        <v>0</v>
      </c>
      <c r="Z47" s="38">
        <v>0</v>
      </c>
      <c r="AA47" s="30">
        <f t="shared" si="49"/>
        <v>0</v>
      </c>
      <c r="AB47" s="30">
        <v>0</v>
      </c>
      <c r="AC47" s="30">
        <f t="shared" si="50"/>
        <v>0</v>
      </c>
      <c r="AD47" s="12">
        <f t="shared" si="51"/>
        <v>0</v>
      </c>
      <c r="AE47" s="4">
        <f t="shared" si="52"/>
        <v>7883.333333333333</v>
      </c>
      <c r="AF47" s="3">
        <f t="shared" si="14"/>
        <v>5384.6153846153848</v>
      </c>
      <c r="AG47" s="3">
        <f t="shared" si="23"/>
        <v>592.30769230769238</v>
      </c>
      <c r="AH47" s="1">
        <v>1666.6666666666667</v>
      </c>
      <c r="AI47" s="1">
        <f t="shared" si="24"/>
        <v>67492.307692307688</v>
      </c>
      <c r="AJ47" s="1">
        <f t="shared" si="25"/>
        <v>281.15384615384613</v>
      </c>
      <c r="AK47" s="3">
        <f t="shared" si="26"/>
        <v>3.9416666666666664</v>
      </c>
      <c r="AL47" s="4">
        <f t="shared" si="53"/>
        <v>7005.9301282051283</v>
      </c>
      <c r="AM47" s="3">
        <v>0</v>
      </c>
      <c r="AN47" s="4">
        <f t="shared" si="54"/>
        <v>7005.9301282051283</v>
      </c>
      <c r="AO47" s="1">
        <f t="shared" si="43"/>
        <v>1009.6153846153846</v>
      </c>
      <c r="AP47" s="41">
        <v>13</v>
      </c>
      <c r="AQ47" s="54">
        <f t="shared" si="44"/>
        <v>8892.9487179487169</v>
      </c>
    </row>
    <row r="48" spans="1:43" customFormat="1" x14ac:dyDescent="0.35">
      <c r="A48" s="25" t="s">
        <v>151</v>
      </c>
      <c r="B48" s="44" t="s">
        <v>370</v>
      </c>
      <c r="C48" s="62" t="s">
        <v>647</v>
      </c>
      <c r="D48" s="60" t="s">
        <v>259</v>
      </c>
      <c r="E48" s="67" t="s">
        <v>636</v>
      </c>
      <c r="F48" s="69">
        <v>30311122101665</v>
      </c>
      <c r="G48" s="70" t="s">
        <v>526</v>
      </c>
      <c r="H48" s="72">
        <v>4000</v>
      </c>
      <c r="I48" s="72">
        <v>3000</v>
      </c>
      <c r="J48" s="31"/>
      <c r="K48" s="74">
        <v>1.05</v>
      </c>
      <c r="L48" s="9">
        <f t="shared" si="45"/>
        <v>3150</v>
      </c>
      <c r="M48" s="9">
        <v>0</v>
      </c>
      <c r="N48" s="9">
        <f t="shared" si="55"/>
        <v>30</v>
      </c>
      <c r="O48" s="9">
        <f t="shared" si="56"/>
        <v>0</v>
      </c>
      <c r="P48" s="10">
        <f t="shared" si="57"/>
        <v>133.33333333333334</v>
      </c>
      <c r="Q48" s="10">
        <f t="shared" si="58"/>
        <v>105</v>
      </c>
      <c r="R48" s="10">
        <f t="shared" si="32"/>
        <v>238.33333333333334</v>
      </c>
      <c r="S48" s="10">
        <f t="shared" si="59"/>
        <v>16.666666666666668</v>
      </c>
      <c r="T48" s="9">
        <v>28</v>
      </c>
      <c r="U48" s="9">
        <f t="shared" si="46"/>
        <v>466.66666666666669</v>
      </c>
      <c r="V48" s="9">
        <v>0</v>
      </c>
      <c r="W48" s="16">
        <f t="shared" si="47"/>
        <v>7616.666666666667</v>
      </c>
      <c r="X48" s="30">
        <v>0</v>
      </c>
      <c r="Y48" s="30">
        <f t="shared" si="48"/>
        <v>0</v>
      </c>
      <c r="Z48" s="38">
        <v>0</v>
      </c>
      <c r="AA48" s="30">
        <f t="shared" si="49"/>
        <v>0</v>
      </c>
      <c r="AB48" s="30">
        <v>0</v>
      </c>
      <c r="AC48" s="30">
        <f t="shared" si="50"/>
        <v>0</v>
      </c>
      <c r="AD48" s="12">
        <f t="shared" si="51"/>
        <v>0</v>
      </c>
      <c r="AE48" s="4">
        <f t="shared" si="52"/>
        <v>7616.666666666667</v>
      </c>
      <c r="AF48" s="3">
        <f t="shared" si="14"/>
        <v>5384.6153846153848</v>
      </c>
      <c r="AG48" s="3">
        <f t="shared" si="23"/>
        <v>592.30769230769238</v>
      </c>
      <c r="AH48" s="1">
        <v>1666.6666666666667</v>
      </c>
      <c r="AI48" s="1">
        <f t="shared" si="24"/>
        <v>64292.307692307688</v>
      </c>
      <c r="AJ48" s="1">
        <f t="shared" si="25"/>
        <v>241.1538461538461</v>
      </c>
      <c r="AK48" s="3">
        <f t="shared" si="26"/>
        <v>3.8083333333333336</v>
      </c>
      <c r="AL48" s="4">
        <f t="shared" si="53"/>
        <v>6779.3967948717955</v>
      </c>
      <c r="AM48" s="3">
        <v>0</v>
      </c>
      <c r="AN48" s="4">
        <f t="shared" si="54"/>
        <v>6779.3967948717955</v>
      </c>
      <c r="AO48" s="1">
        <f t="shared" ref="AO48:AO84" si="60">+AF48*0.1875</f>
        <v>1009.6153846153846</v>
      </c>
      <c r="AP48" s="41">
        <v>7</v>
      </c>
      <c r="AQ48" s="54">
        <f t="shared" si="44"/>
        <v>8626.2820512820508</v>
      </c>
    </row>
    <row r="49" spans="1:43" customFormat="1" x14ac:dyDescent="0.35">
      <c r="A49" s="25" t="s">
        <v>151</v>
      </c>
      <c r="B49" s="44" t="s">
        <v>523</v>
      </c>
      <c r="C49" s="58" t="s">
        <v>648</v>
      </c>
      <c r="D49" s="63" t="s">
        <v>507</v>
      </c>
      <c r="E49" s="67" t="s">
        <v>637</v>
      </c>
      <c r="F49" s="69">
        <v>30501251403078</v>
      </c>
      <c r="G49" s="70" t="s">
        <v>526</v>
      </c>
      <c r="H49" s="72">
        <v>4000</v>
      </c>
      <c r="I49" s="72">
        <v>3000</v>
      </c>
      <c r="J49" s="31"/>
      <c r="K49" s="74">
        <v>1.05</v>
      </c>
      <c r="L49" s="9">
        <f t="shared" si="45"/>
        <v>3150</v>
      </c>
      <c r="M49" s="9">
        <v>0</v>
      </c>
      <c r="N49" s="9">
        <f t="shared" si="55"/>
        <v>30</v>
      </c>
      <c r="O49" s="9">
        <f t="shared" si="56"/>
        <v>0</v>
      </c>
      <c r="P49" s="10">
        <f t="shared" si="57"/>
        <v>133.33333333333334</v>
      </c>
      <c r="Q49" s="10">
        <f t="shared" si="58"/>
        <v>105</v>
      </c>
      <c r="R49" s="10">
        <f t="shared" ref="R49:R83" si="61">Q49+P49</f>
        <v>238.33333333333334</v>
      </c>
      <c r="S49" s="10">
        <f t="shared" si="59"/>
        <v>16.666666666666668</v>
      </c>
      <c r="T49" s="9">
        <v>44</v>
      </c>
      <c r="U49" s="9">
        <f t="shared" si="46"/>
        <v>733.33333333333337</v>
      </c>
      <c r="V49" s="9">
        <v>0</v>
      </c>
      <c r="W49" s="16">
        <f t="shared" si="47"/>
        <v>7883.333333333333</v>
      </c>
      <c r="X49" s="30">
        <v>0</v>
      </c>
      <c r="Y49" s="30">
        <f t="shared" si="48"/>
        <v>0</v>
      </c>
      <c r="Z49" s="38">
        <v>2</v>
      </c>
      <c r="AA49" s="30">
        <f t="shared" si="49"/>
        <v>266.66666666666669</v>
      </c>
      <c r="AB49" s="30">
        <v>0</v>
      </c>
      <c r="AC49" s="30">
        <f t="shared" si="50"/>
        <v>0</v>
      </c>
      <c r="AD49" s="12">
        <f t="shared" si="51"/>
        <v>266.66666666666669</v>
      </c>
      <c r="AE49" s="4">
        <f t="shared" si="52"/>
        <v>7616.6666666666661</v>
      </c>
      <c r="AF49" s="3">
        <f t="shared" si="14"/>
        <v>5384.6153846153848</v>
      </c>
      <c r="AG49" s="3">
        <f t="shared" si="23"/>
        <v>592.30769230769238</v>
      </c>
      <c r="AH49" s="1">
        <v>1666.6666666666667</v>
      </c>
      <c r="AI49" s="1">
        <f t="shared" si="24"/>
        <v>64292.307692307681</v>
      </c>
      <c r="AJ49" s="1">
        <f t="shared" si="25"/>
        <v>241.15384615384599</v>
      </c>
      <c r="AK49" s="3">
        <f t="shared" si="26"/>
        <v>3.8083333333333331</v>
      </c>
      <c r="AL49" s="4">
        <f t="shared" si="53"/>
        <v>6779.3967948717946</v>
      </c>
      <c r="AM49" s="3">
        <v>0</v>
      </c>
      <c r="AN49" s="4">
        <f t="shared" si="54"/>
        <v>6779.3967948717946</v>
      </c>
      <c r="AO49" s="1">
        <f t="shared" si="60"/>
        <v>1009.6153846153846</v>
      </c>
      <c r="AP49" s="41">
        <v>17</v>
      </c>
      <c r="AQ49" s="54">
        <f t="shared" si="44"/>
        <v>8626.2820512820508</v>
      </c>
    </row>
    <row r="50" spans="1:43" customFormat="1" x14ac:dyDescent="0.35">
      <c r="A50" s="25" t="s">
        <v>151</v>
      </c>
      <c r="B50" s="44" t="s">
        <v>524</v>
      </c>
      <c r="C50" s="58" t="s">
        <v>649</v>
      </c>
      <c r="D50" s="60" t="s">
        <v>259</v>
      </c>
      <c r="E50" s="67" t="s">
        <v>638</v>
      </c>
      <c r="F50" s="69">
        <v>30410060102366</v>
      </c>
      <c r="G50" s="70" t="s">
        <v>526</v>
      </c>
      <c r="H50" s="72">
        <v>4000</v>
      </c>
      <c r="I50" s="72">
        <v>3000</v>
      </c>
      <c r="J50" s="31"/>
      <c r="K50" s="74">
        <v>1.05</v>
      </c>
      <c r="L50" s="9">
        <f t="shared" si="45"/>
        <v>3150</v>
      </c>
      <c r="M50" s="9">
        <v>0</v>
      </c>
      <c r="N50" s="9">
        <f t="shared" si="55"/>
        <v>30</v>
      </c>
      <c r="O50" s="9">
        <f t="shared" si="56"/>
        <v>0</v>
      </c>
      <c r="P50" s="10">
        <f t="shared" si="57"/>
        <v>133.33333333333334</v>
      </c>
      <c r="Q50" s="10">
        <f t="shared" si="58"/>
        <v>105</v>
      </c>
      <c r="R50" s="10">
        <f t="shared" si="61"/>
        <v>238.33333333333334</v>
      </c>
      <c r="S50" s="10">
        <f t="shared" si="59"/>
        <v>16.666666666666668</v>
      </c>
      <c r="T50" s="9">
        <v>44</v>
      </c>
      <c r="U50" s="9">
        <f t="shared" si="46"/>
        <v>733.33333333333337</v>
      </c>
      <c r="V50" s="9">
        <v>0</v>
      </c>
      <c r="W50" s="16">
        <f t="shared" si="47"/>
        <v>7883.333333333333</v>
      </c>
      <c r="X50" s="30">
        <v>0</v>
      </c>
      <c r="Y50" s="30">
        <f t="shared" si="48"/>
        <v>0</v>
      </c>
      <c r="Z50" s="38">
        <v>0</v>
      </c>
      <c r="AA50" s="30">
        <f t="shared" si="49"/>
        <v>0</v>
      </c>
      <c r="AB50" s="30">
        <v>0</v>
      </c>
      <c r="AC50" s="30">
        <f t="shared" si="50"/>
        <v>0</v>
      </c>
      <c r="AD50" s="12">
        <f t="shared" si="51"/>
        <v>0</v>
      </c>
      <c r="AE50" s="4">
        <f t="shared" si="52"/>
        <v>7883.333333333333</v>
      </c>
      <c r="AF50" s="3">
        <f t="shared" si="14"/>
        <v>5384.6153846153848</v>
      </c>
      <c r="AG50" s="3">
        <f t="shared" si="23"/>
        <v>592.30769230769238</v>
      </c>
      <c r="AH50" s="1">
        <v>1666.6666666666667</v>
      </c>
      <c r="AI50" s="1">
        <f t="shared" si="24"/>
        <v>67492.307692307688</v>
      </c>
      <c r="AJ50" s="1">
        <f t="shared" si="25"/>
        <v>281.15384615384613</v>
      </c>
      <c r="AK50" s="3">
        <f t="shared" si="26"/>
        <v>3.9416666666666664</v>
      </c>
      <c r="AL50" s="4">
        <f t="shared" si="53"/>
        <v>7005.9301282051283</v>
      </c>
      <c r="AM50" s="3">
        <v>0</v>
      </c>
      <c r="AN50" s="4">
        <f t="shared" si="54"/>
        <v>7005.9301282051283</v>
      </c>
      <c r="AO50" s="1">
        <f t="shared" si="60"/>
        <v>1009.6153846153846</v>
      </c>
      <c r="AP50" s="41">
        <v>13</v>
      </c>
      <c r="AQ50" s="54">
        <f t="shared" si="44"/>
        <v>8892.9487179487169</v>
      </c>
    </row>
    <row r="51" spans="1:43" customFormat="1" x14ac:dyDescent="0.35">
      <c r="A51" s="25" t="s">
        <v>151</v>
      </c>
      <c r="B51" s="44" t="s">
        <v>371</v>
      </c>
      <c r="C51" s="58" t="s">
        <v>186</v>
      </c>
      <c r="D51" s="63" t="s">
        <v>507</v>
      </c>
      <c r="E51" s="67" t="s">
        <v>125</v>
      </c>
      <c r="F51" s="69" t="s">
        <v>126</v>
      </c>
      <c r="G51" s="70" t="s">
        <v>526</v>
      </c>
      <c r="H51" s="72">
        <v>4000</v>
      </c>
      <c r="I51" s="72">
        <v>3000</v>
      </c>
      <c r="J51" s="31"/>
      <c r="K51" s="74">
        <v>1.05</v>
      </c>
      <c r="L51" s="9">
        <f t="shared" si="45"/>
        <v>3150</v>
      </c>
      <c r="M51" s="9">
        <v>0</v>
      </c>
      <c r="N51" s="9">
        <f t="shared" si="55"/>
        <v>30</v>
      </c>
      <c r="O51" s="9">
        <f t="shared" si="56"/>
        <v>0</v>
      </c>
      <c r="P51" s="10">
        <f t="shared" si="57"/>
        <v>133.33333333333334</v>
      </c>
      <c r="Q51" s="10">
        <f t="shared" si="58"/>
        <v>105</v>
      </c>
      <c r="R51" s="10">
        <f t="shared" si="61"/>
        <v>238.33333333333334</v>
      </c>
      <c r="S51" s="10">
        <f t="shared" si="59"/>
        <v>16.666666666666668</v>
      </c>
      <c r="T51" s="9">
        <v>44</v>
      </c>
      <c r="U51" s="9">
        <f t="shared" si="46"/>
        <v>733.33333333333337</v>
      </c>
      <c r="V51" s="9">
        <v>0</v>
      </c>
      <c r="W51" s="16">
        <f t="shared" si="47"/>
        <v>7883.333333333333</v>
      </c>
      <c r="X51" s="30">
        <v>0</v>
      </c>
      <c r="Y51" s="30">
        <f t="shared" si="48"/>
        <v>0</v>
      </c>
      <c r="Z51" s="38">
        <v>0</v>
      </c>
      <c r="AA51" s="30">
        <f t="shared" si="49"/>
        <v>0</v>
      </c>
      <c r="AB51" s="30">
        <v>0</v>
      </c>
      <c r="AC51" s="30">
        <f t="shared" si="50"/>
        <v>0</v>
      </c>
      <c r="AD51" s="12">
        <f t="shared" si="51"/>
        <v>0</v>
      </c>
      <c r="AE51" s="4">
        <f t="shared" si="52"/>
        <v>7883.333333333333</v>
      </c>
      <c r="AF51" s="3">
        <f t="shared" si="14"/>
        <v>5384.6153846153848</v>
      </c>
      <c r="AG51" s="3">
        <f t="shared" si="23"/>
        <v>592.30769230769238</v>
      </c>
      <c r="AH51" s="1">
        <v>1666.6666666666667</v>
      </c>
      <c r="AI51" s="1">
        <f t="shared" si="24"/>
        <v>67492.307692307688</v>
      </c>
      <c r="AJ51" s="1">
        <f t="shared" si="25"/>
        <v>281.15384615384613</v>
      </c>
      <c r="AK51" s="3">
        <f t="shared" si="26"/>
        <v>3.9416666666666664</v>
      </c>
      <c r="AL51" s="4">
        <f t="shared" si="53"/>
        <v>7005.9301282051283</v>
      </c>
      <c r="AM51" s="3">
        <v>0</v>
      </c>
      <c r="AN51" s="4">
        <f t="shared" si="54"/>
        <v>7005.9301282051283</v>
      </c>
      <c r="AO51" s="1">
        <f t="shared" si="60"/>
        <v>1009.6153846153846</v>
      </c>
      <c r="AP51" s="41">
        <v>0</v>
      </c>
      <c r="AQ51" s="54">
        <f t="shared" si="44"/>
        <v>8892.9487179487169</v>
      </c>
    </row>
    <row r="52" spans="1:43" customFormat="1" x14ac:dyDescent="0.35">
      <c r="A52" s="25" t="s">
        <v>151</v>
      </c>
      <c r="B52" s="44" t="s">
        <v>372</v>
      </c>
      <c r="C52" s="62" t="s">
        <v>643</v>
      </c>
      <c r="D52" s="63" t="s">
        <v>507</v>
      </c>
      <c r="E52" s="67" t="s">
        <v>633</v>
      </c>
      <c r="F52" s="69">
        <v>29604282101744</v>
      </c>
      <c r="G52" s="70" t="s">
        <v>526</v>
      </c>
      <c r="H52" s="72">
        <v>4000</v>
      </c>
      <c r="I52" s="72">
        <v>3000</v>
      </c>
      <c r="J52" s="31"/>
      <c r="K52" s="74">
        <v>1.05</v>
      </c>
      <c r="L52" s="9">
        <f t="shared" si="45"/>
        <v>3150</v>
      </c>
      <c r="M52" s="9">
        <v>0</v>
      </c>
      <c r="N52" s="9">
        <f t="shared" si="55"/>
        <v>30</v>
      </c>
      <c r="O52" s="9">
        <f t="shared" si="56"/>
        <v>0</v>
      </c>
      <c r="P52" s="10">
        <f t="shared" si="57"/>
        <v>133.33333333333334</v>
      </c>
      <c r="Q52" s="10">
        <f t="shared" si="58"/>
        <v>105</v>
      </c>
      <c r="R52" s="10">
        <f t="shared" si="61"/>
        <v>238.33333333333334</v>
      </c>
      <c r="S52" s="10">
        <f t="shared" si="59"/>
        <v>16.666666666666668</v>
      </c>
      <c r="T52" s="9">
        <v>44</v>
      </c>
      <c r="U52" s="9">
        <f t="shared" si="46"/>
        <v>733.33333333333337</v>
      </c>
      <c r="V52" s="9">
        <v>0</v>
      </c>
      <c r="W52" s="16">
        <f t="shared" si="47"/>
        <v>7883.333333333333</v>
      </c>
      <c r="X52" s="30">
        <v>0</v>
      </c>
      <c r="Y52" s="30">
        <f t="shared" si="48"/>
        <v>0</v>
      </c>
      <c r="Z52" s="38">
        <v>0</v>
      </c>
      <c r="AA52" s="30">
        <f t="shared" si="49"/>
        <v>0</v>
      </c>
      <c r="AB52" s="30">
        <v>0</v>
      </c>
      <c r="AC52" s="30">
        <f t="shared" si="50"/>
        <v>0</v>
      </c>
      <c r="AD52" s="12">
        <f t="shared" si="51"/>
        <v>0</v>
      </c>
      <c r="AE52" s="4">
        <f t="shared" si="52"/>
        <v>7883.333333333333</v>
      </c>
      <c r="AF52" s="3">
        <f t="shared" si="14"/>
        <v>5384.6153846153848</v>
      </c>
      <c r="AG52" s="3">
        <f t="shared" si="23"/>
        <v>592.30769230769238</v>
      </c>
      <c r="AH52" s="1">
        <v>1666.6666666666667</v>
      </c>
      <c r="AI52" s="1">
        <f t="shared" si="24"/>
        <v>67492.307692307688</v>
      </c>
      <c r="AJ52" s="1">
        <f t="shared" si="25"/>
        <v>281.15384615384613</v>
      </c>
      <c r="AK52" s="3">
        <f t="shared" si="26"/>
        <v>3.9416666666666664</v>
      </c>
      <c r="AL52" s="4">
        <f t="shared" si="53"/>
        <v>7005.9301282051283</v>
      </c>
      <c r="AM52" s="3">
        <v>0</v>
      </c>
      <c r="AN52" s="4">
        <f t="shared" si="54"/>
        <v>7005.9301282051283</v>
      </c>
      <c r="AO52" s="1">
        <f t="shared" si="60"/>
        <v>1009.6153846153846</v>
      </c>
      <c r="AP52" s="41">
        <v>6</v>
      </c>
      <c r="AQ52" s="54">
        <f t="shared" ref="AQ52" si="62">AE52+AO52</f>
        <v>8892.9487179487169</v>
      </c>
    </row>
    <row r="53" spans="1:43" customFormat="1" x14ac:dyDescent="0.35">
      <c r="A53" s="25" t="s">
        <v>151</v>
      </c>
      <c r="B53" s="44" t="s">
        <v>373</v>
      </c>
      <c r="C53" s="62" t="s">
        <v>772</v>
      </c>
      <c r="D53" s="60" t="s">
        <v>259</v>
      </c>
      <c r="E53" s="64" t="s">
        <v>732</v>
      </c>
      <c r="F53" s="69">
        <v>30005020104445</v>
      </c>
      <c r="G53" s="70" t="s">
        <v>526</v>
      </c>
      <c r="H53" s="72">
        <v>4000</v>
      </c>
      <c r="I53" s="72">
        <v>3000</v>
      </c>
      <c r="J53" s="31"/>
      <c r="K53" s="74">
        <v>1.05</v>
      </c>
      <c r="L53" s="9">
        <f t="shared" ref="L53" si="63">+I53*K53</f>
        <v>3150</v>
      </c>
      <c r="M53" s="9">
        <v>0</v>
      </c>
      <c r="N53" s="9">
        <f t="shared" si="55"/>
        <v>23</v>
      </c>
      <c r="O53" s="9">
        <f t="shared" si="56"/>
        <v>0</v>
      </c>
      <c r="P53" s="10">
        <f t="shared" si="57"/>
        <v>133.33333333333334</v>
      </c>
      <c r="Q53" s="10">
        <f t="shared" si="58"/>
        <v>105</v>
      </c>
      <c r="R53" s="10">
        <f t="shared" si="61"/>
        <v>238.33333333333334</v>
      </c>
      <c r="S53" s="10">
        <f t="shared" si="59"/>
        <v>16.666666666666668</v>
      </c>
      <c r="T53" s="9">
        <v>44</v>
      </c>
      <c r="U53" s="9">
        <f t="shared" si="46"/>
        <v>733.33333333333337</v>
      </c>
      <c r="V53" s="9">
        <v>0</v>
      </c>
      <c r="W53" s="16">
        <f t="shared" si="47"/>
        <v>7883.333333333333</v>
      </c>
      <c r="X53" s="30">
        <v>7</v>
      </c>
      <c r="Y53" s="30">
        <f t="shared" si="48"/>
        <v>1668.3333333333335</v>
      </c>
      <c r="Z53" s="38">
        <v>0</v>
      </c>
      <c r="AA53" s="30">
        <f t="shared" si="49"/>
        <v>0</v>
      </c>
      <c r="AB53" s="30">
        <v>0</v>
      </c>
      <c r="AC53" s="30">
        <f t="shared" ref="AC53" si="64">Q53*AB53</f>
        <v>0</v>
      </c>
      <c r="AD53" s="12">
        <f t="shared" si="51"/>
        <v>1668.3333333333335</v>
      </c>
      <c r="AE53" s="4">
        <f t="shared" si="52"/>
        <v>6215</v>
      </c>
      <c r="AF53" s="3">
        <f t="shared" si="14"/>
        <v>5384.6153846153848</v>
      </c>
      <c r="AG53" s="3">
        <f t="shared" si="23"/>
        <v>592.30769230769238</v>
      </c>
      <c r="AH53" s="1">
        <v>1666.6666666666667</v>
      </c>
      <c r="AI53" s="1">
        <f t="shared" si="24"/>
        <v>47472.307692307688</v>
      </c>
      <c r="AJ53" s="1">
        <f t="shared" si="25"/>
        <v>62.269230769230738</v>
      </c>
      <c r="AK53" s="3">
        <f t="shared" si="26"/>
        <v>3.1074999999999999</v>
      </c>
      <c r="AL53" s="4">
        <f t="shared" si="53"/>
        <v>5557.3155769230771</v>
      </c>
      <c r="AM53" s="3">
        <v>0</v>
      </c>
      <c r="AN53" s="4">
        <f t="shared" si="54"/>
        <v>5557.3155769230771</v>
      </c>
      <c r="AO53" s="1">
        <f t="shared" si="60"/>
        <v>1009.6153846153846</v>
      </c>
      <c r="AP53" s="41">
        <v>10</v>
      </c>
      <c r="AQ53" s="54">
        <f t="shared" ref="AQ53" si="65">AE53+AO53</f>
        <v>7224.6153846153848</v>
      </c>
    </row>
    <row r="54" spans="1:43" customFormat="1" x14ac:dyDescent="0.35">
      <c r="A54" s="25" t="s">
        <v>151</v>
      </c>
      <c r="B54" s="44" t="s">
        <v>525</v>
      </c>
      <c r="C54" s="61" t="s">
        <v>773</v>
      </c>
      <c r="D54" s="60" t="s">
        <v>259</v>
      </c>
      <c r="E54" s="64" t="s">
        <v>733</v>
      </c>
      <c r="F54" s="69">
        <v>30601220100462</v>
      </c>
      <c r="G54" s="70" t="s">
        <v>526</v>
      </c>
      <c r="H54" s="72">
        <v>4000</v>
      </c>
      <c r="I54" s="72">
        <v>3000</v>
      </c>
      <c r="J54" s="31"/>
      <c r="K54" s="74">
        <v>1.05</v>
      </c>
      <c r="L54" s="9">
        <f t="shared" ref="L54:L84" si="66">+I54*K54</f>
        <v>3150</v>
      </c>
      <c r="M54" s="9">
        <v>0</v>
      </c>
      <c r="N54" s="9">
        <f t="shared" si="55"/>
        <v>23</v>
      </c>
      <c r="O54" s="9">
        <f t="shared" si="56"/>
        <v>0</v>
      </c>
      <c r="P54" s="10">
        <f t="shared" si="57"/>
        <v>133.33333333333334</v>
      </c>
      <c r="Q54" s="10">
        <f t="shared" si="58"/>
        <v>105</v>
      </c>
      <c r="R54" s="10">
        <f t="shared" si="61"/>
        <v>238.33333333333334</v>
      </c>
      <c r="S54" s="10">
        <f t="shared" si="59"/>
        <v>16.666666666666668</v>
      </c>
      <c r="T54" s="9">
        <v>44</v>
      </c>
      <c r="U54" s="9">
        <f t="shared" si="46"/>
        <v>733.33333333333337</v>
      </c>
      <c r="V54" s="9">
        <v>0</v>
      </c>
      <c r="W54" s="16">
        <f t="shared" si="47"/>
        <v>7883.333333333333</v>
      </c>
      <c r="X54" s="30">
        <v>7</v>
      </c>
      <c r="Y54" s="30">
        <f t="shared" si="48"/>
        <v>1668.3333333333335</v>
      </c>
      <c r="Z54" s="38">
        <v>0</v>
      </c>
      <c r="AA54" s="30">
        <f t="shared" si="49"/>
        <v>0</v>
      </c>
      <c r="AB54" s="30">
        <v>0</v>
      </c>
      <c r="AC54" s="30">
        <f t="shared" ref="AC54:AC84" si="67">Q54*AB54</f>
        <v>0</v>
      </c>
      <c r="AD54" s="12">
        <f t="shared" si="51"/>
        <v>1668.3333333333335</v>
      </c>
      <c r="AE54" s="4">
        <f t="shared" si="52"/>
        <v>6215</v>
      </c>
      <c r="AF54" s="3">
        <f t="shared" si="14"/>
        <v>5384.6153846153848</v>
      </c>
      <c r="AG54" s="3">
        <f t="shared" si="23"/>
        <v>592.30769230769238</v>
      </c>
      <c r="AH54" s="1">
        <v>1666.6666666666667</v>
      </c>
      <c r="AI54" s="1">
        <f t="shared" si="24"/>
        <v>47472.307692307688</v>
      </c>
      <c r="AJ54" s="1">
        <f t="shared" si="25"/>
        <v>62.269230769230738</v>
      </c>
      <c r="AK54" s="3">
        <f t="shared" si="26"/>
        <v>3.1074999999999999</v>
      </c>
      <c r="AL54" s="4">
        <f t="shared" si="53"/>
        <v>5557.3155769230771</v>
      </c>
      <c r="AM54" s="3">
        <v>0</v>
      </c>
      <c r="AN54" s="4">
        <f t="shared" si="54"/>
        <v>5557.3155769230771</v>
      </c>
      <c r="AO54" s="1">
        <f t="shared" si="60"/>
        <v>1009.6153846153846</v>
      </c>
      <c r="AP54" s="41">
        <v>8</v>
      </c>
      <c r="AQ54" s="54">
        <f t="shared" ref="AQ54:AQ84" si="68">AE54+AO54</f>
        <v>7224.6153846153848</v>
      </c>
    </row>
    <row r="55" spans="1:43" customFormat="1" x14ac:dyDescent="0.35">
      <c r="A55" s="25" t="s">
        <v>151</v>
      </c>
      <c r="B55" s="44" t="s">
        <v>374</v>
      </c>
      <c r="C55" s="62" t="s">
        <v>774</v>
      </c>
      <c r="D55" s="60" t="s">
        <v>259</v>
      </c>
      <c r="E55" s="64" t="s">
        <v>734</v>
      </c>
      <c r="F55" s="69">
        <v>30211162102058</v>
      </c>
      <c r="G55" s="70" t="s">
        <v>526</v>
      </c>
      <c r="H55" s="72">
        <v>4000</v>
      </c>
      <c r="I55" s="72">
        <v>3000</v>
      </c>
      <c r="J55" s="31"/>
      <c r="K55" s="74">
        <v>1.05</v>
      </c>
      <c r="L55" s="9">
        <f t="shared" ref="L55:L83" si="69">+I55*K55</f>
        <v>3150</v>
      </c>
      <c r="M55" s="9">
        <v>0</v>
      </c>
      <c r="N55" s="9">
        <f t="shared" si="55"/>
        <v>23</v>
      </c>
      <c r="O55" s="9">
        <f t="shared" si="56"/>
        <v>0</v>
      </c>
      <c r="P55" s="10">
        <f t="shared" si="57"/>
        <v>133.33333333333334</v>
      </c>
      <c r="Q55" s="10">
        <f t="shared" si="58"/>
        <v>105</v>
      </c>
      <c r="R55" s="10">
        <f t="shared" si="61"/>
        <v>238.33333333333334</v>
      </c>
      <c r="S55" s="10">
        <f t="shared" si="59"/>
        <v>16.666666666666668</v>
      </c>
      <c r="T55" s="9">
        <v>12</v>
      </c>
      <c r="U55" s="9">
        <f t="shared" si="46"/>
        <v>200</v>
      </c>
      <c r="V55" s="9">
        <v>0</v>
      </c>
      <c r="W55" s="16">
        <f t="shared" si="47"/>
        <v>7350</v>
      </c>
      <c r="X55" s="30">
        <v>7</v>
      </c>
      <c r="Y55" s="30">
        <f t="shared" si="48"/>
        <v>1668.3333333333335</v>
      </c>
      <c r="Z55" s="38">
        <v>2</v>
      </c>
      <c r="AA55" s="30">
        <f t="shared" si="49"/>
        <v>266.66666666666669</v>
      </c>
      <c r="AB55" s="30">
        <v>0</v>
      </c>
      <c r="AC55" s="30">
        <f t="shared" ref="AC55:AC83" si="70">Q55*AB55</f>
        <v>0</v>
      </c>
      <c r="AD55" s="12">
        <f t="shared" si="51"/>
        <v>1935.0000000000002</v>
      </c>
      <c r="AE55" s="4">
        <f t="shared" si="52"/>
        <v>5415</v>
      </c>
      <c r="AF55" s="3">
        <f t="shared" si="14"/>
        <v>5384.6153846153848</v>
      </c>
      <c r="AG55" s="3">
        <f t="shared" si="23"/>
        <v>592.30769230769238</v>
      </c>
      <c r="AH55" s="1">
        <v>1666.6666666666667</v>
      </c>
      <c r="AI55" s="1">
        <f t="shared" si="24"/>
        <v>37872.307692307688</v>
      </c>
      <c r="AJ55" s="1">
        <f t="shared" si="25"/>
        <v>0</v>
      </c>
      <c r="AK55" s="3">
        <f t="shared" si="26"/>
        <v>2.7075</v>
      </c>
      <c r="AL55" s="4">
        <f t="shared" si="53"/>
        <v>4819.9848076923072</v>
      </c>
      <c r="AM55" s="3">
        <v>0</v>
      </c>
      <c r="AN55" s="4">
        <f t="shared" si="54"/>
        <v>4819.9848076923072</v>
      </c>
      <c r="AO55" s="1">
        <f t="shared" si="60"/>
        <v>1009.6153846153846</v>
      </c>
      <c r="AP55" s="41">
        <v>18</v>
      </c>
      <c r="AQ55" s="54">
        <f t="shared" ref="AQ55:AQ83" si="71">AE55+AO55</f>
        <v>6424.6153846153848</v>
      </c>
    </row>
    <row r="56" spans="1:43" customFormat="1" x14ac:dyDescent="0.35">
      <c r="A56" s="25" t="s">
        <v>151</v>
      </c>
      <c r="B56" s="44" t="s">
        <v>375</v>
      </c>
      <c r="C56" s="62" t="s">
        <v>775</v>
      </c>
      <c r="D56" s="60" t="s">
        <v>259</v>
      </c>
      <c r="E56" s="64" t="s">
        <v>735</v>
      </c>
      <c r="F56" s="69">
        <v>30703210101425</v>
      </c>
      <c r="G56" s="70" t="s">
        <v>526</v>
      </c>
      <c r="H56" s="72">
        <v>4000</v>
      </c>
      <c r="I56" s="72">
        <v>3000</v>
      </c>
      <c r="J56" s="31"/>
      <c r="K56" s="74">
        <v>1.05</v>
      </c>
      <c r="L56" s="9">
        <f t="shared" si="69"/>
        <v>3150</v>
      </c>
      <c r="M56" s="9">
        <v>0</v>
      </c>
      <c r="N56" s="9">
        <f t="shared" si="55"/>
        <v>19</v>
      </c>
      <c r="O56" s="9">
        <f t="shared" si="56"/>
        <v>0</v>
      </c>
      <c r="P56" s="10">
        <f t="shared" si="57"/>
        <v>133.33333333333334</v>
      </c>
      <c r="Q56" s="10">
        <f t="shared" si="58"/>
        <v>105</v>
      </c>
      <c r="R56" s="10">
        <f t="shared" si="61"/>
        <v>238.33333333333334</v>
      </c>
      <c r="S56" s="10">
        <f t="shared" si="59"/>
        <v>16.666666666666668</v>
      </c>
      <c r="T56" s="9">
        <v>28</v>
      </c>
      <c r="U56" s="9">
        <f t="shared" si="46"/>
        <v>466.66666666666669</v>
      </c>
      <c r="V56" s="9">
        <v>0</v>
      </c>
      <c r="W56" s="16">
        <f t="shared" si="47"/>
        <v>7616.666666666667</v>
      </c>
      <c r="X56" s="30">
        <v>11</v>
      </c>
      <c r="Y56" s="30">
        <f t="shared" si="48"/>
        <v>2621.666666666667</v>
      </c>
      <c r="Z56" s="38">
        <v>0</v>
      </c>
      <c r="AA56" s="30">
        <f t="shared" si="49"/>
        <v>0</v>
      </c>
      <c r="AB56" s="30">
        <v>0</v>
      </c>
      <c r="AC56" s="30">
        <f t="shared" si="70"/>
        <v>0</v>
      </c>
      <c r="AD56" s="12">
        <f t="shared" si="51"/>
        <v>2621.666666666667</v>
      </c>
      <c r="AE56" s="4">
        <f t="shared" si="52"/>
        <v>4995</v>
      </c>
      <c r="AF56" s="3">
        <f t="shared" si="14"/>
        <v>5384.6153846153848</v>
      </c>
      <c r="AG56" s="3">
        <f t="shared" si="23"/>
        <v>592.30769230769238</v>
      </c>
      <c r="AH56" s="1">
        <v>1666.6666666666667</v>
      </c>
      <c r="AI56" s="1">
        <f t="shared" si="24"/>
        <v>32832.307692307688</v>
      </c>
      <c r="AJ56" s="1">
        <f t="shared" si="25"/>
        <v>0</v>
      </c>
      <c r="AK56" s="3">
        <f t="shared" si="26"/>
        <v>2.4975000000000001</v>
      </c>
      <c r="AL56" s="4">
        <f t="shared" si="53"/>
        <v>4400.1948076923072</v>
      </c>
      <c r="AM56" s="3">
        <v>0</v>
      </c>
      <c r="AN56" s="4">
        <f t="shared" si="54"/>
        <v>4400.1948076923072</v>
      </c>
      <c r="AO56" s="1">
        <f t="shared" si="60"/>
        <v>1009.6153846153846</v>
      </c>
      <c r="AP56" s="41">
        <v>17</v>
      </c>
      <c r="AQ56" s="54">
        <f t="shared" si="71"/>
        <v>6004.6153846153848</v>
      </c>
    </row>
    <row r="57" spans="1:43" customFormat="1" x14ac:dyDescent="0.35">
      <c r="A57" s="25" t="s">
        <v>151</v>
      </c>
      <c r="B57" s="44" t="s">
        <v>376</v>
      </c>
      <c r="C57" s="62" t="s">
        <v>777</v>
      </c>
      <c r="D57" s="60" t="s">
        <v>259</v>
      </c>
      <c r="E57" s="64" t="s">
        <v>737</v>
      </c>
      <c r="F57" s="69">
        <v>30201032100678</v>
      </c>
      <c r="G57" s="70" t="s">
        <v>526</v>
      </c>
      <c r="H57" s="72">
        <v>4000</v>
      </c>
      <c r="I57" s="72">
        <v>3000</v>
      </c>
      <c r="J57" s="31"/>
      <c r="K57" s="74">
        <v>1.05</v>
      </c>
      <c r="L57" s="9">
        <f t="shared" ref="L57" si="72">+I57*K57</f>
        <v>3150</v>
      </c>
      <c r="M57" s="9">
        <v>0</v>
      </c>
      <c r="N57" s="9">
        <f t="shared" ref="N57" si="73">30-X57</f>
        <v>19</v>
      </c>
      <c r="O57" s="9">
        <f t="shared" ref="O57" si="74">M57*N57</f>
        <v>0</v>
      </c>
      <c r="P57" s="10">
        <f t="shared" ref="P57" si="75">H57/30</f>
        <v>133.33333333333334</v>
      </c>
      <c r="Q57" s="10">
        <f t="shared" ref="Q57" si="76">L57/30</f>
        <v>105</v>
      </c>
      <c r="R57" s="10">
        <f t="shared" ref="R57" si="77">Q57+P57</f>
        <v>238.33333333333334</v>
      </c>
      <c r="S57" s="10">
        <f t="shared" ref="S57" si="78">+P57/8</f>
        <v>16.666666666666668</v>
      </c>
      <c r="T57" s="9">
        <v>28</v>
      </c>
      <c r="U57" s="9">
        <f t="shared" ref="U57" si="79">+S57*T57</f>
        <v>466.66666666666669</v>
      </c>
      <c r="V57" s="9">
        <v>0</v>
      </c>
      <c r="W57" s="16">
        <f t="shared" ref="W57" si="80">H57+L57+O57+U57+V57+J57</f>
        <v>7616.666666666667</v>
      </c>
      <c r="X57" s="30">
        <v>11</v>
      </c>
      <c r="Y57" s="30">
        <f t="shared" ref="Y57" si="81">R57*X57</f>
        <v>2621.666666666667</v>
      </c>
      <c r="Z57" s="38">
        <v>2</v>
      </c>
      <c r="AA57" s="30">
        <f t="shared" ref="AA57" si="82">P57*Z57</f>
        <v>266.66666666666669</v>
      </c>
      <c r="AB57" s="30">
        <v>0</v>
      </c>
      <c r="AC57" s="30">
        <f t="shared" ref="AC57" si="83">Q57*AB57</f>
        <v>0</v>
      </c>
      <c r="AD57" s="12">
        <f t="shared" ref="AD57" si="84">Y57+AA57+AC57</f>
        <v>2888.3333333333335</v>
      </c>
      <c r="AE57" s="4">
        <f t="shared" ref="AE57" si="85">W57-AD57</f>
        <v>4728.3333333333339</v>
      </c>
      <c r="AF57" s="3">
        <f t="shared" ref="AF57:AF65" si="86">7000/1.3</f>
        <v>5384.6153846153848</v>
      </c>
      <c r="AG57" s="3">
        <f t="shared" si="23"/>
        <v>592.30769230769238</v>
      </c>
      <c r="AH57" s="1">
        <v>1666.6666666666667</v>
      </c>
      <c r="AI57" s="1">
        <f t="shared" si="24"/>
        <v>29632.307692307695</v>
      </c>
      <c r="AJ57" s="1">
        <f t="shared" si="25"/>
        <v>0</v>
      </c>
      <c r="AK57" s="3">
        <f t="shared" si="26"/>
        <v>2.3641666666666672</v>
      </c>
      <c r="AL57" s="4">
        <f t="shared" ref="AL57" si="87">+AE57-AG57-AJ57-AK57</f>
        <v>4133.6614743589753</v>
      </c>
      <c r="AM57" s="3">
        <v>0</v>
      </c>
      <c r="AN57" s="4">
        <f t="shared" ref="AN57" si="88">+AL57-AM57</f>
        <v>4133.6614743589753</v>
      </c>
      <c r="AO57" s="1">
        <f t="shared" si="60"/>
        <v>1009.6153846153846</v>
      </c>
      <c r="AP57" s="41">
        <v>15</v>
      </c>
      <c r="AQ57" s="54">
        <f t="shared" ref="AQ57" si="89">AE57+AO57</f>
        <v>5737.9487179487187</v>
      </c>
    </row>
    <row r="58" spans="1:43" customFormat="1" x14ac:dyDescent="0.35">
      <c r="A58" s="25" t="s">
        <v>151</v>
      </c>
      <c r="B58" s="44" t="s">
        <v>377</v>
      </c>
      <c r="C58" s="62" t="s">
        <v>778</v>
      </c>
      <c r="D58" s="60" t="s">
        <v>259</v>
      </c>
      <c r="E58" s="64" t="s">
        <v>738</v>
      </c>
      <c r="F58" s="69">
        <v>30609100100052</v>
      </c>
      <c r="G58" s="70" t="s">
        <v>526</v>
      </c>
      <c r="H58" s="72">
        <v>4000</v>
      </c>
      <c r="I58" s="72">
        <v>3000</v>
      </c>
      <c r="J58" s="31"/>
      <c r="K58" s="74">
        <v>1.05</v>
      </c>
      <c r="L58" s="9">
        <f t="shared" si="69"/>
        <v>3150</v>
      </c>
      <c r="M58" s="9">
        <v>0</v>
      </c>
      <c r="N58" s="9">
        <f t="shared" si="55"/>
        <v>19</v>
      </c>
      <c r="O58" s="9">
        <f t="shared" si="56"/>
        <v>0</v>
      </c>
      <c r="P58" s="10">
        <f t="shared" si="57"/>
        <v>133.33333333333334</v>
      </c>
      <c r="Q58" s="10">
        <f t="shared" si="58"/>
        <v>105</v>
      </c>
      <c r="R58" s="10">
        <f t="shared" si="61"/>
        <v>238.33333333333334</v>
      </c>
      <c r="S58" s="10">
        <f t="shared" si="59"/>
        <v>16.666666666666668</v>
      </c>
      <c r="T58" s="9">
        <v>28</v>
      </c>
      <c r="U58" s="9">
        <f t="shared" si="46"/>
        <v>466.66666666666669</v>
      </c>
      <c r="V58" s="9">
        <v>0</v>
      </c>
      <c r="W58" s="16">
        <f t="shared" si="47"/>
        <v>7616.666666666667</v>
      </c>
      <c r="X58" s="30">
        <v>11</v>
      </c>
      <c r="Y58" s="30">
        <f t="shared" si="48"/>
        <v>2621.666666666667</v>
      </c>
      <c r="Z58" s="38">
        <v>0</v>
      </c>
      <c r="AA58" s="30">
        <f t="shared" si="49"/>
        <v>0</v>
      </c>
      <c r="AB58" s="30">
        <v>0</v>
      </c>
      <c r="AC58" s="30">
        <f t="shared" si="70"/>
        <v>0</v>
      </c>
      <c r="AD58" s="12">
        <f t="shared" si="51"/>
        <v>2621.666666666667</v>
      </c>
      <c r="AE58" s="4">
        <f t="shared" si="52"/>
        <v>4995</v>
      </c>
      <c r="AF58" s="3">
        <f t="shared" si="86"/>
        <v>5384.6153846153848</v>
      </c>
      <c r="AG58" s="3">
        <f t="shared" ref="AG58:AG84" si="90">+AF58*0.11</f>
        <v>592.30769230769238</v>
      </c>
      <c r="AH58" s="1">
        <v>1666.6666666666667</v>
      </c>
      <c r="AI58" s="1">
        <f t="shared" ref="AI58:AI84" si="91">(AE58-AG58-AH58)*12</f>
        <v>32832.307692307688</v>
      </c>
      <c r="AJ58" s="1">
        <f t="shared" ref="AJ58:AJ84" si="92">IF(AND(AI58&gt;40000,AI58&lt;=55000),(AI58-40000)*10%,
IF(AND(AI58&gt;55000,AI58&lt;=70000),(AI58-55000)*15%+15000*10%,
IF(AND(AI58&gt;70000,AI58&lt;=200000),(AI58-70000)*20%+15000*10%+15000*15%,
IF(AND(AI58&gt;200000,AI58&lt;=400000),(AI58-200000)*22.5%+15000*10%+15000*15%+130000*20%,
IF(AND(AI58&gt;400000,AI58&lt;=600000),(AI58-400000)*25%+15000*10%+15000*15%+130000*20%+200000*22.5%,
IF(AND(AI58&gt;600000,AI58&lt;=700000),(AI58-400000)*25%+55000*10%+15000*15%+130000*20%+200000*22.5%,
IF(AND(AI58&gt;700000,AI58&lt;=800000),(AI58-400000)*25%+70000*15%+130000*20%+200000*22.5%,
IF(AND(AI58&gt;800000,AI58&lt;=900000),(AI58-400000)*25%+200000*20%+200000*22.5%,
IF(AND(AI58&gt;900000,AI58&lt;=1200000),(AI58-400000)*25%+400000*22.5%,
IF(AI58&gt;1200000,(AI58-1200000)*27.5%+1200000*25%))))))))))/12</f>
        <v>0</v>
      </c>
      <c r="AK58" s="3">
        <f t="shared" ref="AK58:AK84" si="93">+AE58*0.0005</f>
        <v>2.4975000000000001</v>
      </c>
      <c r="AL58" s="4">
        <f t="shared" si="53"/>
        <v>4400.1948076923072</v>
      </c>
      <c r="AM58" s="3">
        <v>0</v>
      </c>
      <c r="AN58" s="4">
        <f t="shared" si="54"/>
        <v>4400.1948076923072</v>
      </c>
      <c r="AO58" s="1">
        <f t="shared" si="60"/>
        <v>1009.6153846153846</v>
      </c>
      <c r="AP58" s="41">
        <v>15</v>
      </c>
      <c r="AQ58" s="54">
        <f t="shared" si="71"/>
        <v>6004.6153846153848</v>
      </c>
    </row>
    <row r="59" spans="1:43" customFormat="1" x14ac:dyDescent="0.35">
      <c r="A59" s="25" t="s">
        <v>151</v>
      </c>
      <c r="B59" s="44" t="s">
        <v>378</v>
      </c>
      <c r="C59" s="62" t="s">
        <v>779</v>
      </c>
      <c r="D59" s="60" t="s">
        <v>259</v>
      </c>
      <c r="E59" s="64" t="s">
        <v>739</v>
      </c>
      <c r="F59" s="69">
        <v>30106190105528</v>
      </c>
      <c r="G59" s="70" t="s">
        <v>526</v>
      </c>
      <c r="H59" s="72">
        <v>4000</v>
      </c>
      <c r="I59" s="72">
        <v>3000</v>
      </c>
      <c r="J59" s="31"/>
      <c r="K59" s="74">
        <v>1.05</v>
      </c>
      <c r="L59" s="9">
        <f t="shared" si="69"/>
        <v>3150</v>
      </c>
      <c r="M59" s="9">
        <v>0</v>
      </c>
      <c r="N59" s="9">
        <f t="shared" si="55"/>
        <v>19</v>
      </c>
      <c r="O59" s="9">
        <f t="shared" si="56"/>
        <v>0</v>
      </c>
      <c r="P59" s="10">
        <f t="shared" si="57"/>
        <v>133.33333333333334</v>
      </c>
      <c r="Q59" s="10">
        <f t="shared" si="58"/>
        <v>105</v>
      </c>
      <c r="R59" s="10">
        <f t="shared" si="61"/>
        <v>238.33333333333334</v>
      </c>
      <c r="S59" s="10">
        <f t="shared" si="59"/>
        <v>16.666666666666668</v>
      </c>
      <c r="T59" s="9">
        <v>28</v>
      </c>
      <c r="U59" s="9">
        <f t="shared" si="46"/>
        <v>466.66666666666669</v>
      </c>
      <c r="V59" s="9">
        <v>0</v>
      </c>
      <c r="W59" s="16">
        <f t="shared" si="47"/>
        <v>7616.666666666667</v>
      </c>
      <c r="X59" s="30">
        <v>11</v>
      </c>
      <c r="Y59" s="30">
        <f t="shared" si="48"/>
        <v>2621.666666666667</v>
      </c>
      <c r="Z59" s="38">
        <v>0</v>
      </c>
      <c r="AA59" s="30">
        <f t="shared" si="49"/>
        <v>0</v>
      </c>
      <c r="AB59" s="30">
        <v>0</v>
      </c>
      <c r="AC59" s="30">
        <f t="shared" si="70"/>
        <v>0</v>
      </c>
      <c r="AD59" s="12">
        <f t="shared" si="51"/>
        <v>2621.666666666667</v>
      </c>
      <c r="AE59" s="4">
        <f t="shared" si="52"/>
        <v>4995</v>
      </c>
      <c r="AF59" s="3">
        <f t="shared" si="86"/>
        <v>5384.6153846153848</v>
      </c>
      <c r="AG59" s="3">
        <f t="shared" si="90"/>
        <v>592.30769230769238</v>
      </c>
      <c r="AH59" s="1">
        <v>1666.6666666666667</v>
      </c>
      <c r="AI59" s="1">
        <f t="shared" si="91"/>
        <v>32832.307692307688</v>
      </c>
      <c r="AJ59" s="1">
        <f t="shared" si="92"/>
        <v>0</v>
      </c>
      <c r="AK59" s="3">
        <f t="shared" si="93"/>
        <v>2.4975000000000001</v>
      </c>
      <c r="AL59" s="4">
        <f t="shared" si="53"/>
        <v>4400.1948076923072</v>
      </c>
      <c r="AM59" s="3">
        <v>0</v>
      </c>
      <c r="AN59" s="4">
        <f t="shared" si="54"/>
        <v>4400.1948076923072</v>
      </c>
      <c r="AO59" s="1">
        <f t="shared" ref="AO59:AO83" si="94">+AF59*0.1875</f>
        <v>1009.6153846153846</v>
      </c>
      <c r="AP59" s="41">
        <v>20</v>
      </c>
      <c r="AQ59" s="54">
        <f t="shared" si="71"/>
        <v>6004.6153846153848</v>
      </c>
    </row>
    <row r="60" spans="1:43" customFormat="1" x14ac:dyDescent="0.35">
      <c r="A60" s="25" t="s">
        <v>151</v>
      </c>
      <c r="B60" s="44" t="s">
        <v>379</v>
      </c>
      <c r="C60" s="62" t="s">
        <v>780</v>
      </c>
      <c r="D60" s="60" t="s">
        <v>259</v>
      </c>
      <c r="E60" s="64" t="s">
        <v>740</v>
      </c>
      <c r="F60" s="69">
        <v>30006190100858</v>
      </c>
      <c r="G60" s="70" t="s">
        <v>526</v>
      </c>
      <c r="H60" s="72">
        <v>4000</v>
      </c>
      <c r="I60" s="72">
        <v>3000</v>
      </c>
      <c r="J60" s="31"/>
      <c r="K60" s="74">
        <v>1.05</v>
      </c>
      <c r="L60" s="9">
        <f t="shared" si="69"/>
        <v>3150</v>
      </c>
      <c r="M60" s="9">
        <v>0</v>
      </c>
      <c r="N60" s="9">
        <f t="shared" si="55"/>
        <v>19</v>
      </c>
      <c r="O60" s="9">
        <f t="shared" si="56"/>
        <v>0</v>
      </c>
      <c r="P60" s="10">
        <f t="shared" si="57"/>
        <v>133.33333333333334</v>
      </c>
      <c r="Q60" s="10">
        <f t="shared" si="58"/>
        <v>105</v>
      </c>
      <c r="R60" s="10">
        <f t="shared" si="61"/>
        <v>238.33333333333334</v>
      </c>
      <c r="S60" s="10">
        <f t="shared" si="59"/>
        <v>16.666666666666668</v>
      </c>
      <c r="T60" s="9">
        <v>28</v>
      </c>
      <c r="U60" s="9">
        <f t="shared" si="46"/>
        <v>466.66666666666669</v>
      </c>
      <c r="V60" s="9">
        <v>0</v>
      </c>
      <c r="W60" s="16">
        <f t="shared" si="47"/>
        <v>7616.666666666667</v>
      </c>
      <c r="X60" s="30">
        <v>11</v>
      </c>
      <c r="Y60" s="30">
        <f t="shared" si="48"/>
        <v>2621.666666666667</v>
      </c>
      <c r="Z60" s="38">
        <v>2</v>
      </c>
      <c r="AA60" s="30">
        <f t="shared" si="49"/>
        <v>266.66666666666669</v>
      </c>
      <c r="AB60" s="30">
        <v>0</v>
      </c>
      <c r="AC60" s="30">
        <f t="shared" si="70"/>
        <v>0</v>
      </c>
      <c r="AD60" s="12">
        <f t="shared" si="51"/>
        <v>2888.3333333333335</v>
      </c>
      <c r="AE60" s="4">
        <f t="shared" si="52"/>
        <v>4728.3333333333339</v>
      </c>
      <c r="AF60" s="3">
        <f t="shared" si="86"/>
        <v>5384.6153846153848</v>
      </c>
      <c r="AG60" s="3">
        <f t="shared" si="90"/>
        <v>592.30769230769238</v>
      </c>
      <c r="AH60" s="1">
        <v>1666.6666666666667</v>
      </c>
      <c r="AI60" s="1">
        <f t="shared" si="91"/>
        <v>29632.307692307695</v>
      </c>
      <c r="AJ60" s="1">
        <f t="shared" si="92"/>
        <v>0</v>
      </c>
      <c r="AK60" s="3">
        <f t="shared" si="93"/>
        <v>2.3641666666666672</v>
      </c>
      <c r="AL60" s="4">
        <f t="shared" si="53"/>
        <v>4133.6614743589753</v>
      </c>
      <c r="AM60" s="3">
        <v>0</v>
      </c>
      <c r="AN60" s="4">
        <f t="shared" si="54"/>
        <v>4133.6614743589753</v>
      </c>
      <c r="AO60" s="1">
        <f t="shared" si="94"/>
        <v>1009.6153846153846</v>
      </c>
      <c r="AP60" s="41">
        <v>20</v>
      </c>
      <c r="AQ60" s="54">
        <f t="shared" si="71"/>
        <v>5737.9487179487187</v>
      </c>
    </row>
    <row r="61" spans="1:43" customFormat="1" x14ac:dyDescent="0.35">
      <c r="A61" s="25" t="s">
        <v>151</v>
      </c>
      <c r="B61" s="44" t="s">
        <v>380</v>
      </c>
      <c r="C61" s="62" t="s">
        <v>781</v>
      </c>
      <c r="D61" s="60" t="s">
        <v>259</v>
      </c>
      <c r="E61" s="64" t="s">
        <v>741</v>
      </c>
      <c r="F61" s="69">
        <v>30610192102267</v>
      </c>
      <c r="G61" s="70" t="s">
        <v>526</v>
      </c>
      <c r="H61" s="72">
        <v>4000</v>
      </c>
      <c r="I61" s="72">
        <v>3000</v>
      </c>
      <c r="J61" s="31"/>
      <c r="K61" s="74">
        <v>1.05</v>
      </c>
      <c r="L61" s="9">
        <f t="shared" si="69"/>
        <v>3150</v>
      </c>
      <c r="M61" s="9">
        <v>0</v>
      </c>
      <c r="N61" s="9">
        <f t="shared" si="55"/>
        <v>19</v>
      </c>
      <c r="O61" s="9">
        <f t="shared" si="56"/>
        <v>0</v>
      </c>
      <c r="P61" s="10">
        <f t="shared" si="57"/>
        <v>133.33333333333334</v>
      </c>
      <c r="Q61" s="10">
        <f t="shared" si="58"/>
        <v>105</v>
      </c>
      <c r="R61" s="10">
        <f t="shared" si="61"/>
        <v>238.33333333333334</v>
      </c>
      <c r="S61" s="10">
        <f t="shared" si="59"/>
        <v>16.666666666666668</v>
      </c>
      <c r="T61" s="9">
        <v>28</v>
      </c>
      <c r="U61" s="9">
        <f t="shared" si="46"/>
        <v>466.66666666666669</v>
      </c>
      <c r="V61" s="9">
        <v>0</v>
      </c>
      <c r="W61" s="16">
        <f t="shared" si="47"/>
        <v>7616.666666666667</v>
      </c>
      <c r="X61" s="30">
        <v>11</v>
      </c>
      <c r="Y61" s="30">
        <f t="shared" si="48"/>
        <v>2621.666666666667</v>
      </c>
      <c r="Z61" s="38">
        <v>1</v>
      </c>
      <c r="AA61" s="30">
        <f t="shared" si="49"/>
        <v>133.33333333333334</v>
      </c>
      <c r="AB61" s="30">
        <v>0</v>
      </c>
      <c r="AC61" s="30">
        <f t="shared" si="70"/>
        <v>0</v>
      </c>
      <c r="AD61" s="12">
        <f t="shared" si="51"/>
        <v>2755.0000000000005</v>
      </c>
      <c r="AE61" s="4">
        <f t="shared" si="52"/>
        <v>4861.6666666666661</v>
      </c>
      <c r="AF61" s="3">
        <f t="shared" si="86"/>
        <v>5384.6153846153848</v>
      </c>
      <c r="AG61" s="3">
        <f t="shared" si="90"/>
        <v>592.30769230769238</v>
      </c>
      <c r="AH61" s="1">
        <v>1666.6666666666667</v>
      </c>
      <c r="AI61" s="1">
        <f t="shared" si="91"/>
        <v>31232.307692307681</v>
      </c>
      <c r="AJ61" s="1">
        <f t="shared" si="92"/>
        <v>0</v>
      </c>
      <c r="AK61" s="3">
        <f t="shared" si="93"/>
        <v>2.4308333333333332</v>
      </c>
      <c r="AL61" s="4">
        <f t="shared" si="53"/>
        <v>4266.9281410256408</v>
      </c>
      <c r="AM61" s="3">
        <v>0</v>
      </c>
      <c r="AN61" s="4">
        <f t="shared" si="54"/>
        <v>4266.9281410256408</v>
      </c>
      <c r="AO61" s="1">
        <f t="shared" si="94"/>
        <v>1009.6153846153846</v>
      </c>
      <c r="AP61" s="41">
        <v>21</v>
      </c>
      <c r="AQ61" s="54">
        <f t="shared" si="71"/>
        <v>5871.2820512820508</v>
      </c>
    </row>
    <row r="62" spans="1:43" customFormat="1" x14ac:dyDescent="0.35">
      <c r="A62" s="25" t="s">
        <v>151</v>
      </c>
      <c r="B62" s="44" t="s">
        <v>381</v>
      </c>
      <c r="C62" s="62" t="s">
        <v>782</v>
      </c>
      <c r="D62" s="60" t="s">
        <v>259</v>
      </c>
      <c r="E62" s="64" t="s">
        <v>742</v>
      </c>
      <c r="F62" s="69">
        <v>29804262101721</v>
      </c>
      <c r="G62" s="70" t="s">
        <v>526</v>
      </c>
      <c r="H62" s="72">
        <v>4000</v>
      </c>
      <c r="I62" s="72">
        <v>3000</v>
      </c>
      <c r="J62" s="31"/>
      <c r="K62" s="74">
        <v>1.05</v>
      </c>
      <c r="L62" s="9">
        <f t="shared" si="69"/>
        <v>3150</v>
      </c>
      <c r="M62" s="9">
        <v>0</v>
      </c>
      <c r="N62" s="9">
        <f t="shared" si="55"/>
        <v>19</v>
      </c>
      <c r="O62" s="9">
        <f t="shared" si="56"/>
        <v>0</v>
      </c>
      <c r="P62" s="10">
        <f t="shared" si="57"/>
        <v>133.33333333333334</v>
      </c>
      <c r="Q62" s="10">
        <f t="shared" si="58"/>
        <v>105</v>
      </c>
      <c r="R62" s="10">
        <f t="shared" si="61"/>
        <v>238.33333333333334</v>
      </c>
      <c r="S62" s="10">
        <f t="shared" si="59"/>
        <v>16.666666666666668</v>
      </c>
      <c r="T62" s="9">
        <v>28</v>
      </c>
      <c r="U62" s="9">
        <f t="shared" si="46"/>
        <v>466.66666666666669</v>
      </c>
      <c r="V62" s="9">
        <v>0</v>
      </c>
      <c r="W62" s="16">
        <f t="shared" si="47"/>
        <v>7616.666666666667</v>
      </c>
      <c r="X62" s="30">
        <v>11</v>
      </c>
      <c r="Y62" s="30">
        <f t="shared" si="48"/>
        <v>2621.666666666667</v>
      </c>
      <c r="Z62" s="38">
        <v>0</v>
      </c>
      <c r="AA62" s="30">
        <f t="shared" si="49"/>
        <v>0</v>
      </c>
      <c r="AB62" s="30">
        <v>0</v>
      </c>
      <c r="AC62" s="30">
        <f t="shared" si="70"/>
        <v>0</v>
      </c>
      <c r="AD62" s="12">
        <f t="shared" si="51"/>
        <v>2621.666666666667</v>
      </c>
      <c r="AE62" s="4">
        <f t="shared" si="52"/>
        <v>4995</v>
      </c>
      <c r="AF62" s="3">
        <f t="shared" si="86"/>
        <v>5384.6153846153848</v>
      </c>
      <c r="AG62" s="3">
        <f t="shared" si="90"/>
        <v>592.30769230769238</v>
      </c>
      <c r="AH62" s="1">
        <v>1666.6666666666667</v>
      </c>
      <c r="AI62" s="1">
        <f t="shared" si="91"/>
        <v>32832.307692307688</v>
      </c>
      <c r="AJ62" s="1">
        <f t="shared" si="92"/>
        <v>0</v>
      </c>
      <c r="AK62" s="3">
        <f t="shared" si="93"/>
        <v>2.4975000000000001</v>
      </c>
      <c r="AL62" s="4">
        <f t="shared" si="53"/>
        <v>4400.1948076923072</v>
      </c>
      <c r="AM62" s="3">
        <v>0</v>
      </c>
      <c r="AN62" s="4">
        <f t="shared" si="54"/>
        <v>4400.1948076923072</v>
      </c>
      <c r="AO62" s="1">
        <f t="shared" si="94"/>
        <v>1009.6153846153846</v>
      </c>
      <c r="AP62" s="41">
        <v>20</v>
      </c>
      <c r="AQ62" s="54">
        <f t="shared" si="71"/>
        <v>6004.6153846153848</v>
      </c>
    </row>
    <row r="63" spans="1:43" customFormat="1" x14ac:dyDescent="0.35">
      <c r="A63" s="25" t="s">
        <v>151</v>
      </c>
      <c r="B63" s="44" t="s">
        <v>382</v>
      </c>
      <c r="C63" s="62" t="s">
        <v>783</v>
      </c>
      <c r="D63" s="60" t="s">
        <v>259</v>
      </c>
      <c r="E63" s="64" t="s">
        <v>743</v>
      </c>
      <c r="F63" s="69">
        <v>29901210105227</v>
      </c>
      <c r="G63" s="70" t="s">
        <v>526</v>
      </c>
      <c r="H63" s="72">
        <v>4000</v>
      </c>
      <c r="I63" s="72">
        <v>3000</v>
      </c>
      <c r="J63" s="31"/>
      <c r="K63" s="74">
        <v>1.05</v>
      </c>
      <c r="L63" s="9">
        <f t="shared" si="69"/>
        <v>3150</v>
      </c>
      <c r="M63" s="9">
        <v>0</v>
      </c>
      <c r="N63" s="9">
        <f t="shared" si="55"/>
        <v>19</v>
      </c>
      <c r="O63" s="9">
        <f t="shared" si="56"/>
        <v>0</v>
      </c>
      <c r="P63" s="10">
        <f t="shared" si="57"/>
        <v>133.33333333333334</v>
      </c>
      <c r="Q63" s="10">
        <f t="shared" si="58"/>
        <v>105</v>
      </c>
      <c r="R63" s="10">
        <f t="shared" si="61"/>
        <v>238.33333333333334</v>
      </c>
      <c r="S63" s="10">
        <f t="shared" si="59"/>
        <v>16.666666666666668</v>
      </c>
      <c r="T63" s="9">
        <v>28</v>
      </c>
      <c r="U63" s="9">
        <f t="shared" si="46"/>
        <v>466.66666666666669</v>
      </c>
      <c r="V63" s="9">
        <v>0</v>
      </c>
      <c r="W63" s="16">
        <f t="shared" si="47"/>
        <v>7616.666666666667</v>
      </c>
      <c r="X63" s="30">
        <v>11</v>
      </c>
      <c r="Y63" s="30">
        <f t="shared" si="48"/>
        <v>2621.666666666667</v>
      </c>
      <c r="Z63" s="38">
        <v>2</v>
      </c>
      <c r="AA63" s="30">
        <f t="shared" si="49"/>
        <v>266.66666666666669</v>
      </c>
      <c r="AB63" s="30">
        <v>0</v>
      </c>
      <c r="AC63" s="30">
        <f t="shared" si="70"/>
        <v>0</v>
      </c>
      <c r="AD63" s="12">
        <f t="shared" si="51"/>
        <v>2888.3333333333335</v>
      </c>
      <c r="AE63" s="4">
        <f t="shared" si="52"/>
        <v>4728.3333333333339</v>
      </c>
      <c r="AF63" s="3">
        <f t="shared" si="86"/>
        <v>5384.6153846153848</v>
      </c>
      <c r="AG63" s="3">
        <f t="shared" si="90"/>
        <v>592.30769230769238</v>
      </c>
      <c r="AH63" s="1">
        <v>1666.6666666666667</v>
      </c>
      <c r="AI63" s="1">
        <f t="shared" si="91"/>
        <v>29632.307692307695</v>
      </c>
      <c r="AJ63" s="1">
        <f t="shared" si="92"/>
        <v>0</v>
      </c>
      <c r="AK63" s="3">
        <f t="shared" si="93"/>
        <v>2.3641666666666672</v>
      </c>
      <c r="AL63" s="4">
        <f t="shared" si="53"/>
        <v>4133.6614743589753</v>
      </c>
      <c r="AM63" s="3">
        <v>0</v>
      </c>
      <c r="AN63" s="4">
        <f t="shared" si="54"/>
        <v>4133.6614743589753</v>
      </c>
      <c r="AO63" s="1">
        <f t="shared" si="94"/>
        <v>1009.6153846153846</v>
      </c>
      <c r="AP63" s="41">
        <v>21</v>
      </c>
      <c r="AQ63" s="54">
        <f t="shared" si="71"/>
        <v>5737.9487179487187</v>
      </c>
    </row>
    <row r="64" spans="1:43" customFormat="1" x14ac:dyDescent="0.35">
      <c r="A64" s="25" t="s">
        <v>151</v>
      </c>
      <c r="B64" s="44" t="s">
        <v>383</v>
      </c>
      <c r="C64" s="62" t="s">
        <v>784</v>
      </c>
      <c r="D64" s="60" t="s">
        <v>259</v>
      </c>
      <c r="E64" s="64" t="s">
        <v>744</v>
      </c>
      <c r="F64" s="69">
        <v>30407072104495</v>
      </c>
      <c r="G64" s="70" t="s">
        <v>526</v>
      </c>
      <c r="H64" s="72">
        <v>4000</v>
      </c>
      <c r="I64" s="72">
        <v>3000</v>
      </c>
      <c r="J64" s="31"/>
      <c r="K64" s="74">
        <v>1.05</v>
      </c>
      <c r="L64" s="9">
        <f t="shared" si="69"/>
        <v>3150</v>
      </c>
      <c r="M64" s="9">
        <v>0</v>
      </c>
      <c r="N64" s="9">
        <f t="shared" si="55"/>
        <v>19</v>
      </c>
      <c r="O64" s="9">
        <f t="shared" si="56"/>
        <v>0</v>
      </c>
      <c r="P64" s="10">
        <f t="shared" si="57"/>
        <v>133.33333333333334</v>
      </c>
      <c r="Q64" s="10">
        <f t="shared" si="58"/>
        <v>105</v>
      </c>
      <c r="R64" s="10">
        <f t="shared" si="61"/>
        <v>238.33333333333334</v>
      </c>
      <c r="S64" s="10">
        <f t="shared" si="59"/>
        <v>16.666666666666668</v>
      </c>
      <c r="T64" s="9">
        <v>28</v>
      </c>
      <c r="U64" s="9">
        <f t="shared" si="46"/>
        <v>466.66666666666669</v>
      </c>
      <c r="V64" s="9">
        <v>0</v>
      </c>
      <c r="W64" s="16">
        <f t="shared" si="47"/>
        <v>7616.666666666667</v>
      </c>
      <c r="X64" s="30">
        <v>11</v>
      </c>
      <c r="Y64" s="30">
        <f t="shared" si="48"/>
        <v>2621.666666666667</v>
      </c>
      <c r="Z64" s="38">
        <v>0</v>
      </c>
      <c r="AA64" s="30">
        <f t="shared" si="49"/>
        <v>0</v>
      </c>
      <c r="AB64" s="30">
        <v>0</v>
      </c>
      <c r="AC64" s="30">
        <f t="shared" si="70"/>
        <v>0</v>
      </c>
      <c r="AD64" s="12">
        <f t="shared" si="51"/>
        <v>2621.666666666667</v>
      </c>
      <c r="AE64" s="4">
        <f t="shared" si="52"/>
        <v>4995</v>
      </c>
      <c r="AF64" s="3">
        <f t="shared" si="86"/>
        <v>5384.6153846153848</v>
      </c>
      <c r="AG64" s="3">
        <f t="shared" si="90"/>
        <v>592.30769230769238</v>
      </c>
      <c r="AH64" s="1">
        <v>1666.6666666666667</v>
      </c>
      <c r="AI64" s="1">
        <f t="shared" si="91"/>
        <v>32832.307692307688</v>
      </c>
      <c r="AJ64" s="1">
        <f t="shared" si="92"/>
        <v>0</v>
      </c>
      <c r="AK64" s="3">
        <f t="shared" si="93"/>
        <v>2.4975000000000001</v>
      </c>
      <c r="AL64" s="4">
        <f t="shared" si="53"/>
        <v>4400.1948076923072</v>
      </c>
      <c r="AM64" s="3">
        <v>0</v>
      </c>
      <c r="AN64" s="4">
        <f t="shared" si="54"/>
        <v>4400.1948076923072</v>
      </c>
      <c r="AO64" s="1">
        <f t="shared" si="94"/>
        <v>1009.6153846153846</v>
      </c>
      <c r="AP64" s="41">
        <v>21</v>
      </c>
      <c r="AQ64" s="54">
        <f t="shared" si="71"/>
        <v>6004.6153846153848</v>
      </c>
    </row>
    <row r="65" spans="1:43" customFormat="1" x14ac:dyDescent="0.35">
      <c r="A65" s="25" t="s">
        <v>151</v>
      </c>
      <c r="B65" s="44" t="s">
        <v>384</v>
      </c>
      <c r="C65" s="62" t="s">
        <v>653</v>
      </c>
      <c r="D65" s="60" t="s">
        <v>259</v>
      </c>
      <c r="E65" s="64" t="s">
        <v>745</v>
      </c>
      <c r="F65" s="69">
        <v>28807272102046</v>
      </c>
      <c r="G65" s="70" t="s">
        <v>526</v>
      </c>
      <c r="H65" s="72">
        <v>4000</v>
      </c>
      <c r="I65" s="72">
        <v>3000</v>
      </c>
      <c r="J65" s="31"/>
      <c r="K65" s="74">
        <v>1.05</v>
      </c>
      <c r="L65" s="9">
        <f t="shared" si="69"/>
        <v>3150</v>
      </c>
      <c r="M65" s="9">
        <v>0</v>
      </c>
      <c r="N65" s="9">
        <f t="shared" si="55"/>
        <v>19</v>
      </c>
      <c r="O65" s="9">
        <f t="shared" si="56"/>
        <v>0</v>
      </c>
      <c r="P65" s="10">
        <f t="shared" si="57"/>
        <v>133.33333333333334</v>
      </c>
      <c r="Q65" s="10">
        <f t="shared" si="58"/>
        <v>105</v>
      </c>
      <c r="R65" s="10">
        <f t="shared" si="61"/>
        <v>238.33333333333334</v>
      </c>
      <c r="S65" s="10">
        <f t="shared" si="59"/>
        <v>16.666666666666668</v>
      </c>
      <c r="T65" s="9">
        <v>28</v>
      </c>
      <c r="U65" s="9">
        <f t="shared" si="46"/>
        <v>466.66666666666669</v>
      </c>
      <c r="V65" s="9">
        <v>0</v>
      </c>
      <c r="W65" s="16">
        <f t="shared" si="47"/>
        <v>7616.666666666667</v>
      </c>
      <c r="X65" s="30">
        <v>11</v>
      </c>
      <c r="Y65" s="30">
        <f t="shared" si="48"/>
        <v>2621.666666666667</v>
      </c>
      <c r="Z65" s="38">
        <v>0</v>
      </c>
      <c r="AA65" s="30">
        <f t="shared" si="49"/>
        <v>0</v>
      </c>
      <c r="AB65" s="30">
        <v>0</v>
      </c>
      <c r="AC65" s="30">
        <f t="shared" si="70"/>
        <v>0</v>
      </c>
      <c r="AD65" s="12">
        <f t="shared" si="51"/>
        <v>2621.666666666667</v>
      </c>
      <c r="AE65" s="4">
        <f t="shared" si="52"/>
        <v>4995</v>
      </c>
      <c r="AF65" s="3">
        <f t="shared" si="86"/>
        <v>5384.6153846153848</v>
      </c>
      <c r="AG65" s="3">
        <f t="shared" si="90"/>
        <v>592.30769230769238</v>
      </c>
      <c r="AH65" s="1">
        <v>1666.6666666666667</v>
      </c>
      <c r="AI65" s="1">
        <f t="shared" si="91"/>
        <v>32832.307692307688</v>
      </c>
      <c r="AJ65" s="1">
        <f t="shared" si="92"/>
        <v>0</v>
      </c>
      <c r="AK65" s="3">
        <f t="shared" si="93"/>
        <v>2.4975000000000001</v>
      </c>
      <c r="AL65" s="4">
        <f t="shared" si="53"/>
        <v>4400.1948076923072</v>
      </c>
      <c r="AM65" s="3">
        <v>0</v>
      </c>
      <c r="AN65" s="4">
        <f t="shared" si="54"/>
        <v>4400.1948076923072</v>
      </c>
      <c r="AO65" s="1">
        <f t="shared" si="94"/>
        <v>1009.6153846153846</v>
      </c>
      <c r="AP65" s="41">
        <v>20</v>
      </c>
      <c r="AQ65" s="54">
        <f t="shared" si="71"/>
        <v>6004.6153846153848</v>
      </c>
    </row>
    <row r="66" spans="1:43" customFormat="1" x14ac:dyDescent="0.35">
      <c r="A66" s="25" t="s">
        <v>151</v>
      </c>
      <c r="B66" s="44" t="s">
        <v>385</v>
      </c>
      <c r="C66" s="62" t="s">
        <v>785</v>
      </c>
      <c r="D66" s="60" t="s">
        <v>259</v>
      </c>
      <c r="E66" s="64" t="s">
        <v>746</v>
      </c>
      <c r="F66" s="69">
        <v>30601132103125</v>
      </c>
      <c r="G66" s="70" t="s">
        <v>526</v>
      </c>
      <c r="H66" s="72">
        <v>4000</v>
      </c>
      <c r="I66" s="72">
        <v>3000</v>
      </c>
      <c r="J66" s="31"/>
      <c r="K66" s="74">
        <v>1.05</v>
      </c>
      <c r="L66" s="9">
        <f t="shared" si="69"/>
        <v>3150</v>
      </c>
      <c r="M66" s="9">
        <v>0</v>
      </c>
      <c r="N66" s="9">
        <f t="shared" si="55"/>
        <v>7</v>
      </c>
      <c r="O66" s="9">
        <f t="shared" si="56"/>
        <v>0</v>
      </c>
      <c r="P66" s="10">
        <f t="shared" si="57"/>
        <v>133.33333333333334</v>
      </c>
      <c r="Q66" s="10">
        <f t="shared" si="58"/>
        <v>105</v>
      </c>
      <c r="R66" s="10">
        <f t="shared" si="61"/>
        <v>238.33333333333334</v>
      </c>
      <c r="S66" s="10">
        <f t="shared" si="59"/>
        <v>16.666666666666668</v>
      </c>
      <c r="T66" s="9">
        <v>0</v>
      </c>
      <c r="U66" s="9">
        <f t="shared" si="46"/>
        <v>0</v>
      </c>
      <c r="V66" s="9">
        <v>0</v>
      </c>
      <c r="W66" s="16">
        <f t="shared" si="47"/>
        <v>7150</v>
      </c>
      <c r="X66" s="30">
        <v>23</v>
      </c>
      <c r="Y66" s="30">
        <f t="shared" si="48"/>
        <v>5481.666666666667</v>
      </c>
      <c r="Z66" s="38">
        <v>1</v>
      </c>
      <c r="AA66" s="30">
        <f t="shared" si="49"/>
        <v>133.33333333333334</v>
      </c>
      <c r="AB66" s="30">
        <v>0</v>
      </c>
      <c r="AC66" s="30">
        <f t="shared" si="70"/>
        <v>0</v>
      </c>
      <c r="AD66" s="12">
        <f t="shared" si="51"/>
        <v>5615</v>
      </c>
      <c r="AE66" s="4">
        <f t="shared" si="52"/>
        <v>1535</v>
      </c>
      <c r="AF66" s="3"/>
      <c r="AG66" s="3">
        <f t="shared" si="90"/>
        <v>0</v>
      </c>
      <c r="AH66" s="1">
        <v>1666.6666666666667</v>
      </c>
      <c r="AI66" s="1">
        <f t="shared" si="91"/>
        <v>-1580.0000000000009</v>
      </c>
      <c r="AJ66" s="1">
        <f t="shared" si="92"/>
        <v>0</v>
      </c>
      <c r="AK66" s="3">
        <f t="shared" si="93"/>
        <v>0.76750000000000007</v>
      </c>
      <c r="AL66" s="4">
        <f t="shared" si="53"/>
        <v>1534.2325000000001</v>
      </c>
      <c r="AM66" s="3">
        <v>0</v>
      </c>
      <c r="AN66" s="4">
        <f t="shared" si="54"/>
        <v>1534.2325000000001</v>
      </c>
      <c r="AO66" s="1">
        <f t="shared" si="94"/>
        <v>0</v>
      </c>
      <c r="AP66" s="41">
        <v>21</v>
      </c>
      <c r="AQ66" s="54">
        <f t="shared" si="71"/>
        <v>1535</v>
      </c>
    </row>
    <row r="67" spans="1:43" customFormat="1" x14ac:dyDescent="0.35">
      <c r="A67" s="25" t="s">
        <v>151</v>
      </c>
      <c r="B67" s="44" t="s">
        <v>386</v>
      </c>
      <c r="C67" s="62" t="s">
        <v>786</v>
      </c>
      <c r="D67" s="60" t="s">
        <v>259</v>
      </c>
      <c r="E67" s="64" t="s">
        <v>747</v>
      </c>
      <c r="F67" s="69">
        <v>30101012201368</v>
      </c>
      <c r="G67" s="70" t="s">
        <v>526</v>
      </c>
      <c r="H67" s="72">
        <v>4000</v>
      </c>
      <c r="I67" s="72">
        <v>3000</v>
      </c>
      <c r="J67" s="31"/>
      <c r="K67" s="74">
        <v>1.05</v>
      </c>
      <c r="L67" s="9">
        <f t="shared" si="69"/>
        <v>3150</v>
      </c>
      <c r="M67" s="9">
        <v>0</v>
      </c>
      <c r="N67" s="9">
        <f t="shared" si="55"/>
        <v>3</v>
      </c>
      <c r="O67" s="9">
        <f t="shared" si="56"/>
        <v>0</v>
      </c>
      <c r="P67" s="10">
        <f t="shared" si="57"/>
        <v>133.33333333333334</v>
      </c>
      <c r="Q67" s="10">
        <f t="shared" si="58"/>
        <v>105</v>
      </c>
      <c r="R67" s="10">
        <f t="shared" si="61"/>
        <v>238.33333333333334</v>
      </c>
      <c r="S67" s="10">
        <f t="shared" si="59"/>
        <v>16.666666666666668</v>
      </c>
      <c r="T67" s="9">
        <v>0</v>
      </c>
      <c r="U67" s="9">
        <f t="shared" si="46"/>
        <v>0</v>
      </c>
      <c r="V67" s="9">
        <v>0</v>
      </c>
      <c r="W67" s="16">
        <f t="shared" si="47"/>
        <v>7150</v>
      </c>
      <c r="X67" s="30">
        <v>27</v>
      </c>
      <c r="Y67" s="30">
        <f t="shared" si="48"/>
        <v>6435</v>
      </c>
      <c r="Z67" s="38">
        <v>0</v>
      </c>
      <c r="AA67" s="30">
        <f t="shared" si="49"/>
        <v>0</v>
      </c>
      <c r="AB67" s="30">
        <v>0</v>
      </c>
      <c r="AC67" s="30">
        <f t="shared" si="70"/>
        <v>0</v>
      </c>
      <c r="AD67" s="12">
        <f t="shared" si="51"/>
        <v>6435</v>
      </c>
      <c r="AE67" s="4">
        <f t="shared" si="52"/>
        <v>715</v>
      </c>
      <c r="AF67" s="3"/>
      <c r="AG67" s="3">
        <f t="shared" si="90"/>
        <v>0</v>
      </c>
      <c r="AH67" s="1">
        <v>1666.6666666666667</v>
      </c>
      <c r="AI67" s="1">
        <f t="shared" si="91"/>
        <v>-11420</v>
      </c>
      <c r="AJ67" s="1">
        <f t="shared" si="92"/>
        <v>0</v>
      </c>
      <c r="AK67" s="3">
        <f t="shared" si="93"/>
        <v>0.35749999999999998</v>
      </c>
      <c r="AL67" s="4">
        <f t="shared" si="53"/>
        <v>714.64250000000004</v>
      </c>
      <c r="AM67" s="3">
        <v>0</v>
      </c>
      <c r="AN67" s="4">
        <f t="shared" si="54"/>
        <v>714.64250000000004</v>
      </c>
      <c r="AO67" s="1">
        <f t="shared" si="94"/>
        <v>0</v>
      </c>
      <c r="AP67" s="41">
        <v>21</v>
      </c>
      <c r="AQ67" s="54">
        <f t="shared" si="71"/>
        <v>715</v>
      </c>
    </row>
    <row r="68" spans="1:43" customFormat="1" x14ac:dyDescent="0.35">
      <c r="A68" s="25" t="s">
        <v>151</v>
      </c>
      <c r="B68" s="44" t="s">
        <v>387</v>
      </c>
      <c r="C68" s="62" t="s">
        <v>787</v>
      </c>
      <c r="D68" s="60" t="s">
        <v>259</v>
      </c>
      <c r="E68" s="64" t="s">
        <v>748</v>
      </c>
      <c r="F68" s="69">
        <v>29707052100661</v>
      </c>
      <c r="G68" s="70" t="s">
        <v>526</v>
      </c>
      <c r="H68" s="72">
        <v>4000</v>
      </c>
      <c r="I68" s="72">
        <v>3000</v>
      </c>
      <c r="J68" s="31"/>
      <c r="K68" s="74">
        <v>1.05</v>
      </c>
      <c r="L68" s="9">
        <f t="shared" si="69"/>
        <v>3150</v>
      </c>
      <c r="M68" s="9">
        <v>0</v>
      </c>
      <c r="N68" s="9">
        <f t="shared" si="55"/>
        <v>7</v>
      </c>
      <c r="O68" s="9">
        <f t="shared" si="56"/>
        <v>0</v>
      </c>
      <c r="P68" s="10">
        <f t="shared" si="57"/>
        <v>133.33333333333334</v>
      </c>
      <c r="Q68" s="10">
        <f t="shared" si="58"/>
        <v>105</v>
      </c>
      <c r="R68" s="10">
        <f t="shared" si="61"/>
        <v>238.33333333333334</v>
      </c>
      <c r="S68" s="10">
        <f t="shared" si="59"/>
        <v>16.666666666666668</v>
      </c>
      <c r="T68" s="9">
        <v>0</v>
      </c>
      <c r="U68" s="9">
        <f t="shared" si="46"/>
        <v>0</v>
      </c>
      <c r="V68" s="9">
        <v>0</v>
      </c>
      <c r="W68" s="16">
        <f t="shared" si="47"/>
        <v>7150</v>
      </c>
      <c r="X68" s="30">
        <v>23</v>
      </c>
      <c r="Y68" s="30">
        <f t="shared" si="48"/>
        <v>5481.666666666667</v>
      </c>
      <c r="Z68" s="38">
        <v>0</v>
      </c>
      <c r="AA68" s="30">
        <f t="shared" si="49"/>
        <v>0</v>
      </c>
      <c r="AB68" s="30">
        <v>0</v>
      </c>
      <c r="AC68" s="30">
        <f t="shared" si="70"/>
        <v>0</v>
      </c>
      <c r="AD68" s="12">
        <f t="shared" si="51"/>
        <v>5481.666666666667</v>
      </c>
      <c r="AE68" s="4">
        <f t="shared" si="52"/>
        <v>1668.333333333333</v>
      </c>
      <c r="AF68" s="3"/>
      <c r="AG68" s="3">
        <f t="shared" si="90"/>
        <v>0</v>
      </c>
      <c r="AH68" s="1">
        <v>1666.6666666666667</v>
      </c>
      <c r="AI68" s="1">
        <f t="shared" si="91"/>
        <v>19.999999999995453</v>
      </c>
      <c r="AJ68" s="1">
        <f t="shared" si="92"/>
        <v>0</v>
      </c>
      <c r="AK68" s="3">
        <f t="shared" si="93"/>
        <v>0.8341666666666665</v>
      </c>
      <c r="AL68" s="4">
        <f t="shared" si="53"/>
        <v>1667.4991666666663</v>
      </c>
      <c r="AM68" s="3">
        <v>0</v>
      </c>
      <c r="AN68" s="4">
        <f t="shared" si="54"/>
        <v>1667.4991666666663</v>
      </c>
      <c r="AO68" s="1">
        <f t="shared" si="94"/>
        <v>0</v>
      </c>
      <c r="AP68" s="41">
        <v>21</v>
      </c>
      <c r="AQ68" s="54">
        <f t="shared" si="71"/>
        <v>1668.333333333333</v>
      </c>
    </row>
    <row r="69" spans="1:43" customFormat="1" x14ac:dyDescent="0.35">
      <c r="A69" s="25" t="s">
        <v>151</v>
      </c>
      <c r="B69" s="44" t="s">
        <v>388</v>
      </c>
      <c r="C69" s="62" t="s">
        <v>788</v>
      </c>
      <c r="D69" s="60" t="s">
        <v>259</v>
      </c>
      <c r="E69" s="64" t="s">
        <v>749</v>
      </c>
      <c r="F69" s="69">
        <v>29609121701026</v>
      </c>
      <c r="G69" s="70" t="s">
        <v>526</v>
      </c>
      <c r="H69" s="72">
        <v>4000</v>
      </c>
      <c r="I69" s="72">
        <v>3000</v>
      </c>
      <c r="J69" s="31"/>
      <c r="K69" s="74">
        <v>1.05</v>
      </c>
      <c r="L69" s="9">
        <f t="shared" si="69"/>
        <v>3150</v>
      </c>
      <c r="M69" s="9">
        <v>0</v>
      </c>
      <c r="N69" s="9">
        <f t="shared" si="55"/>
        <v>7</v>
      </c>
      <c r="O69" s="9">
        <f t="shared" si="56"/>
        <v>0</v>
      </c>
      <c r="P69" s="10">
        <f t="shared" si="57"/>
        <v>133.33333333333334</v>
      </c>
      <c r="Q69" s="10">
        <f t="shared" si="58"/>
        <v>105</v>
      </c>
      <c r="R69" s="10">
        <f t="shared" si="61"/>
        <v>238.33333333333334</v>
      </c>
      <c r="S69" s="10">
        <f t="shared" si="59"/>
        <v>16.666666666666668</v>
      </c>
      <c r="T69" s="9">
        <v>0</v>
      </c>
      <c r="U69" s="9">
        <f t="shared" si="46"/>
        <v>0</v>
      </c>
      <c r="V69" s="9">
        <v>0</v>
      </c>
      <c r="W69" s="16">
        <f t="shared" si="47"/>
        <v>7150</v>
      </c>
      <c r="X69" s="30">
        <v>23</v>
      </c>
      <c r="Y69" s="30">
        <f t="shared" si="48"/>
        <v>5481.666666666667</v>
      </c>
      <c r="Z69" s="38">
        <v>0</v>
      </c>
      <c r="AA69" s="30">
        <f t="shared" si="49"/>
        <v>0</v>
      </c>
      <c r="AB69" s="30">
        <v>0</v>
      </c>
      <c r="AC69" s="30">
        <f t="shared" si="70"/>
        <v>0</v>
      </c>
      <c r="AD69" s="12">
        <f t="shared" si="51"/>
        <v>5481.666666666667</v>
      </c>
      <c r="AE69" s="4">
        <f t="shared" si="52"/>
        <v>1668.333333333333</v>
      </c>
      <c r="AF69" s="3"/>
      <c r="AG69" s="3">
        <f t="shared" si="90"/>
        <v>0</v>
      </c>
      <c r="AH69" s="1">
        <v>1666.6666666666667</v>
      </c>
      <c r="AI69" s="1">
        <f t="shared" si="91"/>
        <v>19.999999999995453</v>
      </c>
      <c r="AJ69" s="1">
        <f t="shared" si="92"/>
        <v>0</v>
      </c>
      <c r="AK69" s="3">
        <f t="shared" si="93"/>
        <v>0.8341666666666665</v>
      </c>
      <c r="AL69" s="4">
        <f t="shared" si="53"/>
        <v>1667.4991666666663</v>
      </c>
      <c r="AM69" s="3">
        <v>0</v>
      </c>
      <c r="AN69" s="4">
        <f t="shared" si="54"/>
        <v>1667.4991666666663</v>
      </c>
      <c r="AO69" s="1">
        <f t="shared" si="94"/>
        <v>0</v>
      </c>
      <c r="AP69" s="41">
        <v>21</v>
      </c>
      <c r="AQ69" s="54">
        <f t="shared" si="71"/>
        <v>1668.333333333333</v>
      </c>
    </row>
    <row r="70" spans="1:43" customFormat="1" x14ac:dyDescent="0.35">
      <c r="A70" s="25" t="s">
        <v>151</v>
      </c>
      <c r="B70" s="44" t="s">
        <v>453</v>
      </c>
      <c r="C70" s="62" t="s">
        <v>789</v>
      </c>
      <c r="D70" s="60" t="s">
        <v>259</v>
      </c>
      <c r="E70" s="64" t="s">
        <v>750</v>
      </c>
      <c r="F70" s="69">
        <v>30405072101477</v>
      </c>
      <c r="G70" s="70" t="s">
        <v>526</v>
      </c>
      <c r="H70" s="72">
        <v>4000</v>
      </c>
      <c r="I70" s="72">
        <v>3000</v>
      </c>
      <c r="J70" s="31"/>
      <c r="K70" s="74">
        <v>1.05</v>
      </c>
      <c r="L70" s="9">
        <f t="shared" si="69"/>
        <v>3150</v>
      </c>
      <c r="M70" s="9">
        <v>0</v>
      </c>
      <c r="N70" s="9">
        <f t="shared" si="55"/>
        <v>5</v>
      </c>
      <c r="O70" s="9">
        <f t="shared" si="56"/>
        <v>0</v>
      </c>
      <c r="P70" s="10">
        <f t="shared" si="57"/>
        <v>133.33333333333334</v>
      </c>
      <c r="Q70" s="10">
        <f t="shared" si="58"/>
        <v>105</v>
      </c>
      <c r="R70" s="10">
        <f t="shared" si="61"/>
        <v>238.33333333333334</v>
      </c>
      <c r="S70" s="10">
        <f t="shared" si="59"/>
        <v>16.666666666666668</v>
      </c>
      <c r="T70" s="9">
        <v>0</v>
      </c>
      <c r="U70" s="9">
        <f t="shared" si="46"/>
        <v>0</v>
      </c>
      <c r="V70" s="9">
        <v>0</v>
      </c>
      <c r="W70" s="16">
        <f t="shared" si="47"/>
        <v>7150</v>
      </c>
      <c r="X70" s="30">
        <v>25</v>
      </c>
      <c r="Y70" s="30">
        <f t="shared" si="48"/>
        <v>5958.3333333333339</v>
      </c>
      <c r="Z70" s="38">
        <v>0</v>
      </c>
      <c r="AA70" s="30">
        <f t="shared" si="49"/>
        <v>0</v>
      </c>
      <c r="AB70" s="30">
        <v>0</v>
      </c>
      <c r="AC70" s="30">
        <f t="shared" si="70"/>
        <v>0</v>
      </c>
      <c r="AD70" s="12">
        <f t="shared" si="51"/>
        <v>5958.3333333333339</v>
      </c>
      <c r="AE70" s="4">
        <f t="shared" si="52"/>
        <v>1191.6666666666661</v>
      </c>
      <c r="AF70" s="3"/>
      <c r="AG70" s="3">
        <f t="shared" si="90"/>
        <v>0</v>
      </c>
      <c r="AH70" s="1">
        <v>1666.6666666666667</v>
      </c>
      <c r="AI70" s="1">
        <f t="shared" si="91"/>
        <v>-5700.0000000000082</v>
      </c>
      <c r="AJ70" s="1">
        <f t="shared" si="92"/>
        <v>0</v>
      </c>
      <c r="AK70" s="3">
        <f t="shared" si="93"/>
        <v>0.59583333333333299</v>
      </c>
      <c r="AL70" s="4">
        <f t="shared" si="53"/>
        <v>1191.0708333333328</v>
      </c>
      <c r="AM70" s="3">
        <v>0</v>
      </c>
      <c r="AN70" s="4">
        <f t="shared" si="54"/>
        <v>1191.0708333333328</v>
      </c>
      <c r="AO70" s="1">
        <f t="shared" si="94"/>
        <v>0</v>
      </c>
      <c r="AP70" s="41">
        <v>21</v>
      </c>
      <c r="AQ70" s="54">
        <f t="shared" si="71"/>
        <v>1191.6666666666661</v>
      </c>
    </row>
    <row r="71" spans="1:43" customFormat="1" x14ac:dyDescent="0.35">
      <c r="A71" s="25" t="s">
        <v>151</v>
      </c>
      <c r="B71" s="44" t="s">
        <v>454</v>
      </c>
      <c r="C71" s="62" t="s">
        <v>790</v>
      </c>
      <c r="D71" s="60" t="s">
        <v>259</v>
      </c>
      <c r="E71" s="64" t="s">
        <v>751</v>
      </c>
      <c r="F71" s="69">
        <v>30309070102116</v>
      </c>
      <c r="G71" s="70" t="s">
        <v>526</v>
      </c>
      <c r="H71" s="72">
        <v>4000</v>
      </c>
      <c r="I71" s="72">
        <v>3000</v>
      </c>
      <c r="J71" s="31"/>
      <c r="K71" s="74">
        <v>1.05</v>
      </c>
      <c r="L71" s="9">
        <f t="shared" si="69"/>
        <v>3150</v>
      </c>
      <c r="M71" s="9">
        <v>0</v>
      </c>
      <c r="N71" s="9">
        <f t="shared" si="55"/>
        <v>5</v>
      </c>
      <c r="O71" s="9">
        <f t="shared" si="56"/>
        <v>0</v>
      </c>
      <c r="P71" s="10">
        <f t="shared" si="57"/>
        <v>133.33333333333334</v>
      </c>
      <c r="Q71" s="10">
        <f t="shared" si="58"/>
        <v>105</v>
      </c>
      <c r="R71" s="10">
        <f t="shared" si="61"/>
        <v>238.33333333333334</v>
      </c>
      <c r="S71" s="10">
        <f t="shared" si="59"/>
        <v>16.666666666666668</v>
      </c>
      <c r="T71" s="9">
        <v>0</v>
      </c>
      <c r="U71" s="9">
        <f t="shared" si="46"/>
        <v>0</v>
      </c>
      <c r="V71" s="9">
        <v>0</v>
      </c>
      <c r="W71" s="16">
        <f t="shared" si="47"/>
        <v>7150</v>
      </c>
      <c r="X71" s="30">
        <v>25</v>
      </c>
      <c r="Y71" s="30">
        <f t="shared" si="48"/>
        <v>5958.3333333333339</v>
      </c>
      <c r="Z71" s="38">
        <v>0</v>
      </c>
      <c r="AA71" s="30">
        <f t="shared" si="49"/>
        <v>0</v>
      </c>
      <c r="AB71" s="30">
        <v>0</v>
      </c>
      <c r="AC71" s="30">
        <f t="shared" si="70"/>
        <v>0</v>
      </c>
      <c r="AD71" s="12">
        <f t="shared" si="51"/>
        <v>5958.3333333333339</v>
      </c>
      <c r="AE71" s="4">
        <f t="shared" si="52"/>
        <v>1191.6666666666661</v>
      </c>
      <c r="AF71" s="3"/>
      <c r="AG71" s="3">
        <f t="shared" si="90"/>
        <v>0</v>
      </c>
      <c r="AH71" s="1">
        <v>1666.6666666666667</v>
      </c>
      <c r="AI71" s="1">
        <f t="shared" si="91"/>
        <v>-5700.0000000000082</v>
      </c>
      <c r="AJ71" s="1">
        <f t="shared" si="92"/>
        <v>0</v>
      </c>
      <c r="AK71" s="3">
        <f t="shared" si="93"/>
        <v>0.59583333333333299</v>
      </c>
      <c r="AL71" s="4">
        <f t="shared" si="53"/>
        <v>1191.0708333333328</v>
      </c>
      <c r="AM71" s="3">
        <v>0</v>
      </c>
      <c r="AN71" s="4">
        <f t="shared" si="54"/>
        <v>1191.0708333333328</v>
      </c>
      <c r="AO71" s="1">
        <f t="shared" si="94"/>
        <v>0</v>
      </c>
      <c r="AP71" s="41">
        <v>21</v>
      </c>
      <c r="AQ71" s="54">
        <f t="shared" si="71"/>
        <v>1191.6666666666661</v>
      </c>
    </row>
    <row r="72" spans="1:43" customFormat="1" x14ac:dyDescent="0.35">
      <c r="A72" s="25" t="s">
        <v>151</v>
      </c>
      <c r="B72" s="44" t="s">
        <v>455</v>
      </c>
      <c r="C72" s="62" t="s">
        <v>791</v>
      </c>
      <c r="D72" s="60" t="s">
        <v>259</v>
      </c>
      <c r="E72" s="64" t="s">
        <v>752</v>
      </c>
      <c r="F72" s="69">
        <v>30409252103554</v>
      </c>
      <c r="G72" s="70" t="s">
        <v>526</v>
      </c>
      <c r="H72" s="72">
        <v>4000</v>
      </c>
      <c r="I72" s="72">
        <v>3000</v>
      </c>
      <c r="J72" s="31"/>
      <c r="K72" s="74">
        <v>1.05</v>
      </c>
      <c r="L72" s="9">
        <f t="shared" si="69"/>
        <v>3150</v>
      </c>
      <c r="M72" s="9">
        <v>0</v>
      </c>
      <c r="N72" s="9">
        <f t="shared" si="55"/>
        <v>5</v>
      </c>
      <c r="O72" s="9">
        <f t="shared" si="56"/>
        <v>0</v>
      </c>
      <c r="P72" s="10">
        <f t="shared" si="57"/>
        <v>133.33333333333334</v>
      </c>
      <c r="Q72" s="10">
        <f t="shared" si="58"/>
        <v>105</v>
      </c>
      <c r="R72" s="10">
        <f t="shared" si="61"/>
        <v>238.33333333333334</v>
      </c>
      <c r="S72" s="10">
        <f t="shared" si="59"/>
        <v>16.666666666666668</v>
      </c>
      <c r="T72" s="9">
        <v>0</v>
      </c>
      <c r="U72" s="9">
        <f t="shared" si="46"/>
        <v>0</v>
      </c>
      <c r="V72" s="9">
        <v>0</v>
      </c>
      <c r="W72" s="16">
        <f t="shared" si="47"/>
        <v>7150</v>
      </c>
      <c r="X72" s="30">
        <v>25</v>
      </c>
      <c r="Y72" s="30">
        <f t="shared" si="48"/>
        <v>5958.3333333333339</v>
      </c>
      <c r="Z72" s="38">
        <v>0</v>
      </c>
      <c r="AA72" s="30">
        <f t="shared" si="49"/>
        <v>0</v>
      </c>
      <c r="AB72" s="30">
        <v>0</v>
      </c>
      <c r="AC72" s="30">
        <f t="shared" si="70"/>
        <v>0</v>
      </c>
      <c r="AD72" s="12">
        <f t="shared" si="51"/>
        <v>5958.3333333333339</v>
      </c>
      <c r="AE72" s="4">
        <f t="shared" si="52"/>
        <v>1191.6666666666661</v>
      </c>
      <c r="AF72" s="3"/>
      <c r="AG72" s="3">
        <f t="shared" si="90"/>
        <v>0</v>
      </c>
      <c r="AH72" s="1">
        <v>1666.6666666666667</v>
      </c>
      <c r="AI72" s="1">
        <f t="shared" si="91"/>
        <v>-5700.0000000000082</v>
      </c>
      <c r="AJ72" s="1">
        <f t="shared" si="92"/>
        <v>0</v>
      </c>
      <c r="AK72" s="3">
        <f t="shared" si="93"/>
        <v>0.59583333333333299</v>
      </c>
      <c r="AL72" s="4">
        <f t="shared" si="53"/>
        <v>1191.0708333333328</v>
      </c>
      <c r="AM72" s="3">
        <v>0</v>
      </c>
      <c r="AN72" s="4">
        <f t="shared" si="54"/>
        <v>1191.0708333333328</v>
      </c>
      <c r="AO72" s="1">
        <f t="shared" si="94"/>
        <v>0</v>
      </c>
      <c r="AP72" s="41">
        <v>21</v>
      </c>
      <c r="AQ72" s="54">
        <f t="shared" si="71"/>
        <v>1191.6666666666661</v>
      </c>
    </row>
    <row r="73" spans="1:43" customFormat="1" x14ac:dyDescent="0.35">
      <c r="A73" s="25" t="s">
        <v>151</v>
      </c>
      <c r="B73" s="44" t="s">
        <v>492</v>
      </c>
      <c r="C73" s="62" t="s">
        <v>793</v>
      </c>
      <c r="D73" s="60" t="s">
        <v>259</v>
      </c>
      <c r="E73" s="64" t="s">
        <v>754</v>
      </c>
      <c r="F73" s="69">
        <v>30704292100177</v>
      </c>
      <c r="G73" s="70" t="s">
        <v>526</v>
      </c>
      <c r="H73" s="72">
        <v>4000</v>
      </c>
      <c r="I73" s="72">
        <v>3000</v>
      </c>
      <c r="J73" s="31"/>
      <c r="K73" s="74">
        <v>1.05</v>
      </c>
      <c r="L73" s="9">
        <f t="shared" si="69"/>
        <v>3150</v>
      </c>
      <c r="M73" s="9">
        <v>0</v>
      </c>
      <c r="N73" s="9">
        <f t="shared" si="55"/>
        <v>5</v>
      </c>
      <c r="O73" s="9">
        <f t="shared" si="56"/>
        <v>0</v>
      </c>
      <c r="P73" s="10">
        <f t="shared" si="57"/>
        <v>133.33333333333334</v>
      </c>
      <c r="Q73" s="10">
        <f t="shared" si="58"/>
        <v>105</v>
      </c>
      <c r="R73" s="10">
        <f t="shared" si="61"/>
        <v>238.33333333333334</v>
      </c>
      <c r="S73" s="10">
        <f t="shared" si="59"/>
        <v>16.666666666666668</v>
      </c>
      <c r="T73" s="9">
        <v>0</v>
      </c>
      <c r="U73" s="9">
        <f t="shared" si="46"/>
        <v>0</v>
      </c>
      <c r="V73" s="9">
        <v>0</v>
      </c>
      <c r="W73" s="16">
        <f t="shared" si="47"/>
        <v>7150</v>
      </c>
      <c r="X73" s="30">
        <v>25</v>
      </c>
      <c r="Y73" s="30">
        <f t="shared" si="48"/>
        <v>5958.3333333333339</v>
      </c>
      <c r="Z73" s="38">
        <v>0</v>
      </c>
      <c r="AA73" s="30">
        <f t="shared" si="49"/>
        <v>0</v>
      </c>
      <c r="AB73" s="30">
        <v>0</v>
      </c>
      <c r="AC73" s="30">
        <f t="shared" si="70"/>
        <v>0</v>
      </c>
      <c r="AD73" s="12">
        <f t="shared" si="51"/>
        <v>5958.3333333333339</v>
      </c>
      <c r="AE73" s="4">
        <f t="shared" si="52"/>
        <v>1191.6666666666661</v>
      </c>
      <c r="AF73" s="3"/>
      <c r="AG73" s="3">
        <f t="shared" si="90"/>
        <v>0</v>
      </c>
      <c r="AH73" s="1">
        <v>1666.6666666666667</v>
      </c>
      <c r="AI73" s="1">
        <f t="shared" si="91"/>
        <v>-5700.0000000000082</v>
      </c>
      <c r="AJ73" s="1">
        <f t="shared" si="92"/>
        <v>0</v>
      </c>
      <c r="AK73" s="3">
        <f t="shared" si="93"/>
        <v>0.59583333333333299</v>
      </c>
      <c r="AL73" s="4">
        <f t="shared" si="53"/>
        <v>1191.0708333333328</v>
      </c>
      <c r="AM73" s="3">
        <v>0</v>
      </c>
      <c r="AN73" s="4">
        <f t="shared" si="54"/>
        <v>1191.0708333333328</v>
      </c>
      <c r="AO73" s="1">
        <f t="shared" si="94"/>
        <v>0</v>
      </c>
      <c r="AP73" s="41">
        <v>21</v>
      </c>
      <c r="AQ73" s="54">
        <f t="shared" si="71"/>
        <v>1191.6666666666661</v>
      </c>
    </row>
    <row r="74" spans="1:43" customFormat="1" x14ac:dyDescent="0.35">
      <c r="A74" s="25" t="s">
        <v>151</v>
      </c>
      <c r="B74" s="44" t="s">
        <v>493</v>
      </c>
      <c r="C74" s="87"/>
      <c r="D74" s="60" t="s">
        <v>259</v>
      </c>
      <c r="E74" s="86" t="s">
        <v>755</v>
      </c>
      <c r="F74" s="69">
        <v>30203212105972</v>
      </c>
      <c r="G74" s="70" t="s">
        <v>526</v>
      </c>
      <c r="H74" s="72">
        <v>4000</v>
      </c>
      <c r="I74" s="72">
        <v>3000</v>
      </c>
      <c r="J74" s="31"/>
      <c r="K74" s="74">
        <v>1.05</v>
      </c>
      <c r="L74" s="9">
        <f t="shared" si="69"/>
        <v>3150</v>
      </c>
      <c r="M74" s="9">
        <v>0</v>
      </c>
      <c r="N74" s="9">
        <f t="shared" si="55"/>
        <v>3</v>
      </c>
      <c r="O74" s="9">
        <f t="shared" si="56"/>
        <v>0</v>
      </c>
      <c r="P74" s="10">
        <f t="shared" si="57"/>
        <v>133.33333333333334</v>
      </c>
      <c r="Q74" s="10">
        <f t="shared" si="58"/>
        <v>105</v>
      </c>
      <c r="R74" s="10">
        <f t="shared" si="61"/>
        <v>238.33333333333334</v>
      </c>
      <c r="S74" s="10">
        <f t="shared" si="59"/>
        <v>16.666666666666668</v>
      </c>
      <c r="T74" s="9">
        <v>0</v>
      </c>
      <c r="U74" s="9">
        <f t="shared" si="46"/>
        <v>0</v>
      </c>
      <c r="V74" s="9">
        <v>0</v>
      </c>
      <c r="W74" s="16">
        <f t="shared" si="47"/>
        <v>7150</v>
      </c>
      <c r="X74" s="30">
        <v>27</v>
      </c>
      <c r="Y74" s="30">
        <f t="shared" si="48"/>
        <v>6435</v>
      </c>
      <c r="Z74" s="38">
        <v>0</v>
      </c>
      <c r="AA74" s="30">
        <f t="shared" si="49"/>
        <v>0</v>
      </c>
      <c r="AB74" s="30">
        <v>0</v>
      </c>
      <c r="AC74" s="30">
        <f t="shared" si="70"/>
        <v>0</v>
      </c>
      <c r="AD74" s="12">
        <f t="shared" si="51"/>
        <v>6435</v>
      </c>
      <c r="AE74" s="4">
        <f t="shared" si="52"/>
        <v>715</v>
      </c>
      <c r="AF74" s="3"/>
      <c r="AG74" s="3">
        <f t="shared" si="90"/>
        <v>0</v>
      </c>
      <c r="AH74" s="1">
        <v>1666.6666666666667</v>
      </c>
      <c r="AI74" s="1">
        <f t="shared" si="91"/>
        <v>-11420</v>
      </c>
      <c r="AJ74" s="1">
        <f t="shared" si="92"/>
        <v>0</v>
      </c>
      <c r="AK74" s="3">
        <f t="shared" si="93"/>
        <v>0.35749999999999998</v>
      </c>
      <c r="AL74" s="4">
        <f t="shared" si="53"/>
        <v>714.64250000000004</v>
      </c>
      <c r="AM74" s="3">
        <v>0</v>
      </c>
      <c r="AN74" s="4">
        <f t="shared" si="54"/>
        <v>714.64250000000004</v>
      </c>
      <c r="AO74" s="1">
        <f t="shared" si="94"/>
        <v>0</v>
      </c>
      <c r="AP74" s="41">
        <v>21</v>
      </c>
      <c r="AQ74" s="54">
        <f t="shared" si="71"/>
        <v>715</v>
      </c>
    </row>
    <row r="75" spans="1:43" customFormat="1" x14ac:dyDescent="0.35">
      <c r="A75" s="25" t="s">
        <v>151</v>
      </c>
      <c r="B75" s="44" t="s">
        <v>494</v>
      </c>
      <c r="C75" s="87"/>
      <c r="D75" s="60" t="s">
        <v>259</v>
      </c>
      <c r="E75" s="86" t="s">
        <v>756</v>
      </c>
      <c r="F75" s="69">
        <v>30308120107193</v>
      </c>
      <c r="G75" s="70" t="s">
        <v>526</v>
      </c>
      <c r="H75" s="72">
        <v>4000</v>
      </c>
      <c r="I75" s="72">
        <v>3000</v>
      </c>
      <c r="J75" s="31"/>
      <c r="K75" s="74">
        <v>1.05</v>
      </c>
      <c r="L75" s="9">
        <f t="shared" si="69"/>
        <v>3150</v>
      </c>
      <c r="M75" s="9">
        <v>0</v>
      </c>
      <c r="N75" s="9">
        <f t="shared" si="55"/>
        <v>3</v>
      </c>
      <c r="O75" s="9">
        <f t="shared" si="56"/>
        <v>0</v>
      </c>
      <c r="P75" s="10">
        <f t="shared" si="57"/>
        <v>133.33333333333334</v>
      </c>
      <c r="Q75" s="10">
        <f t="shared" si="58"/>
        <v>105</v>
      </c>
      <c r="R75" s="10">
        <f t="shared" si="61"/>
        <v>238.33333333333334</v>
      </c>
      <c r="S75" s="10">
        <f t="shared" si="59"/>
        <v>16.666666666666668</v>
      </c>
      <c r="T75" s="9">
        <v>0</v>
      </c>
      <c r="U75" s="9">
        <f t="shared" si="46"/>
        <v>0</v>
      </c>
      <c r="V75" s="9">
        <v>0</v>
      </c>
      <c r="W75" s="16">
        <f t="shared" si="47"/>
        <v>7150</v>
      </c>
      <c r="X75" s="30">
        <v>27</v>
      </c>
      <c r="Y75" s="30">
        <f t="shared" si="48"/>
        <v>6435</v>
      </c>
      <c r="Z75" s="38">
        <v>0</v>
      </c>
      <c r="AA75" s="30">
        <f t="shared" si="49"/>
        <v>0</v>
      </c>
      <c r="AB75" s="30">
        <v>0</v>
      </c>
      <c r="AC75" s="30">
        <f t="shared" si="70"/>
        <v>0</v>
      </c>
      <c r="AD75" s="12">
        <f t="shared" si="51"/>
        <v>6435</v>
      </c>
      <c r="AE75" s="4">
        <f t="shared" si="52"/>
        <v>715</v>
      </c>
      <c r="AF75" s="3"/>
      <c r="AG75" s="3">
        <f t="shared" si="90"/>
        <v>0</v>
      </c>
      <c r="AH75" s="1">
        <v>1666.6666666666667</v>
      </c>
      <c r="AI75" s="1">
        <f t="shared" si="91"/>
        <v>-11420</v>
      </c>
      <c r="AJ75" s="1">
        <f t="shared" si="92"/>
        <v>0</v>
      </c>
      <c r="AK75" s="3">
        <f t="shared" si="93"/>
        <v>0.35749999999999998</v>
      </c>
      <c r="AL75" s="4">
        <f t="shared" si="53"/>
        <v>714.64250000000004</v>
      </c>
      <c r="AM75" s="3">
        <v>0</v>
      </c>
      <c r="AN75" s="4">
        <f t="shared" si="54"/>
        <v>714.64250000000004</v>
      </c>
      <c r="AO75" s="1">
        <f t="shared" si="94"/>
        <v>0</v>
      </c>
      <c r="AP75" s="41">
        <v>21</v>
      </c>
      <c r="AQ75" s="54">
        <f t="shared" si="71"/>
        <v>715</v>
      </c>
    </row>
    <row r="76" spans="1:43" customFormat="1" x14ac:dyDescent="0.35">
      <c r="A76" s="25" t="s">
        <v>151</v>
      </c>
      <c r="B76" s="44" t="s">
        <v>808</v>
      </c>
      <c r="C76" s="62" t="s">
        <v>795</v>
      </c>
      <c r="D76" s="60" t="s">
        <v>259</v>
      </c>
      <c r="E76" s="64" t="s">
        <v>758</v>
      </c>
      <c r="F76" s="69">
        <v>30701180104154</v>
      </c>
      <c r="G76" s="70" t="s">
        <v>526</v>
      </c>
      <c r="H76" s="72">
        <v>4000</v>
      </c>
      <c r="I76" s="72">
        <v>3000</v>
      </c>
      <c r="J76" s="31"/>
      <c r="K76" s="74">
        <v>1.05</v>
      </c>
      <c r="L76" s="9">
        <f t="shared" si="69"/>
        <v>3150</v>
      </c>
      <c r="M76" s="9">
        <v>0</v>
      </c>
      <c r="N76" s="9">
        <f t="shared" si="55"/>
        <v>5</v>
      </c>
      <c r="O76" s="9">
        <f t="shared" si="56"/>
        <v>0</v>
      </c>
      <c r="P76" s="10">
        <f t="shared" si="57"/>
        <v>133.33333333333334</v>
      </c>
      <c r="Q76" s="10">
        <f t="shared" si="58"/>
        <v>105</v>
      </c>
      <c r="R76" s="10">
        <f t="shared" si="61"/>
        <v>238.33333333333334</v>
      </c>
      <c r="S76" s="10">
        <f t="shared" si="59"/>
        <v>16.666666666666668</v>
      </c>
      <c r="T76" s="9">
        <v>0</v>
      </c>
      <c r="U76" s="9">
        <f t="shared" si="46"/>
        <v>0</v>
      </c>
      <c r="V76" s="9">
        <v>0</v>
      </c>
      <c r="W76" s="16">
        <f t="shared" si="47"/>
        <v>7150</v>
      </c>
      <c r="X76" s="30">
        <v>25</v>
      </c>
      <c r="Y76" s="30">
        <f t="shared" si="48"/>
        <v>5958.3333333333339</v>
      </c>
      <c r="Z76" s="38">
        <v>0</v>
      </c>
      <c r="AA76" s="30">
        <f t="shared" si="49"/>
        <v>0</v>
      </c>
      <c r="AB76" s="30">
        <v>0</v>
      </c>
      <c r="AC76" s="30">
        <f t="shared" si="70"/>
        <v>0</v>
      </c>
      <c r="AD76" s="12">
        <f t="shared" si="51"/>
        <v>5958.3333333333339</v>
      </c>
      <c r="AE76" s="4">
        <f t="shared" si="52"/>
        <v>1191.6666666666661</v>
      </c>
      <c r="AF76" s="3"/>
      <c r="AG76" s="3">
        <f t="shared" si="90"/>
        <v>0</v>
      </c>
      <c r="AH76" s="1">
        <v>1666.6666666666667</v>
      </c>
      <c r="AI76" s="1">
        <f t="shared" si="91"/>
        <v>-5700.0000000000082</v>
      </c>
      <c r="AJ76" s="1">
        <f t="shared" si="92"/>
        <v>0</v>
      </c>
      <c r="AK76" s="3">
        <f t="shared" si="93"/>
        <v>0.59583333333333299</v>
      </c>
      <c r="AL76" s="4">
        <f t="shared" si="53"/>
        <v>1191.0708333333328</v>
      </c>
      <c r="AM76" s="3">
        <v>0</v>
      </c>
      <c r="AN76" s="4">
        <f t="shared" si="54"/>
        <v>1191.0708333333328</v>
      </c>
      <c r="AO76" s="1">
        <f t="shared" si="94"/>
        <v>0</v>
      </c>
      <c r="AP76" s="41">
        <v>21</v>
      </c>
      <c r="AQ76" s="54">
        <f t="shared" si="71"/>
        <v>1191.6666666666661</v>
      </c>
    </row>
    <row r="77" spans="1:43" customFormat="1" x14ac:dyDescent="0.35">
      <c r="A77" s="25" t="s">
        <v>151</v>
      </c>
      <c r="B77" s="44" t="s">
        <v>809</v>
      </c>
      <c r="C77" s="62" t="s">
        <v>796</v>
      </c>
      <c r="D77" s="60" t="s">
        <v>259</v>
      </c>
      <c r="E77" s="64" t="s">
        <v>759</v>
      </c>
      <c r="F77" s="69">
        <v>30412050103499</v>
      </c>
      <c r="G77" s="70" t="s">
        <v>526</v>
      </c>
      <c r="H77" s="72">
        <v>4000</v>
      </c>
      <c r="I77" s="72">
        <v>3000</v>
      </c>
      <c r="J77" s="31"/>
      <c r="K77" s="74">
        <v>1.05</v>
      </c>
      <c r="L77" s="9">
        <f t="shared" si="69"/>
        <v>3150</v>
      </c>
      <c r="M77" s="9">
        <v>0</v>
      </c>
      <c r="N77" s="9">
        <f t="shared" si="55"/>
        <v>5</v>
      </c>
      <c r="O77" s="9">
        <f t="shared" si="56"/>
        <v>0</v>
      </c>
      <c r="P77" s="10">
        <f t="shared" si="57"/>
        <v>133.33333333333334</v>
      </c>
      <c r="Q77" s="10">
        <f t="shared" si="58"/>
        <v>105</v>
      </c>
      <c r="R77" s="10">
        <f t="shared" si="61"/>
        <v>238.33333333333334</v>
      </c>
      <c r="S77" s="10">
        <f t="shared" si="59"/>
        <v>16.666666666666668</v>
      </c>
      <c r="T77" s="9">
        <v>0</v>
      </c>
      <c r="U77" s="9">
        <f t="shared" si="46"/>
        <v>0</v>
      </c>
      <c r="V77" s="9">
        <v>0</v>
      </c>
      <c r="W77" s="16">
        <f t="shared" si="47"/>
        <v>7150</v>
      </c>
      <c r="X77" s="30">
        <v>25</v>
      </c>
      <c r="Y77" s="30">
        <f t="shared" si="48"/>
        <v>5958.3333333333339</v>
      </c>
      <c r="Z77" s="38">
        <v>0</v>
      </c>
      <c r="AA77" s="30">
        <f t="shared" si="49"/>
        <v>0</v>
      </c>
      <c r="AB77" s="30">
        <v>0</v>
      </c>
      <c r="AC77" s="30">
        <f t="shared" si="70"/>
        <v>0</v>
      </c>
      <c r="AD77" s="12">
        <f t="shared" si="51"/>
        <v>5958.3333333333339</v>
      </c>
      <c r="AE77" s="4">
        <f t="shared" si="52"/>
        <v>1191.6666666666661</v>
      </c>
      <c r="AF77" s="3"/>
      <c r="AG77" s="3">
        <f t="shared" si="90"/>
        <v>0</v>
      </c>
      <c r="AH77" s="1">
        <v>1666.6666666666667</v>
      </c>
      <c r="AI77" s="1">
        <f t="shared" si="91"/>
        <v>-5700.0000000000082</v>
      </c>
      <c r="AJ77" s="1">
        <f t="shared" si="92"/>
        <v>0</v>
      </c>
      <c r="AK77" s="3">
        <f t="shared" si="93"/>
        <v>0.59583333333333299</v>
      </c>
      <c r="AL77" s="4">
        <f t="shared" si="53"/>
        <v>1191.0708333333328</v>
      </c>
      <c r="AM77" s="3">
        <v>0</v>
      </c>
      <c r="AN77" s="4">
        <f t="shared" si="54"/>
        <v>1191.0708333333328</v>
      </c>
      <c r="AO77" s="1">
        <f t="shared" si="94"/>
        <v>0</v>
      </c>
      <c r="AP77" s="41">
        <v>21</v>
      </c>
      <c r="AQ77" s="54">
        <f t="shared" si="71"/>
        <v>1191.6666666666661</v>
      </c>
    </row>
    <row r="78" spans="1:43" customFormat="1" x14ac:dyDescent="0.35">
      <c r="A78" s="25" t="s">
        <v>151</v>
      </c>
      <c r="B78" s="44" t="s">
        <v>810</v>
      </c>
      <c r="C78" s="62" t="s">
        <v>797</v>
      </c>
      <c r="D78" s="60" t="s">
        <v>259</v>
      </c>
      <c r="E78" s="64" t="s">
        <v>760</v>
      </c>
      <c r="F78" s="69">
        <v>30406171200754</v>
      </c>
      <c r="G78" s="70" t="s">
        <v>526</v>
      </c>
      <c r="H78" s="72">
        <v>4000</v>
      </c>
      <c r="I78" s="72">
        <v>3000</v>
      </c>
      <c r="J78" s="31"/>
      <c r="K78" s="74">
        <v>1.05</v>
      </c>
      <c r="L78" s="9">
        <f t="shared" si="69"/>
        <v>3150</v>
      </c>
      <c r="M78" s="9">
        <v>0</v>
      </c>
      <c r="N78" s="9">
        <f t="shared" si="55"/>
        <v>5</v>
      </c>
      <c r="O78" s="9">
        <f t="shared" si="56"/>
        <v>0</v>
      </c>
      <c r="P78" s="10">
        <f t="shared" si="57"/>
        <v>133.33333333333334</v>
      </c>
      <c r="Q78" s="10">
        <f t="shared" si="58"/>
        <v>105</v>
      </c>
      <c r="R78" s="10">
        <f t="shared" si="61"/>
        <v>238.33333333333334</v>
      </c>
      <c r="S78" s="10">
        <f t="shared" si="59"/>
        <v>16.666666666666668</v>
      </c>
      <c r="T78" s="9">
        <v>0</v>
      </c>
      <c r="U78" s="9">
        <f t="shared" si="46"/>
        <v>0</v>
      </c>
      <c r="V78" s="9">
        <v>0</v>
      </c>
      <c r="W78" s="16">
        <f t="shared" si="47"/>
        <v>7150</v>
      </c>
      <c r="X78" s="30">
        <v>25</v>
      </c>
      <c r="Y78" s="30">
        <f t="shared" si="48"/>
        <v>5958.3333333333339</v>
      </c>
      <c r="Z78" s="38">
        <v>0</v>
      </c>
      <c r="AA78" s="30">
        <f t="shared" si="49"/>
        <v>0</v>
      </c>
      <c r="AB78" s="30">
        <v>0</v>
      </c>
      <c r="AC78" s="30">
        <f t="shared" si="70"/>
        <v>0</v>
      </c>
      <c r="AD78" s="12">
        <f t="shared" si="51"/>
        <v>5958.3333333333339</v>
      </c>
      <c r="AE78" s="4">
        <f t="shared" si="52"/>
        <v>1191.6666666666661</v>
      </c>
      <c r="AF78" s="3"/>
      <c r="AG78" s="3">
        <f t="shared" si="90"/>
        <v>0</v>
      </c>
      <c r="AH78" s="1">
        <v>1666.6666666666667</v>
      </c>
      <c r="AI78" s="1">
        <f t="shared" si="91"/>
        <v>-5700.0000000000082</v>
      </c>
      <c r="AJ78" s="1">
        <f t="shared" si="92"/>
        <v>0</v>
      </c>
      <c r="AK78" s="3">
        <f t="shared" si="93"/>
        <v>0.59583333333333299</v>
      </c>
      <c r="AL78" s="4">
        <f t="shared" si="53"/>
        <v>1191.0708333333328</v>
      </c>
      <c r="AM78" s="3">
        <v>0</v>
      </c>
      <c r="AN78" s="4">
        <f t="shared" si="54"/>
        <v>1191.0708333333328</v>
      </c>
      <c r="AO78" s="1">
        <f t="shared" si="94"/>
        <v>0</v>
      </c>
      <c r="AP78" s="41">
        <v>21</v>
      </c>
      <c r="AQ78" s="54">
        <f t="shared" si="71"/>
        <v>1191.6666666666661</v>
      </c>
    </row>
    <row r="79" spans="1:43" customFormat="1" x14ac:dyDescent="0.35">
      <c r="A79" s="25" t="s">
        <v>151</v>
      </c>
      <c r="B79" s="44" t="s">
        <v>811</v>
      </c>
      <c r="C79" s="62" t="s">
        <v>798</v>
      </c>
      <c r="D79" s="60" t="s">
        <v>259</v>
      </c>
      <c r="E79" s="64" t="s">
        <v>761</v>
      </c>
      <c r="F79" s="69">
        <v>30501271401594</v>
      </c>
      <c r="G79" s="70" t="s">
        <v>526</v>
      </c>
      <c r="H79" s="72">
        <v>4000</v>
      </c>
      <c r="I79" s="72">
        <v>3000</v>
      </c>
      <c r="J79" s="31"/>
      <c r="K79" s="74">
        <v>1.05</v>
      </c>
      <c r="L79" s="9">
        <f t="shared" si="69"/>
        <v>3150</v>
      </c>
      <c r="M79" s="9">
        <v>0</v>
      </c>
      <c r="N79" s="9">
        <f t="shared" si="55"/>
        <v>5</v>
      </c>
      <c r="O79" s="9">
        <f t="shared" si="56"/>
        <v>0</v>
      </c>
      <c r="P79" s="10">
        <f t="shared" si="57"/>
        <v>133.33333333333334</v>
      </c>
      <c r="Q79" s="10">
        <f t="shared" si="58"/>
        <v>105</v>
      </c>
      <c r="R79" s="10">
        <f t="shared" si="61"/>
        <v>238.33333333333334</v>
      </c>
      <c r="S79" s="10">
        <f t="shared" si="59"/>
        <v>16.666666666666668</v>
      </c>
      <c r="T79" s="9">
        <v>0</v>
      </c>
      <c r="U79" s="9">
        <f t="shared" si="46"/>
        <v>0</v>
      </c>
      <c r="V79" s="9">
        <v>0</v>
      </c>
      <c r="W79" s="16">
        <f t="shared" si="47"/>
        <v>7150</v>
      </c>
      <c r="X79" s="30">
        <v>25</v>
      </c>
      <c r="Y79" s="30">
        <f t="shared" si="48"/>
        <v>5958.3333333333339</v>
      </c>
      <c r="Z79" s="38">
        <v>0</v>
      </c>
      <c r="AA79" s="30">
        <f t="shared" si="49"/>
        <v>0</v>
      </c>
      <c r="AB79" s="30">
        <v>0</v>
      </c>
      <c r="AC79" s="30">
        <f t="shared" si="70"/>
        <v>0</v>
      </c>
      <c r="AD79" s="12">
        <f t="shared" si="51"/>
        <v>5958.3333333333339</v>
      </c>
      <c r="AE79" s="4">
        <f t="shared" si="52"/>
        <v>1191.6666666666661</v>
      </c>
      <c r="AF79" s="3"/>
      <c r="AG79" s="3">
        <f t="shared" si="90"/>
        <v>0</v>
      </c>
      <c r="AH79" s="1">
        <v>1666.6666666666667</v>
      </c>
      <c r="AI79" s="1">
        <f t="shared" si="91"/>
        <v>-5700.0000000000082</v>
      </c>
      <c r="AJ79" s="1">
        <f t="shared" si="92"/>
        <v>0</v>
      </c>
      <c r="AK79" s="3">
        <f t="shared" si="93"/>
        <v>0.59583333333333299</v>
      </c>
      <c r="AL79" s="4">
        <f t="shared" si="53"/>
        <v>1191.0708333333328</v>
      </c>
      <c r="AM79" s="3">
        <v>0</v>
      </c>
      <c r="AN79" s="4">
        <f t="shared" si="54"/>
        <v>1191.0708333333328</v>
      </c>
      <c r="AO79" s="1">
        <f t="shared" si="94"/>
        <v>0</v>
      </c>
      <c r="AP79" s="41">
        <v>21</v>
      </c>
      <c r="AQ79" s="54">
        <f t="shared" si="71"/>
        <v>1191.6666666666661</v>
      </c>
    </row>
    <row r="80" spans="1:43" customFormat="1" x14ac:dyDescent="0.35">
      <c r="A80" s="25" t="s">
        <v>151</v>
      </c>
      <c r="B80" s="44" t="s">
        <v>812</v>
      </c>
      <c r="C80" s="62" t="s">
        <v>800</v>
      </c>
      <c r="D80" s="60" t="s">
        <v>259</v>
      </c>
      <c r="E80" s="64" t="s">
        <v>764</v>
      </c>
      <c r="F80" s="69">
        <v>30405140104773</v>
      </c>
      <c r="G80" s="70" t="s">
        <v>526</v>
      </c>
      <c r="H80" s="72">
        <v>4000</v>
      </c>
      <c r="I80" s="72">
        <v>3000</v>
      </c>
      <c r="J80" s="31"/>
      <c r="K80" s="74">
        <v>1.05</v>
      </c>
      <c r="L80" s="9">
        <f t="shared" si="69"/>
        <v>3150</v>
      </c>
      <c r="M80" s="9">
        <v>0</v>
      </c>
      <c r="N80" s="9">
        <f t="shared" si="55"/>
        <v>5</v>
      </c>
      <c r="O80" s="9">
        <f t="shared" si="56"/>
        <v>0</v>
      </c>
      <c r="P80" s="10">
        <f t="shared" si="57"/>
        <v>133.33333333333334</v>
      </c>
      <c r="Q80" s="10">
        <f t="shared" si="58"/>
        <v>105</v>
      </c>
      <c r="R80" s="10">
        <f t="shared" si="61"/>
        <v>238.33333333333334</v>
      </c>
      <c r="S80" s="10">
        <f t="shared" si="59"/>
        <v>16.666666666666668</v>
      </c>
      <c r="T80" s="9">
        <v>0</v>
      </c>
      <c r="U80" s="9">
        <f t="shared" si="46"/>
        <v>0</v>
      </c>
      <c r="V80" s="9">
        <v>0</v>
      </c>
      <c r="W80" s="16">
        <f t="shared" si="47"/>
        <v>7150</v>
      </c>
      <c r="X80" s="30">
        <v>25</v>
      </c>
      <c r="Y80" s="30">
        <f t="shared" si="48"/>
        <v>5958.3333333333339</v>
      </c>
      <c r="Z80" s="38">
        <v>0</v>
      </c>
      <c r="AA80" s="30">
        <f t="shared" si="49"/>
        <v>0</v>
      </c>
      <c r="AB80" s="30">
        <v>0</v>
      </c>
      <c r="AC80" s="30">
        <f t="shared" si="70"/>
        <v>0</v>
      </c>
      <c r="AD80" s="12">
        <f t="shared" si="51"/>
        <v>5958.3333333333339</v>
      </c>
      <c r="AE80" s="4">
        <f t="shared" si="52"/>
        <v>1191.6666666666661</v>
      </c>
      <c r="AF80" s="3"/>
      <c r="AG80" s="3">
        <f t="shared" si="90"/>
        <v>0</v>
      </c>
      <c r="AH80" s="1">
        <v>1666.6666666666667</v>
      </c>
      <c r="AI80" s="1">
        <f t="shared" si="91"/>
        <v>-5700.0000000000082</v>
      </c>
      <c r="AJ80" s="1">
        <f t="shared" si="92"/>
        <v>0</v>
      </c>
      <c r="AK80" s="3">
        <f t="shared" si="93"/>
        <v>0.59583333333333299</v>
      </c>
      <c r="AL80" s="4">
        <f t="shared" si="53"/>
        <v>1191.0708333333328</v>
      </c>
      <c r="AM80" s="3">
        <v>0</v>
      </c>
      <c r="AN80" s="4">
        <f t="shared" si="54"/>
        <v>1191.0708333333328</v>
      </c>
      <c r="AO80" s="1">
        <f t="shared" si="94"/>
        <v>0</v>
      </c>
      <c r="AP80" s="41">
        <v>21</v>
      </c>
      <c r="AQ80" s="54">
        <f t="shared" si="71"/>
        <v>1191.6666666666661</v>
      </c>
    </row>
    <row r="81" spans="1:43" customFormat="1" x14ac:dyDescent="0.35">
      <c r="A81" s="25" t="s">
        <v>151</v>
      </c>
      <c r="B81" s="44" t="s">
        <v>813</v>
      </c>
      <c r="C81" s="62" t="s">
        <v>802</v>
      </c>
      <c r="D81" s="60" t="s">
        <v>259</v>
      </c>
      <c r="E81" s="64" t="s">
        <v>766</v>
      </c>
      <c r="F81" s="69">
        <v>30505292103939</v>
      </c>
      <c r="G81" s="70" t="s">
        <v>526</v>
      </c>
      <c r="H81" s="72">
        <v>4000</v>
      </c>
      <c r="I81" s="72">
        <v>3000</v>
      </c>
      <c r="J81" s="31"/>
      <c r="K81" s="74">
        <v>1.05</v>
      </c>
      <c r="L81" s="9">
        <f t="shared" si="69"/>
        <v>3150</v>
      </c>
      <c r="M81" s="9">
        <v>0</v>
      </c>
      <c r="N81" s="9">
        <f t="shared" si="55"/>
        <v>5</v>
      </c>
      <c r="O81" s="9">
        <f t="shared" si="56"/>
        <v>0</v>
      </c>
      <c r="P81" s="10">
        <f t="shared" si="57"/>
        <v>133.33333333333334</v>
      </c>
      <c r="Q81" s="10">
        <f t="shared" si="58"/>
        <v>105</v>
      </c>
      <c r="R81" s="10">
        <f t="shared" si="61"/>
        <v>238.33333333333334</v>
      </c>
      <c r="S81" s="10">
        <f t="shared" si="59"/>
        <v>16.666666666666668</v>
      </c>
      <c r="T81" s="9">
        <v>0</v>
      </c>
      <c r="U81" s="9">
        <f t="shared" si="46"/>
        <v>0</v>
      </c>
      <c r="V81" s="9">
        <v>0</v>
      </c>
      <c r="W81" s="16">
        <f t="shared" si="47"/>
        <v>7150</v>
      </c>
      <c r="X81" s="30">
        <v>25</v>
      </c>
      <c r="Y81" s="30">
        <f t="shared" si="48"/>
        <v>5958.3333333333339</v>
      </c>
      <c r="Z81" s="38">
        <v>0</v>
      </c>
      <c r="AA81" s="30">
        <f t="shared" si="49"/>
        <v>0</v>
      </c>
      <c r="AB81" s="30">
        <v>0</v>
      </c>
      <c r="AC81" s="30">
        <f t="shared" si="70"/>
        <v>0</v>
      </c>
      <c r="AD81" s="12">
        <f t="shared" si="51"/>
        <v>5958.3333333333339</v>
      </c>
      <c r="AE81" s="4">
        <f t="shared" si="52"/>
        <v>1191.6666666666661</v>
      </c>
      <c r="AF81" s="3"/>
      <c r="AG81" s="3">
        <f t="shared" si="90"/>
        <v>0</v>
      </c>
      <c r="AH81" s="1">
        <v>1666.6666666666667</v>
      </c>
      <c r="AI81" s="1">
        <f t="shared" si="91"/>
        <v>-5700.0000000000082</v>
      </c>
      <c r="AJ81" s="1">
        <f t="shared" si="92"/>
        <v>0</v>
      </c>
      <c r="AK81" s="3">
        <f t="shared" si="93"/>
        <v>0.59583333333333299</v>
      </c>
      <c r="AL81" s="4">
        <f t="shared" si="53"/>
        <v>1191.0708333333328</v>
      </c>
      <c r="AM81" s="3">
        <v>0</v>
      </c>
      <c r="AN81" s="4">
        <f t="shared" si="54"/>
        <v>1191.0708333333328</v>
      </c>
      <c r="AO81" s="1">
        <f t="shared" si="94"/>
        <v>0</v>
      </c>
      <c r="AP81" s="41">
        <v>21</v>
      </c>
      <c r="AQ81" s="54">
        <f t="shared" si="71"/>
        <v>1191.6666666666661</v>
      </c>
    </row>
    <row r="82" spans="1:43" customFormat="1" x14ac:dyDescent="0.35">
      <c r="A82" s="25" t="s">
        <v>151</v>
      </c>
      <c r="B82" s="44" t="s">
        <v>814</v>
      </c>
      <c r="C82" s="62" t="s">
        <v>804</v>
      </c>
      <c r="D82" s="60" t="s">
        <v>259</v>
      </c>
      <c r="E82" s="64" t="s">
        <v>768</v>
      </c>
      <c r="F82" s="69">
        <v>30410260101704</v>
      </c>
      <c r="G82" s="70" t="s">
        <v>526</v>
      </c>
      <c r="H82" s="72">
        <v>4000</v>
      </c>
      <c r="I82" s="72">
        <v>3000</v>
      </c>
      <c r="J82" s="31"/>
      <c r="K82" s="74">
        <v>1.05</v>
      </c>
      <c r="L82" s="9">
        <f t="shared" si="69"/>
        <v>3150</v>
      </c>
      <c r="M82" s="9">
        <v>0</v>
      </c>
      <c r="N82" s="9">
        <f t="shared" si="55"/>
        <v>2</v>
      </c>
      <c r="O82" s="9">
        <f t="shared" si="56"/>
        <v>0</v>
      </c>
      <c r="P82" s="10">
        <f t="shared" si="57"/>
        <v>133.33333333333334</v>
      </c>
      <c r="Q82" s="10">
        <f t="shared" si="58"/>
        <v>105</v>
      </c>
      <c r="R82" s="10">
        <f t="shared" si="61"/>
        <v>238.33333333333334</v>
      </c>
      <c r="S82" s="10">
        <f t="shared" si="59"/>
        <v>16.666666666666668</v>
      </c>
      <c r="T82" s="9">
        <v>0</v>
      </c>
      <c r="U82" s="9">
        <f t="shared" si="46"/>
        <v>0</v>
      </c>
      <c r="V82" s="9">
        <v>0</v>
      </c>
      <c r="W82" s="16">
        <f t="shared" si="47"/>
        <v>7150</v>
      </c>
      <c r="X82" s="30">
        <v>28</v>
      </c>
      <c r="Y82" s="30">
        <f t="shared" si="48"/>
        <v>6673.3333333333339</v>
      </c>
      <c r="Z82" s="38">
        <v>0</v>
      </c>
      <c r="AA82" s="30">
        <f t="shared" si="49"/>
        <v>0</v>
      </c>
      <c r="AB82" s="30">
        <v>0</v>
      </c>
      <c r="AC82" s="30">
        <f t="shared" si="70"/>
        <v>0</v>
      </c>
      <c r="AD82" s="12">
        <f t="shared" si="51"/>
        <v>6673.3333333333339</v>
      </c>
      <c r="AE82" s="4">
        <f t="shared" si="52"/>
        <v>476.66666666666606</v>
      </c>
      <c r="AF82" s="3"/>
      <c r="AG82" s="3">
        <f t="shared" si="90"/>
        <v>0</v>
      </c>
      <c r="AH82" s="1">
        <v>1666.6666666666667</v>
      </c>
      <c r="AI82" s="1">
        <f t="shared" si="91"/>
        <v>-14280.000000000007</v>
      </c>
      <c r="AJ82" s="1">
        <f t="shared" si="92"/>
        <v>0</v>
      </c>
      <c r="AK82" s="3">
        <f t="shared" si="93"/>
        <v>0.23833333333333304</v>
      </c>
      <c r="AL82" s="4">
        <f t="shared" si="53"/>
        <v>476.42833333333272</v>
      </c>
      <c r="AM82" s="3">
        <v>0</v>
      </c>
      <c r="AN82" s="4">
        <f t="shared" si="54"/>
        <v>476.42833333333272</v>
      </c>
      <c r="AO82" s="1">
        <f t="shared" si="94"/>
        <v>0</v>
      </c>
      <c r="AP82" s="41">
        <v>21</v>
      </c>
      <c r="AQ82" s="54">
        <f t="shared" si="71"/>
        <v>476.66666666666606</v>
      </c>
    </row>
    <row r="83" spans="1:43" customFormat="1" x14ac:dyDescent="0.35">
      <c r="A83" s="25" t="s">
        <v>151</v>
      </c>
      <c r="B83" s="44" t="s">
        <v>815</v>
      </c>
      <c r="C83" s="62" t="s">
        <v>805</v>
      </c>
      <c r="D83" s="60" t="s">
        <v>259</v>
      </c>
      <c r="E83" s="64" t="s">
        <v>769</v>
      </c>
      <c r="F83" s="69">
        <v>30607300104424</v>
      </c>
      <c r="G83" s="70" t="s">
        <v>526</v>
      </c>
      <c r="H83" s="72">
        <v>4000</v>
      </c>
      <c r="I83" s="72">
        <v>3000</v>
      </c>
      <c r="J83" s="31"/>
      <c r="K83" s="74">
        <v>1.05</v>
      </c>
      <c r="L83" s="9">
        <f t="shared" si="69"/>
        <v>3150</v>
      </c>
      <c r="M83" s="9">
        <v>0</v>
      </c>
      <c r="N83" s="9">
        <f t="shared" si="55"/>
        <v>2</v>
      </c>
      <c r="O83" s="9">
        <f t="shared" si="56"/>
        <v>0</v>
      </c>
      <c r="P83" s="10">
        <f t="shared" si="57"/>
        <v>133.33333333333334</v>
      </c>
      <c r="Q83" s="10">
        <f t="shared" si="58"/>
        <v>105</v>
      </c>
      <c r="R83" s="10">
        <f t="shared" si="61"/>
        <v>238.33333333333334</v>
      </c>
      <c r="S83" s="10">
        <f t="shared" si="59"/>
        <v>16.666666666666668</v>
      </c>
      <c r="T83" s="9">
        <v>0</v>
      </c>
      <c r="U83" s="9">
        <f t="shared" si="46"/>
        <v>0</v>
      </c>
      <c r="V83" s="9">
        <v>0</v>
      </c>
      <c r="W83" s="16">
        <f t="shared" si="47"/>
        <v>7150</v>
      </c>
      <c r="X83" s="30">
        <v>28</v>
      </c>
      <c r="Y83" s="30">
        <f t="shared" si="48"/>
        <v>6673.3333333333339</v>
      </c>
      <c r="Z83" s="38">
        <v>0</v>
      </c>
      <c r="AA83" s="30">
        <f t="shared" si="49"/>
        <v>0</v>
      </c>
      <c r="AB83" s="30">
        <v>0</v>
      </c>
      <c r="AC83" s="30">
        <f t="shared" si="70"/>
        <v>0</v>
      </c>
      <c r="AD83" s="12">
        <f t="shared" si="51"/>
        <v>6673.3333333333339</v>
      </c>
      <c r="AE83" s="4">
        <f t="shared" si="52"/>
        <v>476.66666666666606</v>
      </c>
      <c r="AF83" s="3"/>
      <c r="AG83" s="3">
        <f t="shared" si="90"/>
        <v>0</v>
      </c>
      <c r="AH83" s="1">
        <v>1666.6666666666667</v>
      </c>
      <c r="AI83" s="1">
        <f t="shared" si="91"/>
        <v>-14280.000000000007</v>
      </c>
      <c r="AJ83" s="1">
        <f t="shared" si="92"/>
        <v>0</v>
      </c>
      <c r="AK83" s="3">
        <f t="shared" si="93"/>
        <v>0.23833333333333304</v>
      </c>
      <c r="AL83" s="4">
        <f t="shared" si="53"/>
        <v>476.42833333333272</v>
      </c>
      <c r="AM83" s="3">
        <v>0</v>
      </c>
      <c r="AN83" s="4">
        <f t="shared" si="54"/>
        <v>476.42833333333272</v>
      </c>
      <c r="AO83" s="1">
        <f t="shared" si="94"/>
        <v>0</v>
      </c>
      <c r="AP83" s="41">
        <v>21</v>
      </c>
      <c r="AQ83" s="54">
        <f t="shared" si="71"/>
        <v>476.66666666666606</v>
      </c>
    </row>
    <row r="84" spans="1:43" customFormat="1" x14ac:dyDescent="0.35">
      <c r="A84" s="25" t="s">
        <v>151</v>
      </c>
      <c r="B84" s="44" t="s">
        <v>816</v>
      </c>
      <c r="C84" s="62" t="s">
        <v>806</v>
      </c>
      <c r="D84" s="60" t="s">
        <v>259</v>
      </c>
      <c r="E84" s="64" t="s">
        <v>770</v>
      </c>
      <c r="F84" s="69">
        <v>30310010108407</v>
      </c>
      <c r="G84" s="70" t="s">
        <v>526</v>
      </c>
      <c r="H84" s="72">
        <v>4000</v>
      </c>
      <c r="I84" s="72">
        <v>3000</v>
      </c>
      <c r="J84" s="31"/>
      <c r="K84" s="74">
        <v>1.05</v>
      </c>
      <c r="L84" s="9">
        <f t="shared" si="66"/>
        <v>3150</v>
      </c>
      <c r="M84" s="9">
        <v>0</v>
      </c>
      <c r="N84" s="9">
        <f t="shared" ref="N84" si="95">30-X84</f>
        <v>2</v>
      </c>
      <c r="O84" s="9">
        <f t="shared" ref="O84" si="96">M84*N84</f>
        <v>0</v>
      </c>
      <c r="P84" s="10">
        <f t="shared" ref="P84" si="97">H84/30</f>
        <v>133.33333333333334</v>
      </c>
      <c r="Q84" s="10">
        <f t="shared" ref="Q84" si="98">L84/30</f>
        <v>105</v>
      </c>
      <c r="R84" s="10">
        <f t="shared" ref="R84" si="99">Q84+P84</f>
        <v>238.33333333333334</v>
      </c>
      <c r="S84" s="10">
        <f t="shared" ref="S84" si="100">+P84/8</f>
        <v>16.666666666666668</v>
      </c>
      <c r="T84" s="9">
        <v>0</v>
      </c>
      <c r="U84" s="9">
        <f t="shared" ref="U84" si="101">+S84*T84</f>
        <v>0</v>
      </c>
      <c r="V84" s="9">
        <v>0</v>
      </c>
      <c r="W84" s="16">
        <f t="shared" ref="W84" si="102">H84+L84+O84+U84+V84+J84</f>
        <v>7150</v>
      </c>
      <c r="X84" s="30">
        <v>28</v>
      </c>
      <c r="Y84" s="30">
        <f t="shared" ref="Y84" si="103">R84*X84</f>
        <v>6673.3333333333339</v>
      </c>
      <c r="Z84" s="38">
        <v>0</v>
      </c>
      <c r="AA84" s="30">
        <f t="shared" ref="AA84" si="104">P84*Z84</f>
        <v>0</v>
      </c>
      <c r="AB84" s="30">
        <v>0</v>
      </c>
      <c r="AC84" s="30">
        <f t="shared" si="67"/>
        <v>0</v>
      </c>
      <c r="AD84" s="12">
        <f t="shared" ref="AD84" si="105">Y84+AA84+AC84</f>
        <v>6673.3333333333339</v>
      </c>
      <c r="AE84" s="4">
        <f t="shared" ref="AE84" si="106">W84-AD84</f>
        <v>476.66666666666606</v>
      </c>
      <c r="AF84" s="3"/>
      <c r="AG84" s="3">
        <f t="shared" si="90"/>
        <v>0</v>
      </c>
      <c r="AH84" s="1">
        <v>1666.6666666666667</v>
      </c>
      <c r="AI84" s="1">
        <f t="shared" si="91"/>
        <v>-14280.000000000007</v>
      </c>
      <c r="AJ84" s="1">
        <f t="shared" si="92"/>
        <v>0</v>
      </c>
      <c r="AK84" s="3">
        <f t="shared" si="93"/>
        <v>0.23833333333333304</v>
      </c>
      <c r="AL84" s="4">
        <f t="shared" ref="AL84" si="107">+AE84-AG84-AJ84-AK84</f>
        <v>476.42833333333272</v>
      </c>
      <c r="AM84" s="3">
        <v>0</v>
      </c>
      <c r="AN84" s="4">
        <f t="shared" ref="AN84" si="108">+AL84-AM84</f>
        <v>476.42833333333272</v>
      </c>
      <c r="AO84" s="1">
        <f t="shared" si="60"/>
        <v>0</v>
      </c>
      <c r="AP84" s="41">
        <v>21</v>
      </c>
      <c r="AQ84" s="54">
        <f t="shared" si="68"/>
        <v>476.66666666666606</v>
      </c>
    </row>
    <row r="85" spans="1:43" s="14" customFormat="1" ht="18.5" x14ac:dyDescent="0.35">
      <c r="A85" s="82" t="s">
        <v>1</v>
      </c>
      <c r="B85" s="83"/>
      <c r="C85" s="83"/>
      <c r="D85" s="83"/>
      <c r="E85" s="83"/>
      <c r="F85" s="56"/>
      <c r="G85" s="57"/>
      <c r="H85" s="13">
        <f t="shared" ref="H85:I85" si="109">SUM(H3:H84)</f>
        <v>327700</v>
      </c>
      <c r="I85" s="13">
        <f t="shared" si="109"/>
        <v>243000</v>
      </c>
      <c r="J85" s="32">
        <f>SUM(J3:J84)</f>
        <v>0</v>
      </c>
      <c r="K85" s="51"/>
      <c r="L85" s="13">
        <f>SUM(L3:L84)</f>
        <v>255150</v>
      </c>
      <c r="M85" s="13"/>
      <c r="N85" s="13"/>
      <c r="O85" s="13">
        <f>SUM(O3:O51)</f>
        <v>0</v>
      </c>
      <c r="P85" s="13"/>
      <c r="Q85" s="13"/>
      <c r="R85" s="13"/>
      <c r="S85" s="13"/>
      <c r="T85" s="13">
        <f t="shared" ref="T85:U85" si="110">SUM(T3:T84)</f>
        <v>2436</v>
      </c>
      <c r="U85" s="13">
        <f t="shared" si="110"/>
        <v>40664.999999999971</v>
      </c>
      <c r="V85" s="13">
        <f>SUM(V3:V84)</f>
        <v>0</v>
      </c>
      <c r="W85" s="13">
        <f>SUM(W3:W84)</f>
        <v>623515</v>
      </c>
      <c r="X85" s="13">
        <f t="shared" ref="X85:AA85" si="111">SUM(X3:X84)</f>
        <v>615</v>
      </c>
      <c r="Y85" s="13">
        <f t="shared" si="111"/>
        <v>146575</v>
      </c>
      <c r="Z85" s="13">
        <f t="shared" si="111"/>
        <v>26</v>
      </c>
      <c r="AA85" s="13">
        <f t="shared" si="111"/>
        <v>3466.6666666666661</v>
      </c>
      <c r="AB85" s="32">
        <f t="shared" ref="AB85:AG85" si="112">SUM(AB3:AB84)</f>
        <v>0</v>
      </c>
      <c r="AC85" s="32">
        <f t="shared" si="112"/>
        <v>0</v>
      </c>
      <c r="AD85" s="13">
        <f t="shared" si="112"/>
        <v>150041.66666666666</v>
      </c>
      <c r="AE85" s="13">
        <f t="shared" si="112"/>
        <v>473473.33333333343</v>
      </c>
      <c r="AF85" s="13">
        <f t="shared" si="112"/>
        <v>333846.15384615358</v>
      </c>
      <c r="AG85" s="13">
        <f t="shared" si="112"/>
        <v>36723.076923076907</v>
      </c>
      <c r="AH85" s="13"/>
      <c r="AI85" s="13"/>
      <c r="AJ85" s="13">
        <f t="shared" ref="AJ85:AM85" si="113">SUM(AJ3:AJ84)</f>
        <v>13792.262820512806</v>
      </c>
      <c r="AK85" s="13">
        <f t="shared" si="113"/>
        <v>236.73666666666662</v>
      </c>
      <c r="AL85" s="13">
        <f>SUM(AL3:AL84)</f>
        <v>422721.25692307716</v>
      </c>
      <c r="AM85" s="13">
        <f t="shared" si="113"/>
        <v>0</v>
      </c>
      <c r="AN85" s="13">
        <f>SUM(AN3:AN84)</f>
        <v>422721.25692307716</v>
      </c>
      <c r="AO85" s="13">
        <f>SUM(AO3:AO84)</f>
        <v>62596.153846153771</v>
      </c>
      <c r="AP85" s="42"/>
      <c r="AQ85" s="13">
        <f>SUM(AQ3:AQ84)</f>
        <v>536069.48717948643</v>
      </c>
    </row>
    <row r="86" spans="1:43" x14ac:dyDescent="0.35">
      <c r="P86" s="2"/>
      <c r="AQ86" s="2"/>
    </row>
    <row r="87" spans="1:43" x14ac:dyDescent="0.35">
      <c r="P87" s="2"/>
      <c r="AQ87" s="2"/>
    </row>
    <row r="88" spans="1:43" ht="21" x14ac:dyDescent="0.35">
      <c r="A88" s="79" t="s">
        <v>65</v>
      </c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</row>
    <row r="89" spans="1:43" x14ac:dyDescent="0.35">
      <c r="A89" s="25" t="s">
        <v>151</v>
      </c>
      <c r="B89" s="44" t="s">
        <v>817</v>
      </c>
      <c r="C89" s="58" t="s">
        <v>184</v>
      </c>
      <c r="D89" s="63" t="s">
        <v>507</v>
      </c>
      <c r="E89" s="64" t="s">
        <v>121</v>
      </c>
      <c r="F89" s="69" t="s">
        <v>122</v>
      </c>
      <c r="G89" s="70" t="s">
        <v>526</v>
      </c>
      <c r="H89" s="72">
        <v>4000</v>
      </c>
      <c r="I89" s="72">
        <v>3000</v>
      </c>
      <c r="J89" s="31"/>
      <c r="K89" s="74">
        <v>1.05</v>
      </c>
      <c r="L89" s="9">
        <f t="shared" ref="L89:L97" si="114">+I89*K89</f>
        <v>3150</v>
      </c>
      <c r="M89" s="9">
        <v>0</v>
      </c>
      <c r="N89" s="9">
        <f t="shared" ref="N89:N97" si="115">30-X89</f>
        <v>30</v>
      </c>
      <c r="O89" s="9">
        <f t="shared" ref="O89:O97" si="116">M89*N89</f>
        <v>0</v>
      </c>
      <c r="P89" s="10">
        <f t="shared" ref="P89:P97" si="117">H89/30</f>
        <v>133.33333333333334</v>
      </c>
      <c r="Q89" s="10">
        <f t="shared" ref="Q89:Q97" si="118">L89/30</f>
        <v>105</v>
      </c>
      <c r="R89" s="10">
        <f t="shared" ref="R89:R97" si="119">Q89+P89</f>
        <v>238.33333333333334</v>
      </c>
      <c r="S89" s="10">
        <f t="shared" ref="S89:S97" si="120">+P89/8</f>
        <v>16.666666666666668</v>
      </c>
      <c r="T89" s="9">
        <v>44</v>
      </c>
      <c r="U89" s="9">
        <f t="shared" ref="U89:U97" si="121">+S89*T89</f>
        <v>733.33333333333337</v>
      </c>
      <c r="V89" s="9">
        <v>0</v>
      </c>
      <c r="W89" s="16">
        <f t="shared" ref="W89:W97" si="122">H89+L89+O89+U89+V89+J89</f>
        <v>7883.333333333333</v>
      </c>
      <c r="X89" s="30">
        <v>0</v>
      </c>
      <c r="Y89" s="30">
        <f t="shared" ref="Y89:Y97" si="123">R89*X89</f>
        <v>0</v>
      </c>
      <c r="Z89" s="38">
        <v>0</v>
      </c>
      <c r="AA89" s="30">
        <f t="shared" ref="AA89:AA97" si="124">P89*Z89</f>
        <v>0</v>
      </c>
      <c r="AB89" s="30">
        <v>0</v>
      </c>
      <c r="AC89" s="30">
        <f t="shared" ref="AC89:AC97" si="125">Q89*AB89</f>
        <v>0</v>
      </c>
      <c r="AD89" s="12">
        <f t="shared" ref="AD89:AD97" si="126">Y89+AA89+AC89</f>
        <v>0</v>
      </c>
      <c r="AE89" s="4">
        <f t="shared" ref="AE89:AE97" si="127">W89-AD89</f>
        <v>7883.333333333333</v>
      </c>
      <c r="AF89" s="3"/>
      <c r="AG89" s="3">
        <f t="shared" ref="AG89:AG104" si="128">+AF89*0.11</f>
        <v>0</v>
      </c>
      <c r="AH89" s="1">
        <v>1666.6666666666667</v>
      </c>
      <c r="AI89" s="1">
        <f t="shared" ref="AI89:AI104" si="129">(AE89-AG89-AH89)*12</f>
        <v>74600</v>
      </c>
      <c r="AJ89" s="1">
        <f t="shared" ref="AJ89:AJ104" si="130">IF(AND(AI89&gt;40000,AI89&lt;=55000),(AI89-40000)*10%,
IF(AND(AI89&gt;55000,AI89&lt;=70000),(AI89-55000)*15%+15000*10%,
IF(AND(AI89&gt;70000,AI89&lt;=200000),(AI89-70000)*20%+15000*10%+15000*15%,
IF(AND(AI89&gt;200000,AI89&lt;=400000),(AI89-200000)*22.5%+15000*10%+15000*15%+130000*20%,
IF(AND(AI89&gt;400000,AI89&lt;=600000),(AI89-400000)*25%+15000*10%+15000*15%+130000*20%+200000*22.5%,
IF(AND(AI89&gt;600000,AI89&lt;=700000),(AI89-400000)*25%+55000*10%+15000*15%+130000*20%+200000*22.5%,
IF(AND(AI89&gt;700000,AI89&lt;=800000),(AI89-400000)*25%+70000*15%+130000*20%+200000*22.5%,
IF(AND(AI89&gt;800000,AI89&lt;=900000),(AI89-400000)*25%+200000*20%+200000*22.5%,
IF(AND(AI89&gt;900000,AI89&lt;=1200000),(AI89-400000)*25%+400000*22.5%,
IF(AI89&gt;1200000,(AI89-1200000)*27.5%+1200000*25%))))))))))/12</f>
        <v>389.16666666666669</v>
      </c>
      <c r="AK89" s="3">
        <f t="shared" ref="AK89:AK104" si="131">+AE89*0.0005</f>
        <v>3.9416666666666664</v>
      </c>
      <c r="AL89" s="4">
        <f t="shared" ref="AL89:AL97" si="132">+AE89-AG89-AJ89-AK89</f>
        <v>7490.2249999999995</v>
      </c>
      <c r="AM89" s="3">
        <v>0</v>
      </c>
      <c r="AN89" s="4">
        <f t="shared" ref="AN89:AN97" si="133">+AL89-AM89</f>
        <v>7490.2249999999995</v>
      </c>
      <c r="AO89" s="1">
        <f t="shared" ref="AO89:AO104" si="134">+AF89*0.1875</f>
        <v>0</v>
      </c>
      <c r="AP89" s="41">
        <v>15</v>
      </c>
      <c r="AQ89" s="54">
        <f t="shared" ref="AQ89:AQ95" si="135">AE89+AO89</f>
        <v>7883.333333333333</v>
      </c>
    </row>
    <row r="90" spans="1:43" x14ac:dyDescent="0.35">
      <c r="A90" s="25" t="s">
        <v>151</v>
      </c>
      <c r="B90" s="44" t="s">
        <v>818</v>
      </c>
      <c r="C90" s="58" t="s">
        <v>639</v>
      </c>
      <c r="D90" s="63" t="s">
        <v>507</v>
      </c>
      <c r="E90" s="66" t="s">
        <v>70</v>
      </c>
      <c r="F90" s="69" t="s">
        <v>71</v>
      </c>
      <c r="G90" s="70" t="s">
        <v>526</v>
      </c>
      <c r="H90" s="72">
        <v>4000</v>
      </c>
      <c r="I90" s="72">
        <v>3000</v>
      </c>
      <c r="J90" s="31"/>
      <c r="K90" s="74">
        <v>1.05</v>
      </c>
      <c r="L90" s="9">
        <f t="shared" si="114"/>
        <v>3150</v>
      </c>
      <c r="M90" s="9">
        <v>0</v>
      </c>
      <c r="N90" s="9">
        <f t="shared" si="115"/>
        <v>20</v>
      </c>
      <c r="O90" s="9">
        <f t="shared" si="116"/>
        <v>0</v>
      </c>
      <c r="P90" s="10">
        <f t="shared" si="117"/>
        <v>133.33333333333334</v>
      </c>
      <c r="Q90" s="10">
        <f t="shared" si="118"/>
        <v>105</v>
      </c>
      <c r="R90" s="10">
        <f t="shared" si="119"/>
        <v>238.33333333333334</v>
      </c>
      <c r="S90" s="10">
        <f t="shared" si="120"/>
        <v>16.666666666666668</v>
      </c>
      <c r="T90" s="9">
        <v>28</v>
      </c>
      <c r="U90" s="9">
        <f t="shared" si="121"/>
        <v>466.66666666666669</v>
      </c>
      <c r="V90" s="9">
        <v>0</v>
      </c>
      <c r="W90" s="16">
        <f t="shared" si="122"/>
        <v>7616.666666666667</v>
      </c>
      <c r="X90" s="30">
        <v>10</v>
      </c>
      <c r="Y90" s="30">
        <f t="shared" si="123"/>
        <v>2383.3333333333335</v>
      </c>
      <c r="Z90" s="38">
        <v>0</v>
      </c>
      <c r="AA90" s="30">
        <f t="shared" si="124"/>
        <v>0</v>
      </c>
      <c r="AB90" s="30">
        <v>0</v>
      </c>
      <c r="AC90" s="30">
        <f t="shared" si="125"/>
        <v>0</v>
      </c>
      <c r="AD90" s="12">
        <f t="shared" si="126"/>
        <v>2383.3333333333335</v>
      </c>
      <c r="AE90" s="4">
        <f t="shared" si="127"/>
        <v>5233.3333333333339</v>
      </c>
      <c r="AF90" s="3"/>
      <c r="AG90" s="3">
        <f t="shared" si="128"/>
        <v>0</v>
      </c>
      <c r="AH90" s="1">
        <v>1666.6666666666667</v>
      </c>
      <c r="AI90" s="1">
        <f t="shared" si="129"/>
        <v>42800</v>
      </c>
      <c r="AJ90" s="1">
        <f t="shared" si="130"/>
        <v>23.333333333333332</v>
      </c>
      <c r="AK90" s="3">
        <f t="shared" si="131"/>
        <v>2.6166666666666671</v>
      </c>
      <c r="AL90" s="4">
        <f t="shared" si="132"/>
        <v>5207.3833333333341</v>
      </c>
      <c r="AM90" s="3">
        <v>0</v>
      </c>
      <c r="AN90" s="4">
        <f t="shared" si="133"/>
        <v>5207.3833333333341</v>
      </c>
      <c r="AO90" s="1">
        <f t="shared" si="134"/>
        <v>0</v>
      </c>
      <c r="AP90" s="41">
        <v>1</v>
      </c>
      <c r="AQ90" s="54">
        <f t="shared" si="135"/>
        <v>5233.3333333333339</v>
      </c>
    </row>
    <row r="91" spans="1:43" x14ac:dyDescent="0.35">
      <c r="A91" s="25" t="s">
        <v>151</v>
      </c>
      <c r="B91" s="44" t="s">
        <v>819</v>
      </c>
      <c r="C91" s="58" t="s">
        <v>187</v>
      </c>
      <c r="D91" s="63" t="s">
        <v>507</v>
      </c>
      <c r="E91" s="66" t="s">
        <v>127</v>
      </c>
      <c r="F91" s="69" t="s">
        <v>128</v>
      </c>
      <c r="G91" s="70" t="s">
        <v>526</v>
      </c>
      <c r="H91" s="72">
        <v>4000</v>
      </c>
      <c r="I91" s="72">
        <v>3000</v>
      </c>
      <c r="J91" s="31"/>
      <c r="K91" s="74">
        <v>1.05</v>
      </c>
      <c r="L91" s="9">
        <f t="shared" si="114"/>
        <v>3150</v>
      </c>
      <c r="M91" s="9">
        <v>0</v>
      </c>
      <c r="N91" s="9">
        <f t="shared" si="115"/>
        <v>30</v>
      </c>
      <c r="O91" s="9">
        <f t="shared" si="116"/>
        <v>0</v>
      </c>
      <c r="P91" s="10">
        <f t="shared" si="117"/>
        <v>133.33333333333334</v>
      </c>
      <c r="Q91" s="10">
        <f t="shared" si="118"/>
        <v>105</v>
      </c>
      <c r="R91" s="10">
        <f t="shared" si="119"/>
        <v>238.33333333333334</v>
      </c>
      <c r="S91" s="10">
        <f t="shared" si="120"/>
        <v>16.666666666666668</v>
      </c>
      <c r="T91" s="9">
        <v>44</v>
      </c>
      <c r="U91" s="9">
        <f t="shared" si="121"/>
        <v>733.33333333333337</v>
      </c>
      <c r="V91" s="9">
        <v>0</v>
      </c>
      <c r="W91" s="16">
        <f t="shared" si="122"/>
        <v>7883.333333333333</v>
      </c>
      <c r="X91" s="30">
        <v>0</v>
      </c>
      <c r="Y91" s="30">
        <f t="shared" si="123"/>
        <v>0</v>
      </c>
      <c r="Z91" s="38">
        <v>1</v>
      </c>
      <c r="AA91" s="30">
        <f t="shared" si="124"/>
        <v>133.33333333333334</v>
      </c>
      <c r="AB91" s="30">
        <v>0</v>
      </c>
      <c r="AC91" s="30">
        <f t="shared" si="125"/>
        <v>0</v>
      </c>
      <c r="AD91" s="12">
        <f t="shared" si="126"/>
        <v>133.33333333333334</v>
      </c>
      <c r="AE91" s="4">
        <f t="shared" si="127"/>
        <v>7750</v>
      </c>
      <c r="AF91" s="3"/>
      <c r="AG91" s="3">
        <f t="shared" si="128"/>
        <v>0</v>
      </c>
      <c r="AH91" s="1">
        <v>1666.6666666666667</v>
      </c>
      <c r="AI91" s="1">
        <f t="shared" si="129"/>
        <v>73000</v>
      </c>
      <c r="AJ91" s="1">
        <f t="shared" si="130"/>
        <v>362.5</v>
      </c>
      <c r="AK91" s="3">
        <f t="shared" si="131"/>
        <v>3.875</v>
      </c>
      <c r="AL91" s="4">
        <f t="shared" si="132"/>
        <v>7383.625</v>
      </c>
      <c r="AM91" s="3">
        <v>0</v>
      </c>
      <c r="AN91" s="4">
        <f t="shared" si="133"/>
        <v>7383.625</v>
      </c>
      <c r="AO91" s="1">
        <f t="shared" si="134"/>
        <v>0</v>
      </c>
      <c r="AP91" s="41">
        <v>16</v>
      </c>
      <c r="AQ91" s="54">
        <f t="shared" si="135"/>
        <v>7750</v>
      </c>
    </row>
    <row r="92" spans="1:43" x14ac:dyDescent="0.35">
      <c r="A92" s="25" t="s">
        <v>151</v>
      </c>
      <c r="B92" s="44" t="s">
        <v>820</v>
      </c>
      <c r="C92" s="60" t="s">
        <v>497</v>
      </c>
      <c r="D92" s="63" t="s">
        <v>507</v>
      </c>
      <c r="E92" s="64" t="s">
        <v>630</v>
      </c>
      <c r="F92" s="69">
        <v>30209260101049</v>
      </c>
      <c r="G92" s="70" t="s">
        <v>526</v>
      </c>
      <c r="H92" s="72">
        <v>4000</v>
      </c>
      <c r="I92" s="72">
        <v>3000</v>
      </c>
      <c r="J92" s="31"/>
      <c r="K92" s="74">
        <v>1.05</v>
      </c>
      <c r="L92" s="9">
        <f t="shared" si="114"/>
        <v>3150</v>
      </c>
      <c r="M92" s="9">
        <v>0</v>
      </c>
      <c r="N92" s="9">
        <f t="shared" si="115"/>
        <v>8</v>
      </c>
      <c r="O92" s="9">
        <f t="shared" si="116"/>
        <v>0</v>
      </c>
      <c r="P92" s="10">
        <f t="shared" si="117"/>
        <v>133.33333333333334</v>
      </c>
      <c r="Q92" s="10">
        <f t="shared" si="118"/>
        <v>105</v>
      </c>
      <c r="R92" s="10">
        <f t="shared" si="119"/>
        <v>238.33333333333334</v>
      </c>
      <c r="S92" s="10">
        <f t="shared" si="120"/>
        <v>16.666666666666668</v>
      </c>
      <c r="T92" s="9">
        <v>12</v>
      </c>
      <c r="U92" s="9">
        <f t="shared" si="121"/>
        <v>200</v>
      </c>
      <c r="V92" s="9">
        <v>0</v>
      </c>
      <c r="W92" s="16">
        <f t="shared" si="122"/>
        <v>7350</v>
      </c>
      <c r="X92" s="30">
        <v>22</v>
      </c>
      <c r="Y92" s="30">
        <f t="shared" si="123"/>
        <v>5243.3333333333339</v>
      </c>
      <c r="Z92" s="38">
        <v>0</v>
      </c>
      <c r="AA92" s="30">
        <f t="shared" si="124"/>
        <v>0</v>
      </c>
      <c r="AB92" s="30">
        <v>0</v>
      </c>
      <c r="AC92" s="30">
        <f t="shared" si="125"/>
        <v>0</v>
      </c>
      <c r="AD92" s="12">
        <f t="shared" si="126"/>
        <v>5243.3333333333339</v>
      </c>
      <c r="AE92" s="4">
        <f t="shared" si="127"/>
        <v>2106.6666666666661</v>
      </c>
      <c r="AF92" s="3"/>
      <c r="AG92" s="3">
        <f t="shared" si="128"/>
        <v>0</v>
      </c>
      <c r="AH92" s="1">
        <v>1666.6666666666667</v>
      </c>
      <c r="AI92" s="1">
        <f t="shared" si="129"/>
        <v>5279.9999999999918</v>
      </c>
      <c r="AJ92" s="1">
        <f t="shared" si="130"/>
        <v>0</v>
      </c>
      <c r="AK92" s="3">
        <f t="shared" si="131"/>
        <v>1.053333333333333</v>
      </c>
      <c r="AL92" s="4">
        <f t="shared" si="132"/>
        <v>2105.6133333333328</v>
      </c>
      <c r="AM92" s="3">
        <v>0</v>
      </c>
      <c r="AN92" s="4">
        <f t="shared" si="133"/>
        <v>2105.6133333333328</v>
      </c>
      <c r="AO92" s="1">
        <f t="shared" si="134"/>
        <v>0</v>
      </c>
      <c r="AP92" s="41">
        <v>13</v>
      </c>
      <c r="AQ92" s="54">
        <f t="shared" si="135"/>
        <v>2106.6666666666661</v>
      </c>
    </row>
    <row r="93" spans="1:43" x14ac:dyDescent="0.35">
      <c r="A93" s="25" t="s">
        <v>151</v>
      </c>
      <c r="B93" s="44" t="s">
        <v>821</v>
      </c>
      <c r="C93" s="58" t="s">
        <v>194</v>
      </c>
      <c r="D93" s="63" t="s">
        <v>507</v>
      </c>
      <c r="E93" s="66" t="s">
        <v>142</v>
      </c>
      <c r="F93" s="69" t="s">
        <v>143</v>
      </c>
      <c r="G93" s="70" t="s">
        <v>526</v>
      </c>
      <c r="H93" s="72">
        <v>4000</v>
      </c>
      <c r="I93" s="72">
        <v>3000</v>
      </c>
      <c r="J93" s="31"/>
      <c r="K93" s="74">
        <v>1.05</v>
      </c>
      <c r="L93" s="9">
        <f t="shared" si="114"/>
        <v>3150</v>
      </c>
      <c r="M93" s="9">
        <v>0</v>
      </c>
      <c r="N93" s="9">
        <f t="shared" si="115"/>
        <v>30</v>
      </c>
      <c r="O93" s="9">
        <f t="shared" si="116"/>
        <v>0</v>
      </c>
      <c r="P93" s="10">
        <f t="shared" si="117"/>
        <v>133.33333333333334</v>
      </c>
      <c r="Q93" s="10">
        <f t="shared" si="118"/>
        <v>105</v>
      </c>
      <c r="R93" s="10">
        <f t="shared" si="119"/>
        <v>238.33333333333334</v>
      </c>
      <c r="S93" s="10">
        <f t="shared" si="120"/>
        <v>16.666666666666668</v>
      </c>
      <c r="T93" s="9">
        <v>44</v>
      </c>
      <c r="U93" s="9">
        <f t="shared" si="121"/>
        <v>733.33333333333337</v>
      </c>
      <c r="V93" s="9">
        <v>0</v>
      </c>
      <c r="W93" s="16">
        <f t="shared" si="122"/>
        <v>7883.333333333333</v>
      </c>
      <c r="X93" s="30">
        <v>0</v>
      </c>
      <c r="Y93" s="30">
        <f t="shared" si="123"/>
        <v>0</v>
      </c>
      <c r="Z93" s="38">
        <v>6</v>
      </c>
      <c r="AA93" s="30">
        <f t="shared" si="124"/>
        <v>800</v>
      </c>
      <c r="AB93" s="30">
        <v>0</v>
      </c>
      <c r="AC93" s="30">
        <f t="shared" si="125"/>
        <v>0</v>
      </c>
      <c r="AD93" s="12">
        <f t="shared" si="126"/>
        <v>800</v>
      </c>
      <c r="AE93" s="4">
        <f t="shared" si="127"/>
        <v>7083.333333333333</v>
      </c>
      <c r="AF93" s="3"/>
      <c r="AG93" s="3">
        <f t="shared" si="128"/>
        <v>0</v>
      </c>
      <c r="AH93" s="1">
        <v>1666.6666666666667</v>
      </c>
      <c r="AI93" s="1">
        <f t="shared" si="129"/>
        <v>64999.999999999993</v>
      </c>
      <c r="AJ93" s="1">
        <f t="shared" si="130"/>
        <v>249.99999999999991</v>
      </c>
      <c r="AK93" s="3">
        <f t="shared" si="131"/>
        <v>3.5416666666666665</v>
      </c>
      <c r="AL93" s="4">
        <f t="shared" si="132"/>
        <v>6829.7916666666661</v>
      </c>
      <c r="AM93" s="3">
        <v>0</v>
      </c>
      <c r="AN93" s="4">
        <f t="shared" si="133"/>
        <v>6829.7916666666661</v>
      </c>
      <c r="AO93" s="1">
        <f t="shared" si="134"/>
        <v>0</v>
      </c>
      <c r="AP93" s="41">
        <v>10</v>
      </c>
      <c r="AQ93" s="54">
        <f t="shared" si="135"/>
        <v>7083.333333333333</v>
      </c>
    </row>
    <row r="94" spans="1:43" x14ac:dyDescent="0.35">
      <c r="A94" s="25" t="s">
        <v>151</v>
      </c>
      <c r="B94" s="44" t="s">
        <v>822</v>
      </c>
      <c r="C94" s="58" t="s">
        <v>178</v>
      </c>
      <c r="D94" s="63" t="s">
        <v>507</v>
      </c>
      <c r="E94" s="66" t="s">
        <v>114</v>
      </c>
      <c r="F94" s="69" t="s">
        <v>115</v>
      </c>
      <c r="G94" s="70" t="s">
        <v>526</v>
      </c>
      <c r="H94" s="72">
        <v>4000</v>
      </c>
      <c r="I94" s="72">
        <v>3000</v>
      </c>
      <c r="J94" s="31"/>
      <c r="K94" s="74">
        <v>1.05</v>
      </c>
      <c r="L94" s="9">
        <f t="shared" si="114"/>
        <v>3150</v>
      </c>
      <c r="M94" s="9">
        <v>0</v>
      </c>
      <c r="N94" s="9">
        <f t="shared" si="115"/>
        <v>19</v>
      </c>
      <c r="O94" s="9">
        <f t="shared" si="116"/>
        <v>0</v>
      </c>
      <c r="P94" s="10">
        <f t="shared" si="117"/>
        <v>133.33333333333334</v>
      </c>
      <c r="Q94" s="10">
        <f t="shared" si="118"/>
        <v>105</v>
      </c>
      <c r="R94" s="10">
        <f t="shared" si="119"/>
        <v>238.33333333333334</v>
      </c>
      <c r="S94" s="10">
        <f t="shared" si="120"/>
        <v>16.666666666666668</v>
      </c>
      <c r="T94" s="9">
        <v>28</v>
      </c>
      <c r="U94" s="9">
        <f t="shared" si="121"/>
        <v>466.66666666666669</v>
      </c>
      <c r="V94" s="9">
        <v>0</v>
      </c>
      <c r="W94" s="16">
        <f t="shared" si="122"/>
        <v>7616.666666666667</v>
      </c>
      <c r="X94" s="30">
        <v>11</v>
      </c>
      <c r="Y94" s="30">
        <f t="shared" si="123"/>
        <v>2621.666666666667</v>
      </c>
      <c r="Z94" s="38">
        <v>0</v>
      </c>
      <c r="AA94" s="30">
        <f t="shared" si="124"/>
        <v>0</v>
      </c>
      <c r="AB94" s="30">
        <v>0</v>
      </c>
      <c r="AC94" s="30">
        <f t="shared" si="125"/>
        <v>0</v>
      </c>
      <c r="AD94" s="12">
        <f t="shared" si="126"/>
        <v>2621.666666666667</v>
      </c>
      <c r="AE94" s="4">
        <f t="shared" si="127"/>
        <v>4995</v>
      </c>
      <c r="AF94" s="3"/>
      <c r="AG94" s="3">
        <f t="shared" si="128"/>
        <v>0</v>
      </c>
      <c r="AH94" s="1">
        <v>1666.6666666666667</v>
      </c>
      <c r="AI94" s="1">
        <f t="shared" si="129"/>
        <v>39940</v>
      </c>
      <c r="AJ94" s="1">
        <f t="shared" si="130"/>
        <v>0</v>
      </c>
      <c r="AK94" s="3">
        <f t="shared" si="131"/>
        <v>2.4975000000000001</v>
      </c>
      <c r="AL94" s="4">
        <f t="shared" si="132"/>
        <v>4992.5024999999996</v>
      </c>
      <c r="AM94" s="3">
        <v>0</v>
      </c>
      <c r="AN94" s="4">
        <f t="shared" si="133"/>
        <v>4992.5024999999996</v>
      </c>
      <c r="AO94" s="1">
        <f t="shared" si="134"/>
        <v>0</v>
      </c>
      <c r="AP94" s="41">
        <v>12</v>
      </c>
      <c r="AQ94" s="54">
        <f t="shared" si="135"/>
        <v>4995</v>
      </c>
    </row>
    <row r="95" spans="1:43" x14ac:dyDescent="0.35">
      <c r="A95" s="25" t="s">
        <v>151</v>
      </c>
      <c r="B95" s="44" t="s">
        <v>823</v>
      </c>
      <c r="C95" s="58" t="s">
        <v>644</v>
      </c>
      <c r="D95" s="63" t="s">
        <v>507</v>
      </c>
      <c r="E95" s="64" t="s">
        <v>518</v>
      </c>
      <c r="F95" s="69">
        <v>30010170103394</v>
      </c>
      <c r="G95" s="70" t="s">
        <v>526</v>
      </c>
      <c r="H95" s="72">
        <v>4000</v>
      </c>
      <c r="I95" s="72">
        <v>3000</v>
      </c>
      <c r="J95" s="31"/>
      <c r="K95" s="74">
        <v>1.05</v>
      </c>
      <c r="L95" s="9">
        <f t="shared" si="114"/>
        <v>3150</v>
      </c>
      <c r="M95" s="9">
        <v>0</v>
      </c>
      <c r="N95" s="9">
        <f t="shared" si="115"/>
        <v>19</v>
      </c>
      <c r="O95" s="9">
        <f t="shared" si="116"/>
        <v>0</v>
      </c>
      <c r="P95" s="10">
        <f t="shared" si="117"/>
        <v>133.33333333333334</v>
      </c>
      <c r="Q95" s="10">
        <f t="shared" si="118"/>
        <v>105</v>
      </c>
      <c r="R95" s="10">
        <f t="shared" si="119"/>
        <v>238.33333333333334</v>
      </c>
      <c r="S95" s="10">
        <f t="shared" si="120"/>
        <v>16.666666666666668</v>
      </c>
      <c r="T95" s="9">
        <v>28</v>
      </c>
      <c r="U95" s="9">
        <f t="shared" si="121"/>
        <v>466.66666666666669</v>
      </c>
      <c r="V95" s="9">
        <v>0</v>
      </c>
      <c r="W95" s="16">
        <f t="shared" si="122"/>
        <v>7616.666666666667</v>
      </c>
      <c r="X95" s="30">
        <v>11</v>
      </c>
      <c r="Y95" s="30">
        <f t="shared" si="123"/>
        <v>2621.666666666667</v>
      </c>
      <c r="Z95" s="38">
        <v>0</v>
      </c>
      <c r="AA95" s="30">
        <f t="shared" si="124"/>
        <v>0</v>
      </c>
      <c r="AB95" s="30">
        <v>0</v>
      </c>
      <c r="AC95" s="30">
        <f t="shared" si="125"/>
        <v>0</v>
      </c>
      <c r="AD95" s="12">
        <f t="shared" si="126"/>
        <v>2621.666666666667</v>
      </c>
      <c r="AE95" s="4">
        <f t="shared" si="127"/>
        <v>4995</v>
      </c>
      <c r="AF95" s="3"/>
      <c r="AG95" s="3">
        <f t="shared" si="128"/>
        <v>0</v>
      </c>
      <c r="AH95" s="1">
        <v>1666.6666666666667</v>
      </c>
      <c r="AI95" s="1">
        <f t="shared" si="129"/>
        <v>39940</v>
      </c>
      <c r="AJ95" s="1">
        <f t="shared" si="130"/>
        <v>0</v>
      </c>
      <c r="AK95" s="3">
        <f t="shared" si="131"/>
        <v>2.4975000000000001</v>
      </c>
      <c r="AL95" s="4">
        <f t="shared" si="132"/>
        <v>4992.5024999999996</v>
      </c>
      <c r="AM95" s="3">
        <v>0</v>
      </c>
      <c r="AN95" s="4">
        <f t="shared" si="133"/>
        <v>4992.5024999999996</v>
      </c>
      <c r="AO95" s="1">
        <f t="shared" si="134"/>
        <v>0</v>
      </c>
      <c r="AP95" s="41">
        <v>15</v>
      </c>
      <c r="AQ95" s="54">
        <f t="shared" si="135"/>
        <v>4995</v>
      </c>
    </row>
    <row r="96" spans="1:43" customFormat="1" x14ac:dyDescent="0.35">
      <c r="A96" s="25" t="s">
        <v>151</v>
      </c>
      <c r="B96" s="44" t="s">
        <v>824</v>
      </c>
      <c r="C96" s="62" t="s">
        <v>185</v>
      </c>
      <c r="D96" s="63" t="s">
        <v>507</v>
      </c>
      <c r="E96" s="66" t="s">
        <v>123</v>
      </c>
      <c r="F96" s="69" t="s">
        <v>124</v>
      </c>
      <c r="G96" s="70" t="s">
        <v>526</v>
      </c>
      <c r="H96" s="72">
        <v>4000</v>
      </c>
      <c r="I96" s="72">
        <v>3000</v>
      </c>
      <c r="J96" s="31"/>
      <c r="K96" s="74">
        <v>1.05</v>
      </c>
      <c r="L96" s="9">
        <f t="shared" si="114"/>
        <v>3150</v>
      </c>
      <c r="M96" s="9">
        <v>0</v>
      </c>
      <c r="N96" s="9">
        <f t="shared" si="115"/>
        <v>7</v>
      </c>
      <c r="O96" s="9">
        <f t="shared" si="116"/>
        <v>0</v>
      </c>
      <c r="P96" s="10">
        <f t="shared" si="117"/>
        <v>133.33333333333334</v>
      </c>
      <c r="Q96" s="10">
        <f t="shared" si="118"/>
        <v>105</v>
      </c>
      <c r="R96" s="10">
        <f t="shared" si="119"/>
        <v>238.33333333333334</v>
      </c>
      <c r="S96" s="10">
        <f t="shared" si="120"/>
        <v>16.666666666666668</v>
      </c>
      <c r="T96" s="9">
        <v>12</v>
      </c>
      <c r="U96" s="9">
        <f t="shared" si="121"/>
        <v>200</v>
      </c>
      <c r="V96" s="9">
        <v>0</v>
      </c>
      <c r="W96" s="16">
        <f t="shared" si="122"/>
        <v>7350</v>
      </c>
      <c r="X96" s="30">
        <v>23</v>
      </c>
      <c r="Y96" s="30">
        <f t="shared" si="123"/>
        <v>5481.666666666667</v>
      </c>
      <c r="Z96" s="38">
        <v>0</v>
      </c>
      <c r="AA96" s="30">
        <f t="shared" si="124"/>
        <v>0</v>
      </c>
      <c r="AB96" s="30">
        <v>0</v>
      </c>
      <c r="AC96" s="30">
        <f t="shared" si="125"/>
        <v>0</v>
      </c>
      <c r="AD96" s="12">
        <f t="shared" si="126"/>
        <v>5481.666666666667</v>
      </c>
      <c r="AE96" s="4">
        <f t="shared" si="127"/>
        <v>1868.333333333333</v>
      </c>
      <c r="AF96" s="3"/>
      <c r="AG96" s="3">
        <f t="shared" si="128"/>
        <v>0</v>
      </c>
      <c r="AH96" s="1">
        <v>1666.6666666666667</v>
      </c>
      <c r="AI96" s="1">
        <f t="shared" si="129"/>
        <v>2419.9999999999955</v>
      </c>
      <c r="AJ96" s="1">
        <f t="shared" si="130"/>
        <v>0</v>
      </c>
      <c r="AK96" s="3">
        <f t="shared" si="131"/>
        <v>0.93416666666666659</v>
      </c>
      <c r="AL96" s="4">
        <f t="shared" si="132"/>
        <v>1867.3991666666664</v>
      </c>
      <c r="AM96" s="3">
        <v>0</v>
      </c>
      <c r="AN96" s="4">
        <f t="shared" si="133"/>
        <v>1867.3991666666664</v>
      </c>
      <c r="AO96" s="1">
        <f t="shared" si="134"/>
        <v>0</v>
      </c>
      <c r="AP96" s="41">
        <v>12</v>
      </c>
      <c r="AQ96" s="54">
        <f t="shared" ref="AQ96" si="136">AE96+AO96</f>
        <v>1868.333333333333</v>
      </c>
    </row>
    <row r="97" spans="1:43" customFormat="1" x14ac:dyDescent="0.35">
      <c r="A97" s="25" t="s">
        <v>151</v>
      </c>
      <c r="B97" s="44" t="s">
        <v>825</v>
      </c>
      <c r="C97" s="62" t="s">
        <v>173</v>
      </c>
      <c r="D97" s="63" t="s">
        <v>507</v>
      </c>
      <c r="E97" s="64" t="s">
        <v>100</v>
      </c>
      <c r="F97" s="69" t="s">
        <v>101</v>
      </c>
      <c r="G97" s="70" t="s">
        <v>526</v>
      </c>
      <c r="H97" s="72">
        <v>4000</v>
      </c>
      <c r="I97" s="72">
        <v>3000</v>
      </c>
      <c r="J97" s="31"/>
      <c r="K97" s="74">
        <v>1.05</v>
      </c>
      <c r="L97" s="9">
        <f t="shared" si="114"/>
        <v>3150</v>
      </c>
      <c r="M97" s="9">
        <v>0</v>
      </c>
      <c r="N97" s="9">
        <f t="shared" si="115"/>
        <v>7</v>
      </c>
      <c r="O97" s="9">
        <f t="shared" si="116"/>
        <v>0</v>
      </c>
      <c r="P97" s="10">
        <f t="shared" si="117"/>
        <v>133.33333333333334</v>
      </c>
      <c r="Q97" s="10">
        <f t="shared" si="118"/>
        <v>105</v>
      </c>
      <c r="R97" s="10">
        <f t="shared" si="119"/>
        <v>238.33333333333334</v>
      </c>
      <c r="S97" s="10">
        <f t="shared" si="120"/>
        <v>16.666666666666668</v>
      </c>
      <c r="T97" s="9">
        <v>12</v>
      </c>
      <c r="U97" s="9">
        <f t="shared" si="121"/>
        <v>200</v>
      </c>
      <c r="V97" s="9">
        <v>0</v>
      </c>
      <c r="W97" s="16">
        <f t="shared" si="122"/>
        <v>7350</v>
      </c>
      <c r="X97" s="30">
        <v>23</v>
      </c>
      <c r="Y97" s="30">
        <f t="shared" si="123"/>
        <v>5481.666666666667</v>
      </c>
      <c r="Z97" s="38">
        <v>0</v>
      </c>
      <c r="AA97" s="30">
        <f t="shared" si="124"/>
        <v>0</v>
      </c>
      <c r="AB97" s="30">
        <v>0</v>
      </c>
      <c r="AC97" s="30">
        <f t="shared" si="125"/>
        <v>0</v>
      </c>
      <c r="AD97" s="12">
        <f t="shared" si="126"/>
        <v>5481.666666666667</v>
      </c>
      <c r="AE97" s="4">
        <f t="shared" si="127"/>
        <v>1868.333333333333</v>
      </c>
      <c r="AF97" s="3"/>
      <c r="AG97" s="3">
        <f t="shared" si="128"/>
        <v>0</v>
      </c>
      <c r="AH97" s="1">
        <v>1666.6666666666667</v>
      </c>
      <c r="AI97" s="1">
        <f t="shared" si="129"/>
        <v>2419.9999999999955</v>
      </c>
      <c r="AJ97" s="1">
        <f t="shared" si="130"/>
        <v>0</v>
      </c>
      <c r="AK97" s="3">
        <f t="shared" si="131"/>
        <v>0.93416666666666659</v>
      </c>
      <c r="AL97" s="4">
        <f t="shared" si="132"/>
        <v>1867.3991666666664</v>
      </c>
      <c r="AM97" s="3">
        <v>0</v>
      </c>
      <c r="AN97" s="4">
        <f t="shared" si="133"/>
        <v>1867.3991666666664</v>
      </c>
      <c r="AO97" s="1">
        <f t="shared" si="134"/>
        <v>0</v>
      </c>
      <c r="AP97" s="41">
        <v>11</v>
      </c>
      <c r="AQ97" s="54">
        <f>AE97+AO97</f>
        <v>1868.333333333333</v>
      </c>
    </row>
    <row r="98" spans="1:43" customFormat="1" x14ac:dyDescent="0.35">
      <c r="A98" s="25" t="s">
        <v>151</v>
      </c>
      <c r="B98" s="44" t="s">
        <v>826</v>
      </c>
      <c r="C98" s="62" t="s">
        <v>776</v>
      </c>
      <c r="D98" s="60" t="s">
        <v>259</v>
      </c>
      <c r="E98" s="64" t="s">
        <v>736</v>
      </c>
      <c r="F98" s="69">
        <v>30506121201172</v>
      </c>
      <c r="G98" s="70" t="s">
        <v>526</v>
      </c>
      <c r="H98" s="72">
        <v>4000</v>
      </c>
      <c r="I98" s="72">
        <v>3000</v>
      </c>
      <c r="J98" s="31"/>
      <c r="K98" s="74">
        <v>1.05</v>
      </c>
      <c r="L98" s="9">
        <f t="shared" ref="L98" si="137">+I98*K98</f>
        <v>3150</v>
      </c>
      <c r="M98" s="9">
        <v>0</v>
      </c>
      <c r="N98" s="9">
        <f t="shared" ref="N98" si="138">30-X98</f>
        <v>6</v>
      </c>
      <c r="O98" s="9">
        <f t="shared" ref="O98" si="139">M98*N98</f>
        <v>0</v>
      </c>
      <c r="P98" s="10">
        <f t="shared" ref="P98" si="140">H98/30</f>
        <v>133.33333333333334</v>
      </c>
      <c r="Q98" s="10">
        <f t="shared" ref="Q98" si="141">L98/30</f>
        <v>105</v>
      </c>
      <c r="R98" s="10">
        <f t="shared" ref="R98" si="142">Q98+P98</f>
        <v>238.33333333333334</v>
      </c>
      <c r="S98" s="10">
        <f t="shared" ref="S98" si="143">+P98/8</f>
        <v>16.666666666666668</v>
      </c>
      <c r="T98" s="9">
        <v>12</v>
      </c>
      <c r="U98" s="9">
        <f t="shared" ref="U98" si="144">+S98*T98</f>
        <v>200</v>
      </c>
      <c r="V98" s="9">
        <v>0</v>
      </c>
      <c r="W98" s="16">
        <f t="shared" ref="W98" si="145">H98+L98+O98+U98+V98+J98</f>
        <v>7350</v>
      </c>
      <c r="X98" s="30">
        <v>24</v>
      </c>
      <c r="Y98" s="30">
        <f t="shared" ref="Y98" si="146">R98*X98</f>
        <v>5720</v>
      </c>
      <c r="Z98" s="38">
        <v>0</v>
      </c>
      <c r="AA98" s="30">
        <f t="shared" ref="AA98" si="147">P98*Z98</f>
        <v>0</v>
      </c>
      <c r="AB98" s="30">
        <v>0</v>
      </c>
      <c r="AC98" s="30">
        <f t="shared" ref="AC98" si="148">Q98*AB98</f>
        <v>0</v>
      </c>
      <c r="AD98" s="12">
        <f t="shared" ref="AD98" si="149">Y98+AA98+AC98</f>
        <v>5720</v>
      </c>
      <c r="AE98" s="4">
        <f t="shared" ref="AE98" si="150">W98-AD98</f>
        <v>1630</v>
      </c>
      <c r="AF98" s="3"/>
      <c r="AG98" s="3">
        <f t="shared" si="128"/>
        <v>0</v>
      </c>
      <c r="AH98" s="1">
        <v>1666.6666666666667</v>
      </c>
      <c r="AI98" s="1">
        <f t="shared" si="129"/>
        <v>-440.00000000000091</v>
      </c>
      <c r="AJ98" s="1">
        <f t="shared" si="130"/>
        <v>0</v>
      </c>
      <c r="AK98" s="3">
        <f t="shared" si="131"/>
        <v>0.81500000000000006</v>
      </c>
      <c r="AL98" s="4">
        <f t="shared" ref="AL98" si="151">+AE98-AG98-AJ98-AK98</f>
        <v>1629.1849999999999</v>
      </c>
      <c r="AM98" s="3">
        <v>0</v>
      </c>
      <c r="AN98" s="4">
        <f t="shared" ref="AN98" si="152">+AL98-AM98</f>
        <v>1629.1849999999999</v>
      </c>
      <c r="AO98" s="1">
        <f t="shared" si="134"/>
        <v>0</v>
      </c>
      <c r="AP98" s="41">
        <v>16</v>
      </c>
      <c r="AQ98" s="54">
        <f t="shared" ref="AQ98" si="153">AE98+AO98</f>
        <v>1630</v>
      </c>
    </row>
    <row r="99" spans="1:43" customFormat="1" x14ac:dyDescent="0.35">
      <c r="A99" s="25" t="s">
        <v>151</v>
      </c>
      <c r="B99" s="44" t="s">
        <v>827</v>
      </c>
      <c r="C99" s="62" t="s">
        <v>792</v>
      </c>
      <c r="D99" s="60" t="s">
        <v>259</v>
      </c>
      <c r="E99" s="64" t="s">
        <v>753</v>
      </c>
      <c r="F99" s="69">
        <v>30403170102012</v>
      </c>
      <c r="G99" s="70" t="s">
        <v>526</v>
      </c>
      <c r="H99" s="72">
        <v>4000</v>
      </c>
      <c r="I99" s="72">
        <v>3000</v>
      </c>
      <c r="J99" s="31"/>
      <c r="K99" s="74">
        <v>1.05</v>
      </c>
      <c r="L99" s="9">
        <f t="shared" ref="L99:L104" si="154">+I99*K99</f>
        <v>3150</v>
      </c>
      <c r="M99" s="9">
        <v>0</v>
      </c>
      <c r="N99" s="9">
        <f t="shared" ref="N99:N104" si="155">30-X99</f>
        <v>1</v>
      </c>
      <c r="O99" s="9">
        <f t="shared" ref="O99:O104" si="156">M99*N99</f>
        <v>0</v>
      </c>
      <c r="P99" s="10">
        <f t="shared" ref="P99:P104" si="157">H99/30</f>
        <v>133.33333333333334</v>
      </c>
      <c r="Q99" s="10">
        <f t="shared" ref="Q99:Q104" si="158">L99/30</f>
        <v>105</v>
      </c>
      <c r="R99" s="10">
        <f t="shared" ref="R99:R104" si="159">Q99+P99</f>
        <v>238.33333333333334</v>
      </c>
      <c r="S99" s="10">
        <f t="shared" ref="S99:S104" si="160">+P99/8</f>
        <v>16.666666666666668</v>
      </c>
      <c r="T99" s="9">
        <v>0</v>
      </c>
      <c r="U99" s="9">
        <f t="shared" ref="U99:U104" si="161">+S99*T99</f>
        <v>0</v>
      </c>
      <c r="V99" s="9">
        <v>0</v>
      </c>
      <c r="W99" s="16">
        <f t="shared" ref="W99:W104" si="162">H99+L99+O99+U99+V99+J99</f>
        <v>7150</v>
      </c>
      <c r="X99" s="30">
        <v>29</v>
      </c>
      <c r="Y99" s="30">
        <f t="shared" ref="Y99:Y104" si="163">R99*X99</f>
        <v>6911.666666666667</v>
      </c>
      <c r="Z99" s="38">
        <v>0</v>
      </c>
      <c r="AA99" s="30">
        <f t="shared" ref="AA99:AA104" si="164">P99*Z99</f>
        <v>0</v>
      </c>
      <c r="AB99" s="30">
        <v>0</v>
      </c>
      <c r="AC99" s="30">
        <f t="shared" ref="AC99:AC104" si="165">Q99*AB99</f>
        <v>0</v>
      </c>
      <c r="AD99" s="12">
        <f t="shared" ref="AD99:AD104" si="166">Y99+AA99+AC99</f>
        <v>6911.666666666667</v>
      </c>
      <c r="AE99" s="4">
        <f t="shared" ref="AE99:AE104" si="167">W99-AD99</f>
        <v>238.33333333333303</v>
      </c>
      <c r="AF99" s="3"/>
      <c r="AG99" s="3">
        <f t="shared" si="128"/>
        <v>0</v>
      </c>
      <c r="AH99" s="1">
        <v>1666.6666666666667</v>
      </c>
      <c r="AI99" s="1">
        <f t="shared" si="129"/>
        <v>-17140.000000000004</v>
      </c>
      <c r="AJ99" s="1">
        <f t="shared" si="130"/>
        <v>0</v>
      </c>
      <c r="AK99" s="3">
        <f t="shared" si="131"/>
        <v>0.11916666666666652</v>
      </c>
      <c r="AL99" s="4">
        <f t="shared" ref="AL99:AL104" si="168">+AE99-AG99-AJ99-AK99</f>
        <v>238.21416666666636</v>
      </c>
      <c r="AM99" s="3">
        <v>0</v>
      </c>
      <c r="AN99" s="4">
        <f t="shared" ref="AN99:AN104" si="169">+AL99-AM99</f>
        <v>238.21416666666636</v>
      </c>
      <c r="AO99" s="1">
        <f t="shared" si="134"/>
        <v>0</v>
      </c>
      <c r="AP99" s="41">
        <v>21</v>
      </c>
      <c r="AQ99" s="54">
        <f t="shared" ref="AQ99:AQ104" si="170">AE99+AO99</f>
        <v>238.33333333333303</v>
      </c>
    </row>
    <row r="100" spans="1:43" customFormat="1" x14ac:dyDescent="0.35">
      <c r="A100" s="25" t="s">
        <v>151</v>
      </c>
      <c r="B100" s="44" t="s">
        <v>828</v>
      </c>
      <c r="C100" s="62" t="s">
        <v>794</v>
      </c>
      <c r="D100" s="60" t="s">
        <v>259</v>
      </c>
      <c r="E100" s="64" t="s">
        <v>757</v>
      </c>
      <c r="F100" s="69">
        <v>30307240104558</v>
      </c>
      <c r="G100" s="70" t="s">
        <v>526</v>
      </c>
      <c r="H100" s="72">
        <v>4000</v>
      </c>
      <c r="I100" s="72">
        <v>3000</v>
      </c>
      <c r="J100" s="31"/>
      <c r="K100" s="74">
        <v>1.05</v>
      </c>
      <c r="L100" s="9">
        <f t="shared" si="154"/>
        <v>3150</v>
      </c>
      <c r="M100" s="9">
        <v>0</v>
      </c>
      <c r="N100" s="9">
        <f t="shared" si="155"/>
        <v>3</v>
      </c>
      <c r="O100" s="9">
        <f t="shared" si="156"/>
        <v>0</v>
      </c>
      <c r="P100" s="10">
        <f t="shared" si="157"/>
        <v>133.33333333333334</v>
      </c>
      <c r="Q100" s="10">
        <f t="shared" si="158"/>
        <v>105</v>
      </c>
      <c r="R100" s="10">
        <f t="shared" si="159"/>
        <v>238.33333333333334</v>
      </c>
      <c r="S100" s="10">
        <f t="shared" si="160"/>
        <v>16.666666666666668</v>
      </c>
      <c r="T100" s="9">
        <v>0</v>
      </c>
      <c r="U100" s="9">
        <f t="shared" si="161"/>
        <v>0</v>
      </c>
      <c r="V100" s="9">
        <v>0</v>
      </c>
      <c r="W100" s="16">
        <f t="shared" si="162"/>
        <v>7150</v>
      </c>
      <c r="X100" s="30">
        <v>27</v>
      </c>
      <c r="Y100" s="30">
        <f t="shared" si="163"/>
        <v>6435</v>
      </c>
      <c r="Z100" s="38">
        <v>0</v>
      </c>
      <c r="AA100" s="30">
        <f t="shared" si="164"/>
        <v>0</v>
      </c>
      <c r="AB100" s="30">
        <v>0</v>
      </c>
      <c r="AC100" s="30">
        <f t="shared" si="165"/>
        <v>0</v>
      </c>
      <c r="AD100" s="12">
        <f t="shared" si="166"/>
        <v>6435</v>
      </c>
      <c r="AE100" s="4">
        <f t="shared" si="167"/>
        <v>715</v>
      </c>
      <c r="AF100" s="3"/>
      <c r="AG100" s="3">
        <f t="shared" si="128"/>
        <v>0</v>
      </c>
      <c r="AH100" s="1">
        <v>1666.6666666666667</v>
      </c>
      <c r="AI100" s="1">
        <f t="shared" si="129"/>
        <v>-11420</v>
      </c>
      <c r="AJ100" s="1">
        <f t="shared" si="130"/>
        <v>0</v>
      </c>
      <c r="AK100" s="3">
        <f t="shared" si="131"/>
        <v>0.35749999999999998</v>
      </c>
      <c r="AL100" s="4">
        <f t="shared" si="168"/>
        <v>714.64250000000004</v>
      </c>
      <c r="AM100" s="3">
        <v>0</v>
      </c>
      <c r="AN100" s="4">
        <f t="shared" si="169"/>
        <v>714.64250000000004</v>
      </c>
      <c r="AO100" s="1">
        <f t="shared" si="134"/>
        <v>0</v>
      </c>
      <c r="AP100" s="41">
        <v>21</v>
      </c>
      <c r="AQ100" s="54">
        <f t="shared" si="170"/>
        <v>715</v>
      </c>
    </row>
    <row r="101" spans="1:43" customFormat="1" x14ac:dyDescent="0.35">
      <c r="A101" s="25" t="s">
        <v>151</v>
      </c>
      <c r="B101" s="44" t="s">
        <v>829</v>
      </c>
      <c r="C101" s="62" t="s">
        <v>799</v>
      </c>
      <c r="D101" s="60" t="s">
        <v>259</v>
      </c>
      <c r="E101" s="64" t="s">
        <v>762</v>
      </c>
      <c r="F101" s="69">
        <v>30602071400934</v>
      </c>
      <c r="G101" s="70" t="s">
        <v>526</v>
      </c>
      <c r="H101" s="72">
        <v>4000</v>
      </c>
      <c r="I101" s="72">
        <v>3000</v>
      </c>
      <c r="J101" s="31"/>
      <c r="K101" s="74">
        <v>1.05</v>
      </c>
      <c r="L101" s="9">
        <f t="shared" si="154"/>
        <v>3150</v>
      </c>
      <c r="M101" s="9">
        <v>0</v>
      </c>
      <c r="N101" s="9">
        <f t="shared" si="155"/>
        <v>2</v>
      </c>
      <c r="O101" s="9">
        <f t="shared" si="156"/>
        <v>0</v>
      </c>
      <c r="P101" s="10">
        <f t="shared" si="157"/>
        <v>133.33333333333334</v>
      </c>
      <c r="Q101" s="10">
        <f t="shared" si="158"/>
        <v>105</v>
      </c>
      <c r="R101" s="10">
        <f t="shared" si="159"/>
        <v>238.33333333333334</v>
      </c>
      <c r="S101" s="10">
        <f t="shared" si="160"/>
        <v>16.666666666666668</v>
      </c>
      <c r="T101" s="9">
        <v>0</v>
      </c>
      <c r="U101" s="9">
        <f t="shared" si="161"/>
        <v>0</v>
      </c>
      <c r="V101" s="9">
        <v>0</v>
      </c>
      <c r="W101" s="16">
        <f t="shared" si="162"/>
        <v>7150</v>
      </c>
      <c r="X101" s="30">
        <v>28</v>
      </c>
      <c r="Y101" s="30">
        <f t="shared" si="163"/>
        <v>6673.3333333333339</v>
      </c>
      <c r="Z101" s="38">
        <v>0</v>
      </c>
      <c r="AA101" s="30">
        <f t="shared" si="164"/>
        <v>0</v>
      </c>
      <c r="AB101" s="30">
        <v>0</v>
      </c>
      <c r="AC101" s="30">
        <f t="shared" si="165"/>
        <v>0</v>
      </c>
      <c r="AD101" s="12">
        <f t="shared" si="166"/>
        <v>6673.3333333333339</v>
      </c>
      <c r="AE101" s="4">
        <f t="shared" si="167"/>
        <v>476.66666666666606</v>
      </c>
      <c r="AF101" s="3"/>
      <c r="AG101" s="3">
        <f t="shared" si="128"/>
        <v>0</v>
      </c>
      <c r="AH101" s="1">
        <v>1666.6666666666667</v>
      </c>
      <c r="AI101" s="1">
        <f t="shared" si="129"/>
        <v>-14280.000000000007</v>
      </c>
      <c r="AJ101" s="1">
        <f t="shared" si="130"/>
        <v>0</v>
      </c>
      <c r="AK101" s="3">
        <f t="shared" si="131"/>
        <v>0.23833333333333304</v>
      </c>
      <c r="AL101" s="4">
        <f t="shared" si="168"/>
        <v>476.42833333333272</v>
      </c>
      <c r="AM101" s="3">
        <v>0</v>
      </c>
      <c r="AN101" s="4">
        <f t="shared" si="169"/>
        <v>476.42833333333272</v>
      </c>
      <c r="AO101" s="1">
        <f t="shared" si="134"/>
        <v>0</v>
      </c>
      <c r="AP101" s="41">
        <v>21</v>
      </c>
      <c r="AQ101" s="54">
        <f t="shared" si="170"/>
        <v>476.66666666666606</v>
      </c>
    </row>
    <row r="102" spans="1:43" customFormat="1" x14ac:dyDescent="0.35">
      <c r="A102" s="25" t="s">
        <v>151</v>
      </c>
      <c r="B102" s="44" t="s">
        <v>830</v>
      </c>
      <c r="C102" s="62" t="s">
        <v>796</v>
      </c>
      <c r="D102" s="60" t="s">
        <v>259</v>
      </c>
      <c r="E102" s="64" t="s">
        <v>763</v>
      </c>
      <c r="F102" s="69">
        <v>30509010109137</v>
      </c>
      <c r="G102" s="70" t="s">
        <v>526</v>
      </c>
      <c r="H102" s="72">
        <v>4000</v>
      </c>
      <c r="I102" s="72">
        <v>3000</v>
      </c>
      <c r="J102" s="31"/>
      <c r="K102" s="74">
        <v>1.05</v>
      </c>
      <c r="L102" s="9">
        <f t="shared" si="154"/>
        <v>3150</v>
      </c>
      <c r="M102" s="9">
        <v>0</v>
      </c>
      <c r="N102" s="9">
        <f t="shared" si="155"/>
        <v>2</v>
      </c>
      <c r="O102" s="9">
        <f t="shared" si="156"/>
        <v>0</v>
      </c>
      <c r="P102" s="10">
        <f t="shared" si="157"/>
        <v>133.33333333333334</v>
      </c>
      <c r="Q102" s="10">
        <f t="shared" si="158"/>
        <v>105</v>
      </c>
      <c r="R102" s="10">
        <f t="shared" si="159"/>
        <v>238.33333333333334</v>
      </c>
      <c r="S102" s="10">
        <f t="shared" si="160"/>
        <v>16.666666666666668</v>
      </c>
      <c r="T102" s="9">
        <v>0</v>
      </c>
      <c r="U102" s="9">
        <f t="shared" si="161"/>
        <v>0</v>
      </c>
      <c r="V102" s="9">
        <v>0</v>
      </c>
      <c r="W102" s="16">
        <f t="shared" si="162"/>
        <v>7150</v>
      </c>
      <c r="X102" s="30">
        <v>28</v>
      </c>
      <c r="Y102" s="30">
        <f t="shared" si="163"/>
        <v>6673.3333333333339</v>
      </c>
      <c r="Z102" s="38">
        <v>0</v>
      </c>
      <c r="AA102" s="30">
        <f t="shared" si="164"/>
        <v>0</v>
      </c>
      <c r="AB102" s="30">
        <v>0</v>
      </c>
      <c r="AC102" s="30">
        <f t="shared" si="165"/>
        <v>0</v>
      </c>
      <c r="AD102" s="12">
        <f t="shared" si="166"/>
        <v>6673.3333333333339</v>
      </c>
      <c r="AE102" s="4">
        <f t="shared" si="167"/>
        <v>476.66666666666606</v>
      </c>
      <c r="AF102" s="3"/>
      <c r="AG102" s="3">
        <f t="shared" si="128"/>
        <v>0</v>
      </c>
      <c r="AH102" s="1">
        <v>1666.6666666666667</v>
      </c>
      <c r="AI102" s="1">
        <f t="shared" si="129"/>
        <v>-14280.000000000007</v>
      </c>
      <c r="AJ102" s="1">
        <f t="shared" si="130"/>
        <v>0</v>
      </c>
      <c r="AK102" s="3">
        <f t="shared" si="131"/>
        <v>0.23833333333333304</v>
      </c>
      <c r="AL102" s="4">
        <f t="shared" si="168"/>
        <v>476.42833333333272</v>
      </c>
      <c r="AM102" s="3">
        <v>0</v>
      </c>
      <c r="AN102" s="4">
        <f t="shared" si="169"/>
        <v>476.42833333333272</v>
      </c>
      <c r="AO102" s="1">
        <f t="shared" si="134"/>
        <v>0</v>
      </c>
      <c r="AP102" s="41">
        <v>21</v>
      </c>
      <c r="AQ102" s="54">
        <f t="shared" si="170"/>
        <v>476.66666666666606</v>
      </c>
    </row>
    <row r="103" spans="1:43" customFormat="1" x14ac:dyDescent="0.35">
      <c r="A103" s="25" t="s">
        <v>151</v>
      </c>
      <c r="B103" s="44" t="s">
        <v>831</v>
      </c>
      <c r="C103" s="62" t="s">
        <v>801</v>
      </c>
      <c r="D103" s="60" t="s">
        <v>259</v>
      </c>
      <c r="E103" s="64" t="s">
        <v>765</v>
      </c>
      <c r="F103" s="69">
        <v>30501212100033</v>
      </c>
      <c r="G103" s="70" t="s">
        <v>526</v>
      </c>
      <c r="H103" s="72">
        <v>4000</v>
      </c>
      <c r="I103" s="72">
        <v>3000</v>
      </c>
      <c r="J103" s="31"/>
      <c r="K103" s="74">
        <v>1.05</v>
      </c>
      <c r="L103" s="9">
        <f t="shared" si="154"/>
        <v>3150</v>
      </c>
      <c r="M103" s="9">
        <v>0</v>
      </c>
      <c r="N103" s="9">
        <f t="shared" si="155"/>
        <v>2</v>
      </c>
      <c r="O103" s="9">
        <f t="shared" si="156"/>
        <v>0</v>
      </c>
      <c r="P103" s="10">
        <f t="shared" si="157"/>
        <v>133.33333333333334</v>
      </c>
      <c r="Q103" s="10">
        <f t="shared" si="158"/>
        <v>105</v>
      </c>
      <c r="R103" s="10">
        <f t="shared" si="159"/>
        <v>238.33333333333334</v>
      </c>
      <c r="S103" s="10">
        <f t="shared" si="160"/>
        <v>16.666666666666668</v>
      </c>
      <c r="T103" s="9">
        <v>0</v>
      </c>
      <c r="U103" s="9">
        <f t="shared" si="161"/>
        <v>0</v>
      </c>
      <c r="V103" s="9">
        <v>0</v>
      </c>
      <c r="W103" s="16">
        <f t="shared" si="162"/>
        <v>7150</v>
      </c>
      <c r="X103" s="30">
        <v>28</v>
      </c>
      <c r="Y103" s="30">
        <f t="shared" si="163"/>
        <v>6673.3333333333339</v>
      </c>
      <c r="Z103" s="38">
        <v>0</v>
      </c>
      <c r="AA103" s="30">
        <f t="shared" si="164"/>
        <v>0</v>
      </c>
      <c r="AB103" s="30">
        <v>0</v>
      </c>
      <c r="AC103" s="30">
        <f t="shared" si="165"/>
        <v>0</v>
      </c>
      <c r="AD103" s="12">
        <f t="shared" si="166"/>
        <v>6673.3333333333339</v>
      </c>
      <c r="AE103" s="4">
        <f t="shared" si="167"/>
        <v>476.66666666666606</v>
      </c>
      <c r="AF103" s="3"/>
      <c r="AG103" s="3">
        <f t="shared" si="128"/>
        <v>0</v>
      </c>
      <c r="AH103" s="1">
        <v>1666.6666666666667</v>
      </c>
      <c r="AI103" s="1">
        <f t="shared" si="129"/>
        <v>-14280.000000000007</v>
      </c>
      <c r="AJ103" s="1">
        <f t="shared" si="130"/>
        <v>0</v>
      </c>
      <c r="AK103" s="3">
        <f t="shared" si="131"/>
        <v>0.23833333333333304</v>
      </c>
      <c r="AL103" s="4">
        <f t="shared" si="168"/>
        <v>476.42833333333272</v>
      </c>
      <c r="AM103" s="3">
        <v>0</v>
      </c>
      <c r="AN103" s="4">
        <f t="shared" si="169"/>
        <v>476.42833333333272</v>
      </c>
      <c r="AO103" s="1">
        <f t="shared" si="134"/>
        <v>0</v>
      </c>
      <c r="AP103" s="41">
        <v>21</v>
      </c>
      <c r="AQ103" s="54">
        <f t="shared" si="170"/>
        <v>476.66666666666606</v>
      </c>
    </row>
    <row r="104" spans="1:43" customFormat="1" x14ac:dyDescent="0.35">
      <c r="A104" s="25" t="s">
        <v>151</v>
      </c>
      <c r="B104" s="44" t="s">
        <v>832</v>
      </c>
      <c r="C104" s="62" t="s">
        <v>803</v>
      </c>
      <c r="D104" s="60" t="s">
        <v>259</v>
      </c>
      <c r="E104" s="64" t="s">
        <v>767</v>
      </c>
      <c r="F104" s="69">
        <v>30408302100733</v>
      </c>
      <c r="G104" s="70" t="s">
        <v>526</v>
      </c>
      <c r="H104" s="72">
        <v>4000</v>
      </c>
      <c r="I104" s="72">
        <v>3000</v>
      </c>
      <c r="J104" s="31"/>
      <c r="K104" s="74">
        <v>1.05</v>
      </c>
      <c r="L104" s="9">
        <f t="shared" si="154"/>
        <v>3150</v>
      </c>
      <c r="M104" s="9">
        <v>0</v>
      </c>
      <c r="N104" s="9">
        <f t="shared" si="155"/>
        <v>2</v>
      </c>
      <c r="O104" s="9">
        <f t="shared" si="156"/>
        <v>0</v>
      </c>
      <c r="P104" s="10">
        <f t="shared" si="157"/>
        <v>133.33333333333334</v>
      </c>
      <c r="Q104" s="10">
        <f t="shared" si="158"/>
        <v>105</v>
      </c>
      <c r="R104" s="10">
        <f t="shared" si="159"/>
        <v>238.33333333333334</v>
      </c>
      <c r="S104" s="10">
        <f t="shared" si="160"/>
        <v>16.666666666666668</v>
      </c>
      <c r="T104" s="9">
        <v>0</v>
      </c>
      <c r="U104" s="9">
        <f t="shared" si="161"/>
        <v>0</v>
      </c>
      <c r="V104" s="9">
        <v>0</v>
      </c>
      <c r="W104" s="16">
        <f t="shared" si="162"/>
        <v>7150</v>
      </c>
      <c r="X104" s="30">
        <v>28</v>
      </c>
      <c r="Y104" s="30">
        <f t="shared" si="163"/>
        <v>6673.3333333333339</v>
      </c>
      <c r="Z104" s="38">
        <v>0</v>
      </c>
      <c r="AA104" s="30">
        <f t="shared" si="164"/>
        <v>0</v>
      </c>
      <c r="AB104" s="30">
        <v>0</v>
      </c>
      <c r="AC104" s="30">
        <f t="shared" si="165"/>
        <v>0</v>
      </c>
      <c r="AD104" s="12">
        <f t="shared" si="166"/>
        <v>6673.3333333333339</v>
      </c>
      <c r="AE104" s="4">
        <f t="shared" si="167"/>
        <v>476.66666666666606</v>
      </c>
      <c r="AF104" s="3"/>
      <c r="AG104" s="3">
        <f t="shared" si="128"/>
        <v>0</v>
      </c>
      <c r="AH104" s="1">
        <v>1666.6666666666667</v>
      </c>
      <c r="AI104" s="1">
        <f t="shared" si="129"/>
        <v>-14280.000000000007</v>
      </c>
      <c r="AJ104" s="1">
        <f t="shared" si="130"/>
        <v>0</v>
      </c>
      <c r="AK104" s="3">
        <f t="shared" si="131"/>
        <v>0.23833333333333304</v>
      </c>
      <c r="AL104" s="4">
        <f t="shared" si="168"/>
        <v>476.42833333333272</v>
      </c>
      <c r="AM104" s="3">
        <v>0</v>
      </c>
      <c r="AN104" s="4">
        <f t="shared" si="169"/>
        <v>476.42833333333272</v>
      </c>
      <c r="AO104" s="1">
        <f t="shared" si="134"/>
        <v>0</v>
      </c>
      <c r="AP104" s="41">
        <v>21</v>
      </c>
      <c r="AQ104" s="54">
        <f t="shared" si="170"/>
        <v>476.66666666666606</v>
      </c>
    </row>
    <row r="105" spans="1:43" ht="19" thickBot="1" x14ac:dyDescent="0.4">
      <c r="P105" s="2"/>
      <c r="AN105" s="39">
        <f>SUM(AN89:AN104)</f>
        <v>47224.196666666656</v>
      </c>
      <c r="AQ105" s="39">
        <f>SUM(AQ89:AQ104)</f>
        <v>48273.333333333336</v>
      </c>
    </row>
    <row r="106" spans="1:43" ht="19" thickBot="1" x14ac:dyDescent="0.4">
      <c r="A106" s="76" t="s">
        <v>260</v>
      </c>
      <c r="B106" s="77"/>
      <c r="C106" s="77"/>
      <c r="D106" s="78"/>
      <c r="E106" s="34">
        <f>AN85+AN105</f>
        <v>469945.45358974382</v>
      </c>
      <c r="P106" s="2"/>
    </row>
    <row r="107" spans="1:43" ht="19" thickBot="1" x14ac:dyDescent="0.4">
      <c r="A107" s="76" t="s">
        <v>501</v>
      </c>
      <c r="B107" s="77"/>
      <c r="C107" s="77"/>
      <c r="D107" s="78"/>
      <c r="E107" s="34">
        <f>AQ85+AQ105</f>
        <v>584342.8205128198</v>
      </c>
    </row>
    <row r="108" spans="1:43" s="14" customFormat="1" ht="18.5" x14ac:dyDescent="0.35">
      <c r="C108" s="24"/>
      <c r="D108" s="24"/>
      <c r="E108" s="35"/>
      <c r="K108" s="53"/>
      <c r="P108"/>
      <c r="AQ108"/>
    </row>
  </sheetData>
  <protectedRanges>
    <protectedRange sqref="C36:C39 C94" name="Range3_1_2_3"/>
    <protectedRange sqref="C36:C39 C94" name="Range2_1_2_3"/>
    <protectedRange sqref="C46:C52 C40:C44 C3:C35 C89:C93 C95:C97" name="Range1_1_2_2"/>
    <protectedRange sqref="D49 D3:D39 D41:D47 D51:D52 D89:D97" name="Range3_1_2_2_1"/>
    <protectedRange sqref="D49 D3:D39 D41:D47 D51:D52 D89:D97" name="Range2_1_2_2_1"/>
    <protectedRange sqref="E96:E97" name="Range1_1_2_3"/>
    <protectedRange sqref="E37:E39 E89" name="Range3_1_2_1_1"/>
    <protectedRange algorithmName="SHA-512" hashValue="HPQuJwE1hjBfMtgPMPAUa0WVTR0E3BW6QvcTNwJIsBi6pugW6xHEJDiLUJUlHegYMO+QT6ifq5RF2/pG2dVZoQ==" saltValue="nhtcP3+XYiDsBG83UooSqw==" spinCount="100000" sqref="F48:F51 F96:F97" name="Range1_2"/>
    <protectedRange algorithmName="SHA-512" hashValue="HPQuJwE1hjBfMtgPMPAUa0WVTR0E3BW6QvcTNwJIsBi6pugW6xHEJDiLUJUlHegYMO+QT6ifq5RF2/pG2dVZoQ==" saltValue="nhtcP3+XYiDsBG83UooSqw==" spinCount="100000" sqref="F3:F38 F89:F93" name="Range1_1_1"/>
    <protectedRange algorithmName="SHA-512" hashValue="HPQuJwE1hjBfMtgPMPAUa0WVTR0E3BW6QvcTNwJIsBi6pugW6xHEJDiLUJUlHegYMO+QT6ifq5RF2/pG2dVZoQ==" saltValue="nhtcP3+XYiDsBG83UooSqw==" spinCount="100000" sqref="F39:F47 F94:F95" name="Range1_3_1"/>
    <protectedRange algorithmName="SHA-512" hashValue="HPQuJwE1hjBfMtgPMPAUa0WVTR0E3BW6QvcTNwJIsBi6pugW6xHEJDiLUJUlHegYMO+QT6ifq5RF2/pG2dVZoQ==" saltValue="nhtcP3+XYiDsBG83UooSqw==" spinCount="100000" sqref="F52" name="Range1_2_3_1"/>
    <protectedRange sqref="D50 D40 D48 D53:D84 D98:D104" name="Range3_1_2_2_1_9_4"/>
    <protectedRange sqref="D50 D40 D48 D53:D84 D98:D104" name="Range2_1_2_2_1_9_4"/>
  </protectedRanges>
  <autoFilter ref="A2:AP85">
    <sortState ref="A3:AP77">
      <sortCondition ref="E2:E77"/>
    </sortState>
  </autoFilter>
  <mergeCells count="5">
    <mergeCell ref="A107:D107"/>
    <mergeCell ref="A106:D106"/>
    <mergeCell ref="A88:AQ88"/>
    <mergeCell ref="A1:AQ1"/>
    <mergeCell ref="A85:E85"/>
  </mergeCells>
  <phoneticPr fontId="17" type="noConversion"/>
  <conditionalFormatting sqref="E89">
    <cfRule type="duplicateValues" dxfId="623" priority="112"/>
  </conditionalFormatting>
  <conditionalFormatting sqref="E7">
    <cfRule type="duplicateValues" dxfId="622" priority="107"/>
  </conditionalFormatting>
  <conditionalFormatting sqref="E13">
    <cfRule type="duplicateValues" dxfId="621" priority="106"/>
  </conditionalFormatting>
  <conditionalFormatting sqref="E20">
    <cfRule type="duplicateValues" dxfId="620" priority="103"/>
  </conditionalFormatting>
  <conditionalFormatting sqref="E24">
    <cfRule type="duplicateValues" dxfId="619" priority="102"/>
  </conditionalFormatting>
  <conditionalFormatting sqref="E28">
    <cfRule type="duplicateValues" dxfId="618" priority="101"/>
  </conditionalFormatting>
  <conditionalFormatting sqref="E31">
    <cfRule type="duplicateValues" dxfId="617" priority="100"/>
  </conditionalFormatting>
  <conditionalFormatting sqref="E37">
    <cfRule type="duplicateValues" dxfId="616" priority="113"/>
    <cfRule type="duplicateValues" dxfId="615" priority="114"/>
    <cfRule type="duplicateValues" dxfId="614" priority="115"/>
    <cfRule type="duplicateValues" dxfId="613" priority="116"/>
  </conditionalFormatting>
  <conditionalFormatting sqref="E38">
    <cfRule type="duplicateValues" dxfId="612" priority="118"/>
    <cfRule type="duplicateValues" dxfId="611" priority="119"/>
    <cfRule type="duplicateValues" dxfId="610" priority="120"/>
    <cfRule type="duplicateValues" dxfId="609" priority="121"/>
  </conditionalFormatting>
  <conditionalFormatting sqref="E39">
    <cfRule type="duplicateValues" dxfId="608" priority="117"/>
  </conditionalFormatting>
  <conditionalFormatting sqref="E40">
    <cfRule type="duplicateValues" dxfId="607" priority="122"/>
    <cfRule type="duplicateValues" dxfId="606" priority="123"/>
  </conditionalFormatting>
  <conditionalFormatting sqref="E48">
    <cfRule type="duplicateValues" dxfId="605" priority="111"/>
  </conditionalFormatting>
  <conditionalFormatting sqref="E49:E50 E52">
    <cfRule type="duplicateValues" dxfId="604" priority="110"/>
  </conditionalFormatting>
  <conditionalFormatting sqref="E51">
    <cfRule type="duplicateValues" dxfId="603" priority="99"/>
  </conditionalFormatting>
  <conditionalFormatting sqref="E84">
    <cfRule type="duplicateValues" dxfId="602" priority="87"/>
  </conditionalFormatting>
  <conditionalFormatting sqref="F84">
    <cfRule type="duplicateValues" dxfId="601" priority="86"/>
  </conditionalFormatting>
  <conditionalFormatting sqref="E55">
    <cfRule type="duplicateValues" dxfId="600" priority="85"/>
  </conditionalFormatting>
  <conditionalFormatting sqref="F55">
    <cfRule type="duplicateValues" dxfId="599" priority="84"/>
  </conditionalFormatting>
  <conditionalFormatting sqref="E58">
    <cfRule type="duplicateValues" dxfId="598" priority="83"/>
  </conditionalFormatting>
  <conditionalFormatting sqref="F58">
    <cfRule type="duplicateValues" dxfId="597" priority="82"/>
  </conditionalFormatting>
  <conditionalFormatting sqref="E57">
    <cfRule type="duplicateValues" dxfId="596" priority="81"/>
  </conditionalFormatting>
  <conditionalFormatting sqref="F57">
    <cfRule type="duplicateValues" dxfId="595" priority="80"/>
  </conditionalFormatting>
  <conditionalFormatting sqref="E56">
    <cfRule type="duplicateValues" dxfId="594" priority="79"/>
  </conditionalFormatting>
  <conditionalFormatting sqref="F56">
    <cfRule type="duplicateValues" dxfId="593" priority="78"/>
  </conditionalFormatting>
  <conditionalFormatting sqref="E98">
    <cfRule type="duplicateValues" dxfId="592" priority="73"/>
  </conditionalFormatting>
  <conditionalFormatting sqref="F98">
    <cfRule type="duplicateValues" dxfId="591" priority="72"/>
  </conditionalFormatting>
  <conditionalFormatting sqref="E53:E54">
    <cfRule type="duplicateValues" dxfId="590" priority="1000"/>
  </conditionalFormatting>
  <conditionalFormatting sqref="E59">
    <cfRule type="duplicateValues" dxfId="589" priority="64"/>
  </conditionalFormatting>
  <conditionalFormatting sqref="F59">
    <cfRule type="duplicateValues" dxfId="588" priority="63"/>
  </conditionalFormatting>
  <conditionalFormatting sqref="E60">
    <cfRule type="duplicateValues" dxfId="587" priority="62"/>
  </conditionalFormatting>
  <conditionalFormatting sqref="F60">
    <cfRule type="duplicateValues" dxfId="586" priority="61"/>
  </conditionalFormatting>
  <conditionalFormatting sqref="E61">
    <cfRule type="duplicateValues" dxfId="585" priority="60"/>
  </conditionalFormatting>
  <conditionalFormatting sqref="F61">
    <cfRule type="duplicateValues" dxfId="584" priority="59"/>
  </conditionalFormatting>
  <conditionalFormatting sqref="E62">
    <cfRule type="duplicateValues" dxfId="583" priority="58"/>
  </conditionalFormatting>
  <conditionalFormatting sqref="F62">
    <cfRule type="duplicateValues" dxfId="582" priority="57"/>
  </conditionalFormatting>
  <conditionalFormatting sqref="E63">
    <cfRule type="duplicateValues" dxfId="581" priority="56"/>
  </conditionalFormatting>
  <conditionalFormatting sqref="F63">
    <cfRule type="duplicateValues" dxfId="580" priority="55"/>
  </conditionalFormatting>
  <conditionalFormatting sqref="E64">
    <cfRule type="duplicateValues" dxfId="579" priority="54"/>
  </conditionalFormatting>
  <conditionalFormatting sqref="F64">
    <cfRule type="duplicateValues" dxfId="578" priority="53"/>
  </conditionalFormatting>
  <conditionalFormatting sqref="E65">
    <cfRule type="duplicateValues" dxfId="577" priority="52"/>
  </conditionalFormatting>
  <conditionalFormatting sqref="F65">
    <cfRule type="duplicateValues" dxfId="576" priority="51"/>
  </conditionalFormatting>
  <conditionalFormatting sqref="E66">
    <cfRule type="duplicateValues" dxfId="575" priority="50"/>
  </conditionalFormatting>
  <conditionalFormatting sqref="F66">
    <cfRule type="duplicateValues" dxfId="574" priority="49"/>
  </conditionalFormatting>
  <conditionalFormatting sqref="E67">
    <cfRule type="duplicateValues" dxfId="573" priority="48"/>
  </conditionalFormatting>
  <conditionalFormatting sqref="F67">
    <cfRule type="duplicateValues" dxfId="572" priority="47"/>
  </conditionalFormatting>
  <conditionalFormatting sqref="E68">
    <cfRule type="duplicateValues" dxfId="571" priority="46"/>
  </conditionalFormatting>
  <conditionalFormatting sqref="F68">
    <cfRule type="duplicateValues" dxfId="570" priority="45"/>
  </conditionalFormatting>
  <conditionalFormatting sqref="E69">
    <cfRule type="duplicateValues" dxfId="569" priority="44"/>
  </conditionalFormatting>
  <conditionalFormatting sqref="F69">
    <cfRule type="duplicateValues" dxfId="568" priority="43"/>
  </conditionalFormatting>
  <conditionalFormatting sqref="E70">
    <cfRule type="duplicateValues" dxfId="567" priority="42"/>
  </conditionalFormatting>
  <conditionalFormatting sqref="F70">
    <cfRule type="duplicateValues" dxfId="566" priority="41"/>
  </conditionalFormatting>
  <conditionalFormatting sqref="E71">
    <cfRule type="duplicateValues" dxfId="565" priority="40"/>
  </conditionalFormatting>
  <conditionalFormatting sqref="F71">
    <cfRule type="duplicateValues" dxfId="564" priority="39"/>
  </conditionalFormatting>
  <conditionalFormatting sqref="E72">
    <cfRule type="duplicateValues" dxfId="563" priority="38"/>
  </conditionalFormatting>
  <conditionalFormatting sqref="F72">
    <cfRule type="duplicateValues" dxfId="562" priority="37"/>
  </conditionalFormatting>
  <conditionalFormatting sqref="E99">
    <cfRule type="duplicateValues" dxfId="561" priority="36"/>
  </conditionalFormatting>
  <conditionalFormatting sqref="F99">
    <cfRule type="duplicateValues" dxfId="560" priority="35"/>
  </conditionalFormatting>
  <conditionalFormatting sqref="E73">
    <cfRule type="duplicateValues" dxfId="559" priority="34"/>
  </conditionalFormatting>
  <conditionalFormatting sqref="F73">
    <cfRule type="duplicateValues" dxfId="558" priority="33"/>
  </conditionalFormatting>
  <conditionalFormatting sqref="E100">
    <cfRule type="duplicateValues" dxfId="557" priority="28"/>
  </conditionalFormatting>
  <conditionalFormatting sqref="F100">
    <cfRule type="duplicateValues" dxfId="556" priority="27"/>
  </conditionalFormatting>
  <conditionalFormatting sqref="E76">
    <cfRule type="duplicateValues" dxfId="555" priority="26"/>
  </conditionalFormatting>
  <conditionalFormatting sqref="F76">
    <cfRule type="duplicateValues" dxfId="554" priority="25"/>
  </conditionalFormatting>
  <conditionalFormatting sqref="E77">
    <cfRule type="duplicateValues" dxfId="553" priority="24"/>
  </conditionalFormatting>
  <conditionalFormatting sqref="F77">
    <cfRule type="duplicateValues" dxfId="552" priority="23"/>
  </conditionalFormatting>
  <conditionalFormatting sqref="E78">
    <cfRule type="duplicateValues" dxfId="551" priority="22"/>
  </conditionalFormatting>
  <conditionalFormatting sqref="F78">
    <cfRule type="duplicateValues" dxfId="550" priority="21"/>
  </conditionalFormatting>
  <conditionalFormatting sqref="E79">
    <cfRule type="duplicateValues" dxfId="549" priority="20"/>
  </conditionalFormatting>
  <conditionalFormatting sqref="F79">
    <cfRule type="duplicateValues" dxfId="548" priority="19"/>
  </conditionalFormatting>
  <conditionalFormatting sqref="E101">
    <cfRule type="duplicateValues" dxfId="547" priority="18"/>
  </conditionalFormatting>
  <conditionalFormatting sqref="F101">
    <cfRule type="duplicateValues" dxfId="546" priority="17"/>
  </conditionalFormatting>
  <conditionalFormatting sqref="E102">
    <cfRule type="duplicateValues" dxfId="545" priority="16"/>
  </conditionalFormatting>
  <conditionalFormatting sqref="F102">
    <cfRule type="duplicateValues" dxfId="544" priority="15"/>
  </conditionalFormatting>
  <conditionalFormatting sqref="E80">
    <cfRule type="duplicateValues" dxfId="543" priority="14"/>
  </conditionalFormatting>
  <conditionalFormatting sqref="F80">
    <cfRule type="duplicateValues" dxfId="542" priority="13"/>
  </conditionalFormatting>
  <conditionalFormatting sqref="E103">
    <cfRule type="duplicateValues" dxfId="541" priority="12"/>
  </conditionalFormatting>
  <conditionalFormatting sqref="F103">
    <cfRule type="duplicateValues" dxfId="540" priority="11"/>
  </conditionalFormatting>
  <conditionalFormatting sqref="E81">
    <cfRule type="duplicateValues" dxfId="539" priority="10"/>
  </conditionalFormatting>
  <conditionalFormatting sqref="F81">
    <cfRule type="duplicateValues" dxfId="538" priority="9"/>
  </conditionalFormatting>
  <conditionalFormatting sqref="E104">
    <cfRule type="duplicateValues" dxfId="537" priority="8"/>
  </conditionalFormatting>
  <conditionalFormatting sqref="F104">
    <cfRule type="duplicateValues" dxfId="536" priority="7"/>
  </conditionalFormatting>
  <conditionalFormatting sqref="E82">
    <cfRule type="duplicateValues" dxfId="535" priority="6"/>
  </conditionalFormatting>
  <conditionalFormatting sqref="F82">
    <cfRule type="duplicateValues" dxfId="534" priority="5"/>
  </conditionalFormatting>
  <conditionalFormatting sqref="E83">
    <cfRule type="duplicateValues" dxfId="533" priority="4"/>
  </conditionalFormatting>
  <conditionalFormatting sqref="F83">
    <cfRule type="duplicateValues" dxfId="532" priority="3"/>
  </conditionalFormatting>
  <conditionalFormatting sqref="F89:F97 F3:F54">
    <cfRule type="duplicateValues" dxfId="531" priority="1058"/>
  </conditionalFormatting>
  <conditionalFormatting sqref="E90:E95 E40:E47 E3:E6 E8:E12 E14:E19 E21:E23 E25:E27 E29:E30 E32:E36">
    <cfRule type="duplicateValues" dxfId="530" priority="1059"/>
  </conditionalFormatting>
  <conditionalFormatting sqref="E74:E75">
    <cfRule type="duplicateValues" dxfId="529" priority="2"/>
  </conditionalFormatting>
  <conditionalFormatting sqref="F74:F75">
    <cfRule type="duplicateValues" dxfId="528" priority="1"/>
  </conditionalFormatting>
  <dataValidations count="1">
    <dataValidation allowBlank="1" showInputMessage="1" sqref="J2 C89:C97 C3:C52 E96:E97 P89:P1048576 P2:P84"/>
  </dataValidations>
  <pageMargins left="0.7" right="0.7" top="0.75" bottom="0.75" header="0.3" footer="0.3"/>
  <pageSetup orientation="portrait" r:id="rId1"/>
  <ignoredErrors>
    <ignoredError sqref="C3 F4:F5 C4:C5 F6:F17 C6:C17 F18:F25 C18:C25 F26:F30 C26:C30 F31:F43 C31:C43 F44:F45 C44:C45 F46:F52 C46:C52 F53:F56 C53:C56 F57:F72 C57:C72 F73:F75 C73 F76:F79 C76:C79 F80 C80 F81 C81 F82:F84 C82:C84 F89:F104 C89:C1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53"/>
  <sheetViews>
    <sheetView topLeftCell="A2" zoomScale="55" zoomScaleNormal="55" workbookViewId="0">
      <pane xSplit="5" ySplit="2" topLeftCell="P4" activePane="bottomRight" state="frozen"/>
      <selection activeCell="A2" sqref="A2"/>
      <selection pane="topRight" activeCell="F2" sqref="F2"/>
      <selection pane="bottomLeft" activeCell="A4" sqref="A4"/>
      <selection pane="bottomRight" activeCell="A2" sqref="A2"/>
    </sheetView>
  </sheetViews>
  <sheetFormatPr defaultColWidth="10.7265625" defaultRowHeight="15.5" x14ac:dyDescent="0.35"/>
  <cols>
    <col min="1" max="1" width="17.90625" bestFit="1" customWidth="1"/>
    <col min="2" max="2" width="14.6328125" bestFit="1" customWidth="1"/>
    <col min="3" max="3" width="37.26953125" bestFit="1" customWidth="1"/>
    <col min="4" max="4" width="33.7265625" bestFit="1" customWidth="1"/>
    <col min="5" max="5" width="48.6328125" bestFit="1" customWidth="1"/>
    <col min="6" max="6" width="21.7265625" bestFit="1" customWidth="1"/>
    <col min="7" max="7" width="15.26953125" bestFit="1" customWidth="1"/>
    <col min="8" max="8" width="16.08984375" bestFit="1" customWidth="1"/>
    <col min="9" max="9" width="22.6328125" bestFit="1" customWidth="1"/>
    <col min="10" max="10" width="29.36328125" bestFit="1" customWidth="1"/>
    <col min="11" max="11" width="21.36328125" bestFit="1" customWidth="1"/>
    <col min="12" max="12" width="23" bestFit="1" customWidth="1"/>
    <col min="13" max="13" width="29.90625" bestFit="1" customWidth="1"/>
    <col min="14" max="14" width="31" bestFit="1" customWidth="1"/>
    <col min="15" max="15" width="25.36328125" bestFit="1" customWidth="1"/>
    <col min="16" max="16" width="22.08984375" bestFit="1" customWidth="1"/>
    <col min="17" max="17" width="23" bestFit="1" customWidth="1"/>
    <col min="18" max="18" width="21.26953125" bestFit="1" customWidth="1"/>
    <col min="19" max="20" width="27.26953125" bestFit="1" customWidth="1"/>
    <col min="21" max="21" width="19.36328125" bestFit="1" customWidth="1"/>
    <col min="22" max="22" width="17" bestFit="1" customWidth="1"/>
    <col min="23" max="23" width="16.26953125" bestFit="1" customWidth="1"/>
    <col min="24" max="24" width="25.26953125" bestFit="1" customWidth="1"/>
    <col min="25" max="25" width="25.90625" bestFit="1" customWidth="1"/>
    <col min="26" max="26" width="23.90625" bestFit="1" customWidth="1"/>
    <col min="27" max="27" width="26.08984375" bestFit="1" customWidth="1"/>
    <col min="28" max="28" width="22.6328125" bestFit="1" customWidth="1"/>
    <col min="29" max="29" width="23" bestFit="1" customWidth="1"/>
    <col min="30" max="30" width="26.08984375" bestFit="1" customWidth="1"/>
    <col min="31" max="31" width="13.90625" bestFit="1" customWidth="1"/>
    <col min="32" max="32" width="27.26953125" bestFit="1" customWidth="1"/>
    <col min="33" max="33" width="31.36328125" bestFit="1" customWidth="1"/>
    <col min="34" max="34" width="34.6328125" bestFit="1" customWidth="1"/>
    <col min="35" max="35" width="19.90625" bestFit="1" customWidth="1"/>
    <col min="36" max="36" width="13.36328125" bestFit="1" customWidth="1"/>
    <col min="37" max="37" width="17.7265625" bestFit="1" customWidth="1"/>
    <col min="38" max="38" width="20.26953125" bestFit="1" customWidth="1"/>
    <col min="39" max="39" width="19.7265625" bestFit="1" customWidth="1"/>
    <col min="40" max="40" width="13.90625" bestFit="1" customWidth="1"/>
    <col min="41" max="41" width="31.26953125" bestFit="1" customWidth="1"/>
    <col min="42" max="42" width="27" style="2" bestFit="1" customWidth="1"/>
    <col min="43" max="43" width="17.26953125" bestFit="1" customWidth="1"/>
  </cols>
  <sheetData>
    <row r="1" spans="1:43" ht="26" x14ac:dyDescent="0.35">
      <c r="A1" s="81">
        <v>45931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</row>
    <row r="2" spans="1:43" x14ac:dyDescent="0.35">
      <c r="A2" s="20" t="s">
        <v>149</v>
      </c>
      <c r="B2" s="20" t="s">
        <v>150</v>
      </c>
      <c r="C2" s="28" t="s">
        <v>256</v>
      </c>
      <c r="D2" s="28" t="s">
        <v>258</v>
      </c>
      <c r="E2" s="18" t="s">
        <v>2</v>
      </c>
      <c r="F2" s="15" t="s">
        <v>27</v>
      </c>
      <c r="G2" s="6" t="s">
        <v>11</v>
      </c>
      <c r="H2" s="7" t="s">
        <v>3</v>
      </c>
      <c r="I2" s="43" t="s">
        <v>5</v>
      </c>
      <c r="J2" s="43" t="s">
        <v>458</v>
      </c>
      <c r="K2" s="43" t="s">
        <v>23</v>
      </c>
      <c r="L2" s="8" t="s">
        <v>22</v>
      </c>
      <c r="M2" s="5" t="s">
        <v>6</v>
      </c>
      <c r="N2" s="5" t="s">
        <v>25</v>
      </c>
      <c r="O2" s="8" t="s">
        <v>4</v>
      </c>
      <c r="P2" s="43" t="s">
        <v>327</v>
      </c>
      <c r="Q2" s="22" t="s">
        <v>153</v>
      </c>
      <c r="R2" s="6" t="s">
        <v>7</v>
      </c>
      <c r="S2" s="5" t="s">
        <v>8</v>
      </c>
      <c r="T2" s="45" t="s">
        <v>9</v>
      </c>
      <c r="U2" s="46" t="s">
        <v>10</v>
      </c>
      <c r="V2" s="7" t="s">
        <v>0</v>
      </c>
      <c r="W2" s="17" t="s">
        <v>146</v>
      </c>
      <c r="X2" s="45" t="s">
        <v>24</v>
      </c>
      <c r="Y2" s="19" t="s">
        <v>13</v>
      </c>
      <c r="Z2" s="18" t="s">
        <v>147</v>
      </c>
      <c r="AA2" s="19" t="s">
        <v>148</v>
      </c>
      <c r="AB2" s="45" t="s">
        <v>152</v>
      </c>
      <c r="AC2" s="21" t="s">
        <v>22</v>
      </c>
      <c r="AD2" s="8" t="s">
        <v>14</v>
      </c>
      <c r="AE2" s="8" t="s">
        <v>18</v>
      </c>
      <c r="AF2" s="8" t="s">
        <v>21</v>
      </c>
      <c r="AG2" s="8" t="s">
        <v>19</v>
      </c>
      <c r="AH2" s="36" t="s">
        <v>306</v>
      </c>
      <c r="AI2" s="36" t="s">
        <v>307</v>
      </c>
      <c r="AJ2" s="8" t="s">
        <v>15</v>
      </c>
      <c r="AK2" s="8" t="s">
        <v>16</v>
      </c>
      <c r="AL2" s="8" t="s">
        <v>17</v>
      </c>
      <c r="AM2" s="7" t="s">
        <v>12</v>
      </c>
      <c r="AN2" s="7" t="s">
        <v>18</v>
      </c>
      <c r="AO2" s="5" t="s">
        <v>20</v>
      </c>
      <c r="AP2" s="40" t="s">
        <v>308</v>
      </c>
      <c r="AQ2" s="55" t="s">
        <v>500</v>
      </c>
    </row>
    <row r="3" spans="1:43" x14ac:dyDescent="0.35">
      <c r="A3" s="26" t="s">
        <v>196</v>
      </c>
      <c r="B3" s="44" t="s">
        <v>510</v>
      </c>
      <c r="C3" s="58" t="s">
        <v>319</v>
      </c>
      <c r="D3" s="63" t="s">
        <v>507</v>
      </c>
      <c r="E3" s="64" t="s">
        <v>309</v>
      </c>
      <c r="F3" s="68">
        <v>29912228800471</v>
      </c>
      <c r="G3" s="70" t="s">
        <v>526</v>
      </c>
      <c r="H3" s="72">
        <v>4000</v>
      </c>
      <c r="I3" s="72">
        <v>3000</v>
      </c>
      <c r="J3" s="9">
        <v>0</v>
      </c>
      <c r="K3" s="75">
        <v>1.05</v>
      </c>
      <c r="L3" s="9">
        <f>+I3*K3</f>
        <v>3150</v>
      </c>
      <c r="M3" s="9"/>
      <c r="N3" s="9">
        <f>30-X3</f>
        <v>30</v>
      </c>
      <c r="O3" s="9">
        <f>M3*N3</f>
        <v>0</v>
      </c>
      <c r="P3" s="10">
        <f>H3/30</f>
        <v>133.33333333333334</v>
      </c>
      <c r="Q3" s="10">
        <f>L3/30</f>
        <v>105</v>
      </c>
      <c r="R3" s="10">
        <f>Q3+P3</f>
        <v>238.33333333333334</v>
      </c>
      <c r="S3" s="10">
        <f>+P3/8</f>
        <v>16.666666666666668</v>
      </c>
      <c r="T3" s="9">
        <v>44</v>
      </c>
      <c r="U3" s="9">
        <f>+S3*T3</f>
        <v>733.33333333333337</v>
      </c>
      <c r="V3" s="9">
        <v>0</v>
      </c>
      <c r="W3" s="16">
        <f>H3+L3+U3+V3+J3</f>
        <v>7883.333333333333</v>
      </c>
      <c r="X3" s="49">
        <v>0</v>
      </c>
      <c r="Y3" s="11">
        <f>R3*X3</f>
        <v>0</v>
      </c>
      <c r="Z3" s="38">
        <v>0</v>
      </c>
      <c r="AA3" s="11">
        <f>P3*Z3</f>
        <v>0</v>
      </c>
      <c r="AB3" s="11">
        <v>0</v>
      </c>
      <c r="AC3" s="11">
        <f>Q3*AB3</f>
        <v>0</v>
      </c>
      <c r="AD3" s="12">
        <f>Y3+AA3+AC3</f>
        <v>0</v>
      </c>
      <c r="AE3" s="4">
        <f>W3-AD3</f>
        <v>7883.333333333333</v>
      </c>
      <c r="AF3" s="3">
        <f t="shared" ref="AF3:AF60" si="0">7000/1.3</f>
        <v>5384.6153846153848</v>
      </c>
      <c r="AG3" s="3">
        <f>+AF3*0.11</f>
        <v>592.30769230769238</v>
      </c>
      <c r="AH3" s="1">
        <v>1666.6666666666667</v>
      </c>
      <c r="AI3" s="1">
        <f>(AE3-AG3-AH3)*12</f>
        <v>67492.307692307688</v>
      </c>
      <c r="AJ3" s="1">
        <f>IF(AND(AI3&gt;40000,AI3&lt;=55000),(AI3-40000)*10%,
IF(AND(AI3&gt;55000,AI3&lt;=70000),(AI3-55000)*15%+15000*10%,
IF(AND(AI3&gt;70000,AI3&lt;=200000),(AI3-70000)*20%+15000*10%+15000*15%,
IF(AND(AI3&gt;200000,AI3&lt;=400000),(AI3-200000)*22.5%+15000*10%+15000*15%+130000*20%,
IF(AND(AI3&gt;400000,AI3&lt;=600000),(AI3-400000)*25%+15000*10%+15000*15%+130000*20%+200000*22.5%,
IF(AND(AI3&gt;600000,AI3&lt;=700000),(AI3-400000)*25%+55000*10%+15000*15%+130000*20%+200000*22.5%,
IF(AND(AI3&gt;700000,AI3&lt;=800000),(AI3-400000)*25%+70000*15%+130000*20%+200000*22.5%,
IF(AND(AI3&gt;800000,AI3&lt;=900000),(AI3-400000)*25%+200000*20%+200000*22.5%,
IF(AND(AI3&gt;900000,AI3&lt;=1200000),(AI3-400000)*25%+400000*22.5%,
IF(AI3&gt;1200000,(AI3-1200000)*27.5%+1200000*25%))))))))))/12</f>
        <v>281.15384615384613</v>
      </c>
      <c r="AK3" s="3">
        <f>+AE3*0.0005</f>
        <v>3.9416666666666664</v>
      </c>
      <c r="AL3" s="4">
        <f>+AE3-AG3-AJ3-AK3</f>
        <v>7005.9301282051283</v>
      </c>
      <c r="AM3" s="3">
        <v>0</v>
      </c>
      <c r="AN3" s="4">
        <f>+AL3-AM3</f>
        <v>7005.9301282051283</v>
      </c>
      <c r="AO3" s="1">
        <f>+AF3*0.1875</f>
        <v>1009.6153846153846</v>
      </c>
      <c r="AP3" s="41">
        <v>8</v>
      </c>
      <c r="AQ3" s="54">
        <f>AE3+AO3</f>
        <v>8892.9487179487169</v>
      </c>
    </row>
    <row r="4" spans="1:43" x14ac:dyDescent="0.35">
      <c r="A4" s="26" t="s">
        <v>196</v>
      </c>
      <c r="B4" s="44" t="s">
        <v>389</v>
      </c>
      <c r="C4" s="58" t="s">
        <v>479</v>
      </c>
      <c r="D4" s="63" t="s">
        <v>507</v>
      </c>
      <c r="E4" s="64" t="s">
        <v>459</v>
      </c>
      <c r="F4" s="68">
        <v>30610241400317</v>
      </c>
      <c r="G4" s="70" t="s">
        <v>526</v>
      </c>
      <c r="H4" s="72">
        <v>4000</v>
      </c>
      <c r="I4" s="72">
        <v>3000</v>
      </c>
      <c r="J4" s="9">
        <v>0</v>
      </c>
      <c r="K4" s="75">
        <v>1.05</v>
      </c>
      <c r="L4" s="9">
        <f>+I4*K4</f>
        <v>3150</v>
      </c>
      <c r="M4" s="9"/>
      <c r="N4" s="9">
        <f t="shared" ref="N4:N57" si="1">30-X4</f>
        <v>30</v>
      </c>
      <c r="O4" s="9">
        <f t="shared" ref="O4:O57" si="2">M4*N4</f>
        <v>0</v>
      </c>
      <c r="P4" s="10">
        <f t="shared" ref="P4:P57" si="3">H4/30</f>
        <v>133.33333333333334</v>
      </c>
      <c r="Q4" s="10">
        <f t="shared" ref="Q4:Q57" si="4">L4/30</f>
        <v>105</v>
      </c>
      <c r="R4" s="10">
        <f t="shared" ref="R4:R61" si="5">Q4+P4</f>
        <v>238.33333333333334</v>
      </c>
      <c r="S4" s="10">
        <f t="shared" ref="S4:S57" si="6">+P4/8</f>
        <v>16.666666666666668</v>
      </c>
      <c r="T4" s="9">
        <v>28</v>
      </c>
      <c r="U4" s="9">
        <f t="shared" ref="U4:U57" si="7">+S4*T4</f>
        <v>466.66666666666669</v>
      </c>
      <c r="V4" s="9">
        <v>0</v>
      </c>
      <c r="W4" s="16">
        <f>H4+L4+U4+V4+J4</f>
        <v>7616.666666666667</v>
      </c>
      <c r="X4" s="49">
        <v>0</v>
      </c>
      <c r="Y4" s="11">
        <f t="shared" ref="Y4:Y57" si="8">R4*X4</f>
        <v>0</v>
      </c>
      <c r="Z4" s="38">
        <v>0</v>
      </c>
      <c r="AA4" s="11">
        <f t="shared" ref="AA4:AA57" si="9">P4*Z4</f>
        <v>0</v>
      </c>
      <c r="AB4" s="11">
        <v>0</v>
      </c>
      <c r="AC4" s="11">
        <f>Q4*AB4</f>
        <v>0</v>
      </c>
      <c r="AD4" s="12">
        <f>Y4+AA4+AC4</f>
        <v>0</v>
      </c>
      <c r="AE4" s="4">
        <f>W4-AD4</f>
        <v>7616.666666666667</v>
      </c>
      <c r="AF4" s="3">
        <f t="shared" si="0"/>
        <v>5384.6153846153848</v>
      </c>
      <c r="AG4" s="3">
        <f t="shared" ref="AG4:AG61" si="10">+AF4*0.11</f>
        <v>592.30769230769238</v>
      </c>
      <c r="AH4" s="1">
        <v>1667.6666666666699</v>
      </c>
      <c r="AI4" s="1">
        <f t="shared" ref="AI4:AI61" si="11">(AE4-AG4-AH4)*12</f>
        <v>64280.307692307659</v>
      </c>
      <c r="AJ4" s="1">
        <f t="shared" ref="AJ4:AJ61" si="12">IF(AND(AI4&gt;40000,AI4&lt;=55000),(AI4-40000)*10%,
IF(AND(AI4&gt;55000,AI4&lt;=70000),(AI4-55000)*15%+15000*10%,
IF(AND(AI4&gt;70000,AI4&lt;=200000),(AI4-70000)*20%+15000*10%+15000*15%,
IF(AND(AI4&gt;200000,AI4&lt;=400000),(AI4-200000)*22.5%+15000*10%+15000*15%+130000*20%,
IF(AND(AI4&gt;400000,AI4&lt;=600000),(AI4-400000)*25%+15000*10%+15000*15%+130000*20%+200000*22.5%,
IF(AND(AI4&gt;600000,AI4&lt;=700000),(AI4-400000)*25%+55000*10%+15000*15%+130000*20%+200000*22.5%,
IF(AND(AI4&gt;700000,AI4&lt;=800000),(AI4-400000)*25%+70000*15%+130000*20%+200000*22.5%,
IF(AND(AI4&gt;800000,AI4&lt;=900000),(AI4-400000)*25%+200000*20%+200000*22.5%,
IF(AND(AI4&gt;900000,AI4&lt;=1200000),(AI4-400000)*25%+400000*22.5%,
IF(AI4&gt;1200000,(AI4-1200000)*27.5%+1200000*25%))))))))))/12</f>
        <v>241.00384615384573</v>
      </c>
      <c r="AK4" s="3">
        <f t="shared" ref="AK4:AK61" si="13">+AE4*0.0005</f>
        <v>3.8083333333333336</v>
      </c>
      <c r="AL4" s="4">
        <f>+AE4-AG4-AJ4-AK4</f>
        <v>6779.5467948717951</v>
      </c>
      <c r="AM4" s="3">
        <v>0</v>
      </c>
      <c r="AN4" s="4">
        <f>+AL4-AM4</f>
        <v>6779.5467948717951</v>
      </c>
      <c r="AO4" s="1">
        <f>+AF4*0.1875</f>
        <v>1009.6153846153846</v>
      </c>
      <c r="AP4" s="41">
        <v>17</v>
      </c>
      <c r="AQ4" s="54">
        <f t="shared" ref="AQ4:AQ53" si="14">AE4+AO4</f>
        <v>8626.2820512820508</v>
      </c>
    </row>
    <row r="5" spans="1:43" x14ac:dyDescent="0.35">
      <c r="A5" s="26" t="s">
        <v>196</v>
      </c>
      <c r="B5" s="44" t="s">
        <v>390</v>
      </c>
      <c r="C5" s="58" t="s">
        <v>569</v>
      </c>
      <c r="D5" s="63" t="s">
        <v>507</v>
      </c>
      <c r="E5" s="64" t="s">
        <v>658</v>
      </c>
      <c r="F5" s="68">
        <v>30610210102334</v>
      </c>
      <c r="G5" s="70" t="s">
        <v>526</v>
      </c>
      <c r="H5" s="72">
        <v>4000</v>
      </c>
      <c r="I5" s="72">
        <v>3000</v>
      </c>
      <c r="J5" s="9">
        <v>0</v>
      </c>
      <c r="K5" s="75">
        <v>1.05</v>
      </c>
      <c r="L5" s="9">
        <f t="shared" ref="L5:L32" si="15">+I5*K5</f>
        <v>3150</v>
      </c>
      <c r="M5" s="9"/>
      <c r="N5" s="9">
        <f t="shared" si="1"/>
        <v>30</v>
      </c>
      <c r="O5" s="9">
        <f t="shared" si="2"/>
        <v>0</v>
      </c>
      <c r="P5" s="10">
        <f t="shared" si="3"/>
        <v>133.33333333333334</v>
      </c>
      <c r="Q5" s="10">
        <f t="shared" si="4"/>
        <v>105</v>
      </c>
      <c r="R5" s="10">
        <f t="shared" si="5"/>
        <v>238.33333333333334</v>
      </c>
      <c r="S5" s="10">
        <f t="shared" si="6"/>
        <v>16.666666666666668</v>
      </c>
      <c r="T5" s="9">
        <v>28</v>
      </c>
      <c r="U5" s="9">
        <f t="shared" si="7"/>
        <v>466.66666666666669</v>
      </c>
      <c r="V5" s="9">
        <v>0</v>
      </c>
      <c r="W5" s="16">
        <f t="shared" ref="W5:W61" si="16">H5+L5+U5+V5+J5</f>
        <v>7616.666666666667</v>
      </c>
      <c r="X5" s="49">
        <v>0</v>
      </c>
      <c r="Y5" s="11">
        <f t="shared" si="8"/>
        <v>0</v>
      </c>
      <c r="Z5" s="38">
        <v>6</v>
      </c>
      <c r="AA5" s="11">
        <f t="shared" si="9"/>
        <v>800</v>
      </c>
      <c r="AB5" s="11">
        <v>0</v>
      </c>
      <c r="AC5" s="11">
        <f t="shared" ref="AC5:AC32" si="17">Q5*AB5</f>
        <v>0</v>
      </c>
      <c r="AD5" s="12">
        <f t="shared" ref="AD5:AD32" si="18">Y5+AA5+AC5</f>
        <v>800</v>
      </c>
      <c r="AE5" s="4">
        <f t="shared" ref="AE5:AE32" si="19">W5-AD5</f>
        <v>6816.666666666667</v>
      </c>
      <c r="AF5" s="3">
        <f t="shared" si="0"/>
        <v>5384.6153846153848</v>
      </c>
      <c r="AG5" s="3">
        <f t="shared" si="10"/>
        <v>592.30769230769238</v>
      </c>
      <c r="AH5" s="1">
        <v>1668.6666666666699</v>
      </c>
      <c r="AI5" s="1">
        <f t="shared" si="11"/>
        <v>54668.307692307659</v>
      </c>
      <c r="AJ5" s="1">
        <f t="shared" si="12"/>
        <v>122.23589743589717</v>
      </c>
      <c r="AK5" s="3">
        <f t="shared" si="13"/>
        <v>3.4083333333333337</v>
      </c>
      <c r="AL5" s="4">
        <f t="shared" ref="AL5:AL32" si="20">+AE5-AG5-AJ5-AK5</f>
        <v>6098.7147435897441</v>
      </c>
      <c r="AM5" s="3">
        <v>0</v>
      </c>
      <c r="AN5" s="4">
        <f t="shared" ref="AN5:AN32" si="21">+AL5-AM5</f>
        <v>6098.7147435897441</v>
      </c>
      <c r="AO5" s="1">
        <f t="shared" ref="AO5:AO32" si="22">+AF5*0.1875</f>
        <v>1009.6153846153846</v>
      </c>
      <c r="AP5" s="41">
        <v>14</v>
      </c>
      <c r="AQ5" s="54">
        <f t="shared" si="14"/>
        <v>7826.2820512820517</v>
      </c>
    </row>
    <row r="6" spans="1:43" x14ac:dyDescent="0.35">
      <c r="A6" s="26" t="s">
        <v>196</v>
      </c>
      <c r="B6" s="44" t="s">
        <v>511</v>
      </c>
      <c r="C6" s="59" t="s">
        <v>304</v>
      </c>
      <c r="D6" s="63" t="s">
        <v>507</v>
      </c>
      <c r="E6" s="65" t="s">
        <v>200</v>
      </c>
      <c r="F6" s="68" t="s">
        <v>56</v>
      </c>
      <c r="G6" s="71" t="s">
        <v>526</v>
      </c>
      <c r="H6" s="73">
        <v>4000</v>
      </c>
      <c r="I6" s="72">
        <v>3000</v>
      </c>
      <c r="J6" s="9">
        <v>0</v>
      </c>
      <c r="K6" s="75">
        <v>1.05</v>
      </c>
      <c r="L6" s="9">
        <f>+I6*K6</f>
        <v>3150</v>
      </c>
      <c r="M6" s="9"/>
      <c r="N6" s="9">
        <f t="shared" si="1"/>
        <v>30</v>
      </c>
      <c r="O6" s="9">
        <f t="shared" si="2"/>
        <v>0</v>
      </c>
      <c r="P6" s="10">
        <f t="shared" si="3"/>
        <v>133.33333333333334</v>
      </c>
      <c r="Q6" s="10">
        <f t="shared" si="4"/>
        <v>105</v>
      </c>
      <c r="R6" s="10">
        <f t="shared" si="5"/>
        <v>238.33333333333334</v>
      </c>
      <c r="S6" s="10">
        <f t="shared" si="6"/>
        <v>16.666666666666668</v>
      </c>
      <c r="T6" s="9">
        <v>44</v>
      </c>
      <c r="U6" s="9">
        <f t="shared" si="7"/>
        <v>733.33333333333337</v>
      </c>
      <c r="V6" s="9">
        <v>0</v>
      </c>
      <c r="W6" s="16">
        <f>H6+L6+U6+V6+J6</f>
        <v>7883.333333333333</v>
      </c>
      <c r="X6" s="49">
        <v>0</v>
      </c>
      <c r="Y6" s="11">
        <f t="shared" si="8"/>
        <v>0</v>
      </c>
      <c r="Z6" s="38">
        <v>0</v>
      </c>
      <c r="AA6" s="11">
        <f t="shared" si="9"/>
        <v>0</v>
      </c>
      <c r="AB6" s="11">
        <v>0</v>
      </c>
      <c r="AC6" s="11">
        <f>Q6*AB6</f>
        <v>0</v>
      </c>
      <c r="AD6" s="12">
        <f>Y6+AA6+AC6</f>
        <v>0</v>
      </c>
      <c r="AE6" s="4">
        <f>W6-AD6</f>
        <v>7883.333333333333</v>
      </c>
      <c r="AF6" s="3">
        <f t="shared" si="0"/>
        <v>5384.6153846153848</v>
      </c>
      <c r="AG6" s="3">
        <f t="shared" si="10"/>
        <v>592.30769230769238</v>
      </c>
      <c r="AH6" s="1">
        <v>1669.6666666666699</v>
      </c>
      <c r="AI6" s="1">
        <f t="shared" si="11"/>
        <v>67456.307692307659</v>
      </c>
      <c r="AJ6" s="1">
        <f t="shared" si="12"/>
        <v>280.70384615384575</v>
      </c>
      <c r="AK6" s="3">
        <f t="shared" si="13"/>
        <v>3.9416666666666664</v>
      </c>
      <c r="AL6" s="4">
        <f>+AE6-AG6-AJ6-AK6</f>
        <v>7006.3801282051281</v>
      </c>
      <c r="AM6" s="3">
        <v>0</v>
      </c>
      <c r="AN6" s="4">
        <f>+AL6-AM6</f>
        <v>7006.3801282051281</v>
      </c>
      <c r="AO6" s="1">
        <f>+AF6*0.1875</f>
        <v>1009.6153846153846</v>
      </c>
      <c r="AP6" s="41">
        <v>3</v>
      </c>
      <c r="AQ6" s="54">
        <f t="shared" si="14"/>
        <v>8892.9487179487169</v>
      </c>
    </row>
    <row r="7" spans="1:43" x14ac:dyDescent="0.35">
      <c r="A7" s="26" t="s">
        <v>196</v>
      </c>
      <c r="B7" s="44" t="s">
        <v>391</v>
      </c>
      <c r="C7" s="58" t="s">
        <v>551</v>
      </c>
      <c r="D7" s="63" t="s">
        <v>507</v>
      </c>
      <c r="E7" s="66" t="s">
        <v>659</v>
      </c>
      <c r="F7" s="68">
        <v>30509251402404</v>
      </c>
      <c r="G7" s="70" t="s">
        <v>526</v>
      </c>
      <c r="H7" s="72">
        <v>4000</v>
      </c>
      <c r="I7" s="72">
        <v>3000</v>
      </c>
      <c r="J7" s="9">
        <v>0</v>
      </c>
      <c r="K7" s="75">
        <v>1.05</v>
      </c>
      <c r="L7" s="9">
        <f t="shared" si="15"/>
        <v>3150</v>
      </c>
      <c r="M7" s="9"/>
      <c r="N7" s="9">
        <f t="shared" si="1"/>
        <v>30</v>
      </c>
      <c r="O7" s="9">
        <f t="shared" si="2"/>
        <v>0</v>
      </c>
      <c r="P7" s="10">
        <f t="shared" si="3"/>
        <v>133.33333333333334</v>
      </c>
      <c r="Q7" s="10">
        <f t="shared" si="4"/>
        <v>105</v>
      </c>
      <c r="R7" s="10">
        <f t="shared" si="5"/>
        <v>238.33333333333334</v>
      </c>
      <c r="S7" s="10">
        <f t="shared" si="6"/>
        <v>16.666666666666668</v>
      </c>
      <c r="T7" s="9">
        <v>28</v>
      </c>
      <c r="U7" s="9">
        <f t="shared" si="7"/>
        <v>466.66666666666669</v>
      </c>
      <c r="V7" s="9">
        <v>0</v>
      </c>
      <c r="W7" s="16">
        <f t="shared" si="16"/>
        <v>7616.666666666667</v>
      </c>
      <c r="X7" s="49">
        <v>0</v>
      </c>
      <c r="Y7" s="11">
        <f t="shared" si="8"/>
        <v>0</v>
      </c>
      <c r="Z7" s="38">
        <v>0</v>
      </c>
      <c r="AA7" s="11">
        <f t="shared" si="9"/>
        <v>0</v>
      </c>
      <c r="AB7" s="11">
        <v>0</v>
      </c>
      <c r="AC7" s="11">
        <f t="shared" si="17"/>
        <v>0</v>
      </c>
      <c r="AD7" s="12">
        <f t="shared" si="18"/>
        <v>0</v>
      </c>
      <c r="AE7" s="4">
        <f t="shared" si="19"/>
        <v>7616.666666666667</v>
      </c>
      <c r="AF7" s="3">
        <f t="shared" si="0"/>
        <v>5384.6153846153848</v>
      </c>
      <c r="AG7" s="3">
        <f t="shared" si="10"/>
        <v>592.30769230769238</v>
      </c>
      <c r="AH7" s="1">
        <v>1670.6666666666699</v>
      </c>
      <c r="AI7" s="1">
        <f t="shared" si="11"/>
        <v>64244.307692307659</v>
      </c>
      <c r="AJ7" s="1">
        <f t="shared" si="12"/>
        <v>240.55384615384574</v>
      </c>
      <c r="AK7" s="3">
        <f t="shared" si="13"/>
        <v>3.8083333333333336</v>
      </c>
      <c r="AL7" s="4">
        <f t="shared" si="20"/>
        <v>6779.9967948717958</v>
      </c>
      <c r="AM7" s="3">
        <v>0</v>
      </c>
      <c r="AN7" s="4">
        <f t="shared" si="21"/>
        <v>6779.9967948717958</v>
      </c>
      <c r="AO7" s="1">
        <f t="shared" si="22"/>
        <v>1009.6153846153846</v>
      </c>
      <c r="AP7" s="41">
        <v>14</v>
      </c>
      <c r="AQ7" s="54">
        <f t="shared" si="14"/>
        <v>8626.2820512820508</v>
      </c>
    </row>
    <row r="8" spans="1:43" x14ac:dyDescent="0.35">
      <c r="A8" s="26" t="s">
        <v>196</v>
      </c>
      <c r="B8" s="44" t="s">
        <v>392</v>
      </c>
      <c r="C8" s="58" t="s">
        <v>489</v>
      </c>
      <c r="D8" s="63" t="s">
        <v>507</v>
      </c>
      <c r="E8" s="66" t="s">
        <v>460</v>
      </c>
      <c r="F8" s="68">
        <v>30306181400222</v>
      </c>
      <c r="G8" s="70" t="s">
        <v>526</v>
      </c>
      <c r="H8" s="72">
        <v>4000</v>
      </c>
      <c r="I8" s="72">
        <v>3000</v>
      </c>
      <c r="J8" s="9">
        <v>0</v>
      </c>
      <c r="K8" s="75">
        <v>1.05</v>
      </c>
      <c r="L8" s="9">
        <f t="shared" si="15"/>
        <v>3150</v>
      </c>
      <c r="M8" s="9"/>
      <c r="N8" s="9">
        <f t="shared" si="1"/>
        <v>30</v>
      </c>
      <c r="O8" s="9">
        <f t="shared" si="2"/>
        <v>0</v>
      </c>
      <c r="P8" s="10">
        <f t="shared" si="3"/>
        <v>133.33333333333334</v>
      </c>
      <c r="Q8" s="10">
        <f t="shared" si="4"/>
        <v>105</v>
      </c>
      <c r="R8" s="10">
        <f t="shared" si="5"/>
        <v>238.33333333333334</v>
      </c>
      <c r="S8" s="10">
        <f t="shared" si="6"/>
        <v>16.666666666666668</v>
      </c>
      <c r="T8" s="9">
        <v>28</v>
      </c>
      <c r="U8" s="9">
        <f t="shared" si="7"/>
        <v>466.66666666666669</v>
      </c>
      <c r="V8" s="9">
        <v>0</v>
      </c>
      <c r="W8" s="16">
        <f t="shared" si="16"/>
        <v>7616.666666666667</v>
      </c>
      <c r="X8" s="49">
        <v>0</v>
      </c>
      <c r="Y8" s="11">
        <f t="shared" si="8"/>
        <v>0</v>
      </c>
      <c r="Z8" s="38">
        <v>2</v>
      </c>
      <c r="AA8" s="11">
        <f t="shared" si="9"/>
        <v>266.66666666666669</v>
      </c>
      <c r="AB8" s="11">
        <v>0</v>
      </c>
      <c r="AC8" s="11">
        <f t="shared" si="17"/>
        <v>0</v>
      </c>
      <c r="AD8" s="12">
        <f t="shared" si="18"/>
        <v>266.66666666666669</v>
      </c>
      <c r="AE8" s="4">
        <f t="shared" si="19"/>
        <v>7350</v>
      </c>
      <c r="AF8" s="3">
        <f t="shared" si="0"/>
        <v>5384.6153846153848</v>
      </c>
      <c r="AG8" s="3">
        <f t="shared" si="10"/>
        <v>592.30769230769238</v>
      </c>
      <c r="AH8" s="1">
        <v>1671.6666666666699</v>
      </c>
      <c r="AI8" s="1">
        <f t="shared" si="11"/>
        <v>61032.307692307659</v>
      </c>
      <c r="AJ8" s="1">
        <f t="shared" si="12"/>
        <v>200.40384615384573</v>
      </c>
      <c r="AK8" s="3">
        <f t="shared" si="13"/>
        <v>3.6750000000000003</v>
      </c>
      <c r="AL8" s="4">
        <f t="shared" si="20"/>
        <v>6553.6134615384617</v>
      </c>
      <c r="AM8" s="3">
        <v>0</v>
      </c>
      <c r="AN8" s="4">
        <f t="shared" si="21"/>
        <v>6553.6134615384617</v>
      </c>
      <c r="AO8" s="1">
        <f t="shared" si="22"/>
        <v>1009.6153846153846</v>
      </c>
      <c r="AP8" s="41">
        <v>14</v>
      </c>
      <c r="AQ8" s="54">
        <f t="shared" si="14"/>
        <v>8359.6153846153848</v>
      </c>
    </row>
    <row r="9" spans="1:43" x14ac:dyDescent="0.35">
      <c r="A9" s="26" t="s">
        <v>196</v>
      </c>
      <c r="B9" s="44" t="s">
        <v>393</v>
      </c>
      <c r="C9" s="58" t="s">
        <v>579</v>
      </c>
      <c r="D9" s="63" t="s">
        <v>507</v>
      </c>
      <c r="E9" s="66" t="s">
        <v>661</v>
      </c>
      <c r="F9" s="68">
        <v>30311110102569</v>
      </c>
      <c r="G9" s="70" t="s">
        <v>526</v>
      </c>
      <c r="H9" s="72">
        <v>4000</v>
      </c>
      <c r="I9" s="72">
        <v>3000</v>
      </c>
      <c r="J9" s="9">
        <v>0</v>
      </c>
      <c r="K9" s="75">
        <v>1.05</v>
      </c>
      <c r="L9" s="9">
        <f t="shared" si="15"/>
        <v>3150</v>
      </c>
      <c r="M9" s="9"/>
      <c r="N9" s="9">
        <f t="shared" si="1"/>
        <v>30</v>
      </c>
      <c r="O9" s="9">
        <f t="shared" si="2"/>
        <v>0</v>
      </c>
      <c r="P9" s="10">
        <f t="shared" si="3"/>
        <v>133.33333333333334</v>
      </c>
      <c r="Q9" s="10">
        <f t="shared" si="4"/>
        <v>105</v>
      </c>
      <c r="R9" s="10">
        <f t="shared" si="5"/>
        <v>238.33333333333334</v>
      </c>
      <c r="S9" s="10">
        <f t="shared" si="6"/>
        <v>16.666666666666668</v>
      </c>
      <c r="T9" s="9">
        <v>28</v>
      </c>
      <c r="U9" s="9">
        <f t="shared" si="7"/>
        <v>466.66666666666669</v>
      </c>
      <c r="V9" s="9">
        <v>0</v>
      </c>
      <c r="W9" s="16">
        <f t="shared" si="16"/>
        <v>7616.666666666667</v>
      </c>
      <c r="X9" s="49">
        <v>0</v>
      </c>
      <c r="Y9" s="11">
        <f t="shared" si="8"/>
        <v>0</v>
      </c>
      <c r="Z9" s="38">
        <v>1</v>
      </c>
      <c r="AA9" s="11">
        <f t="shared" si="9"/>
        <v>133.33333333333334</v>
      </c>
      <c r="AB9" s="11">
        <v>0</v>
      </c>
      <c r="AC9" s="11">
        <f t="shared" si="17"/>
        <v>0</v>
      </c>
      <c r="AD9" s="12">
        <f t="shared" si="18"/>
        <v>133.33333333333334</v>
      </c>
      <c r="AE9" s="4">
        <f t="shared" si="19"/>
        <v>7483.3333333333339</v>
      </c>
      <c r="AF9" s="3">
        <f t="shared" si="0"/>
        <v>5384.6153846153848</v>
      </c>
      <c r="AG9" s="3">
        <f t="shared" si="10"/>
        <v>592.30769230769238</v>
      </c>
      <c r="AH9" s="1">
        <v>1674.6666666666699</v>
      </c>
      <c r="AI9" s="1">
        <f t="shared" si="11"/>
        <v>62596.307692307659</v>
      </c>
      <c r="AJ9" s="1">
        <f t="shared" si="12"/>
        <v>219.95384615384572</v>
      </c>
      <c r="AK9" s="3">
        <f t="shared" si="13"/>
        <v>3.7416666666666671</v>
      </c>
      <c r="AL9" s="4">
        <f t="shared" si="20"/>
        <v>6667.3301282051289</v>
      </c>
      <c r="AM9" s="3">
        <v>0</v>
      </c>
      <c r="AN9" s="4">
        <f t="shared" si="21"/>
        <v>6667.3301282051289</v>
      </c>
      <c r="AO9" s="1">
        <f t="shared" si="22"/>
        <v>1009.6153846153846</v>
      </c>
      <c r="AP9" s="41">
        <v>18</v>
      </c>
      <c r="AQ9" s="54">
        <f t="shared" si="14"/>
        <v>8492.9487179487187</v>
      </c>
    </row>
    <row r="10" spans="1:43" x14ac:dyDescent="0.35">
      <c r="A10" s="26" t="s">
        <v>196</v>
      </c>
      <c r="B10" s="44" t="s">
        <v>394</v>
      </c>
      <c r="C10" s="58" t="s">
        <v>262</v>
      </c>
      <c r="D10" s="63" t="s">
        <v>507</v>
      </c>
      <c r="E10" s="66" t="s">
        <v>201</v>
      </c>
      <c r="F10" s="68" t="s">
        <v>202</v>
      </c>
      <c r="G10" s="70" t="s">
        <v>655</v>
      </c>
      <c r="H10" s="72">
        <v>4000</v>
      </c>
      <c r="I10" s="72">
        <v>3000</v>
      </c>
      <c r="J10" s="9">
        <v>0</v>
      </c>
      <c r="K10" s="75">
        <v>1.05</v>
      </c>
      <c r="L10" s="9">
        <f t="shared" si="15"/>
        <v>3150</v>
      </c>
      <c r="M10" s="9"/>
      <c r="N10" s="9">
        <f t="shared" si="1"/>
        <v>30</v>
      </c>
      <c r="O10" s="9">
        <f t="shared" si="2"/>
        <v>0</v>
      </c>
      <c r="P10" s="10">
        <f t="shared" si="3"/>
        <v>133.33333333333334</v>
      </c>
      <c r="Q10" s="10">
        <f t="shared" si="4"/>
        <v>105</v>
      </c>
      <c r="R10" s="10">
        <f t="shared" si="5"/>
        <v>238.33333333333334</v>
      </c>
      <c r="S10" s="10">
        <f t="shared" si="6"/>
        <v>16.666666666666668</v>
      </c>
      <c r="T10" s="9">
        <v>12</v>
      </c>
      <c r="U10" s="9">
        <f t="shared" si="7"/>
        <v>200</v>
      </c>
      <c r="V10" s="9">
        <v>0</v>
      </c>
      <c r="W10" s="16">
        <f t="shared" si="16"/>
        <v>7350</v>
      </c>
      <c r="X10" s="49">
        <v>0</v>
      </c>
      <c r="Y10" s="11">
        <f t="shared" si="8"/>
        <v>0</v>
      </c>
      <c r="Z10" s="38">
        <v>0</v>
      </c>
      <c r="AA10" s="11">
        <f t="shared" si="9"/>
        <v>0</v>
      </c>
      <c r="AB10" s="11">
        <v>0</v>
      </c>
      <c r="AC10" s="11">
        <f t="shared" si="17"/>
        <v>0</v>
      </c>
      <c r="AD10" s="12">
        <f t="shared" si="18"/>
        <v>0</v>
      </c>
      <c r="AE10" s="4">
        <f t="shared" si="19"/>
        <v>7350</v>
      </c>
      <c r="AF10" s="3">
        <f t="shared" si="0"/>
        <v>5384.6153846153848</v>
      </c>
      <c r="AG10" s="3">
        <f t="shared" si="10"/>
        <v>592.30769230769238</v>
      </c>
      <c r="AH10" s="1">
        <v>1675.6666666666699</v>
      </c>
      <c r="AI10" s="1">
        <f t="shared" si="11"/>
        <v>60984.307692307659</v>
      </c>
      <c r="AJ10" s="1">
        <f t="shared" si="12"/>
        <v>199.80384615384574</v>
      </c>
      <c r="AK10" s="3">
        <f t="shared" si="13"/>
        <v>3.6750000000000003</v>
      </c>
      <c r="AL10" s="4">
        <f t="shared" si="20"/>
        <v>6554.2134615384621</v>
      </c>
      <c r="AM10" s="3">
        <v>0</v>
      </c>
      <c r="AN10" s="4">
        <f t="shared" si="21"/>
        <v>6554.2134615384621</v>
      </c>
      <c r="AO10" s="1">
        <f t="shared" si="22"/>
        <v>1009.6153846153846</v>
      </c>
      <c r="AP10" s="41">
        <v>15</v>
      </c>
      <c r="AQ10" s="54">
        <f t="shared" si="14"/>
        <v>8359.6153846153848</v>
      </c>
    </row>
    <row r="11" spans="1:43" x14ac:dyDescent="0.35">
      <c r="A11" s="26" t="s">
        <v>196</v>
      </c>
      <c r="B11" s="44" t="s">
        <v>395</v>
      </c>
      <c r="C11" s="58" t="s">
        <v>263</v>
      </c>
      <c r="D11" s="63" t="s">
        <v>507</v>
      </c>
      <c r="E11" s="66" t="s">
        <v>203</v>
      </c>
      <c r="F11" s="68" t="s">
        <v>204</v>
      </c>
      <c r="G11" s="70" t="s">
        <v>526</v>
      </c>
      <c r="H11" s="72">
        <v>4000</v>
      </c>
      <c r="I11" s="72">
        <v>3000</v>
      </c>
      <c r="J11" s="9">
        <v>0</v>
      </c>
      <c r="K11" s="75">
        <v>1.05</v>
      </c>
      <c r="L11" s="9">
        <f t="shared" si="15"/>
        <v>3150</v>
      </c>
      <c r="M11" s="9"/>
      <c r="N11" s="9">
        <f t="shared" si="1"/>
        <v>30</v>
      </c>
      <c r="O11" s="9">
        <f t="shared" si="2"/>
        <v>0</v>
      </c>
      <c r="P11" s="10">
        <f t="shared" si="3"/>
        <v>133.33333333333334</v>
      </c>
      <c r="Q11" s="10">
        <f t="shared" si="4"/>
        <v>105</v>
      </c>
      <c r="R11" s="10">
        <f t="shared" si="5"/>
        <v>238.33333333333334</v>
      </c>
      <c r="S11" s="10">
        <f t="shared" si="6"/>
        <v>16.666666666666668</v>
      </c>
      <c r="T11" s="9">
        <v>28</v>
      </c>
      <c r="U11" s="9">
        <f t="shared" si="7"/>
        <v>466.66666666666669</v>
      </c>
      <c r="V11" s="9">
        <v>0</v>
      </c>
      <c r="W11" s="16">
        <f t="shared" si="16"/>
        <v>7616.666666666667</v>
      </c>
      <c r="X11" s="49">
        <v>0</v>
      </c>
      <c r="Y11" s="11">
        <f t="shared" si="8"/>
        <v>0</v>
      </c>
      <c r="Z11" s="38">
        <v>0</v>
      </c>
      <c r="AA11" s="11">
        <f t="shared" si="9"/>
        <v>0</v>
      </c>
      <c r="AB11" s="11">
        <v>0</v>
      </c>
      <c r="AC11" s="11">
        <f t="shared" si="17"/>
        <v>0</v>
      </c>
      <c r="AD11" s="12">
        <f t="shared" si="18"/>
        <v>0</v>
      </c>
      <c r="AE11" s="4">
        <f t="shared" si="19"/>
        <v>7616.666666666667</v>
      </c>
      <c r="AF11" s="3">
        <f t="shared" si="0"/>
        <v>5384.6153846153848</v>
      </c>
      <c r="AG11" s="3">
        <f t="shared" si="10"/>
        <v>592.30769230769238</v>
      </c>
      <c r="AH11" s="1">
        <v>1676.6666666666699</v>
      </c>
      <c r="AI11" s="1">
        <f t="shared" si="11"/>
        <v>64172.307692307659</v>
      </c>
      <c r="AJ11" s="1">
        <f t="shared" si="12"/>
        <v>239.65384615384573</v>
      </c>
      <c r="AK11" s="3">
        <f t="shared" si="13"/>
        <v>3.8083333333333336</v>
      </c>
      <c r="AL11" s="4">
        <f t="shared" si="20"/>
        <v>6780.8967948717955</v>
      </c>
      <c r="AM11" s="3">
        <v>0</v>
      </c>
      <c r="AN11" s="4">
        <f t="shared" si="21"/>
        <v>6780.8967948717955</v>
      </c>
      <c r="AO11" s="1">
        <f t="shared" si="22"/>
        <v>1009.6153846153846</v>
      </c>
      <c r="AP11" s="41">
        <v>11</v>
      </c>
      <c r="AQ11" s="54">
        <f t="shared" si="14"/>
        <v>8626.2820512820508</v>
      </c>
    </row>
    <row r="12" spans="1:43" x14ac:dyDescent="0.35">
      <c r="A12" s="26" t="s">
        <v>196</v>
      </c>
      <c r="B12" s="44" t="s">
        <v>396</v>
      </c>
      <c r="C12" s="58" t="s">
        <v>264</v>
      </c>
      <c r="D12" s="63" t="s">
        <v>507</v>
      </c>
      <c r="E12" s="66" t="s">
        <v>205</v>
      </c>
      <c r="F12" s="68" t="s">
        <v>206</v>
      </c>
      <c r="G12" s="70" t="s">
        <v>526</v>
      </c>
      <c r="H12" s="72">
        <v>4000</v>
      </c>
      <c r="I12" s="72">
        <v>3000</v>
      </c>
      <c r="J12" s="9">
        <v>0</v>
      </c>
      <c r="K12" s="75">
        <v>1.05</v>
      </c>
      <c r="L12" s="9">
        <f t="shared" si="15"/>
        <v>3150</v>
      </c>
      <c r="M12" s="9"/>
      <c r="N12" s="9">
        <f t="shared" si="1"/>
        <v>30</v>
      </c>
      <c r="O12" s="9">
        <f t="shared" si="2"/>
        <v>0</v>
      </c>
      <c r="P12" s="10">
        <f t="shared" si="3"/>
        <v>133.33333333333334</v>
      </c>
      <c r="Q12" s="10">
        <f t="shared" si="4"/>
        <v>105</v>
      </c>
      <c r="R12" s="10">
        <f t="shared" si="5"/>
        <v>238.33333333333334</v>
      </c>
      <c r="S12" s="10">
        <f t="shared" si="6"/>
        <v>16.666666666666668</v>
      </c>
      <c r="T12" s="9">
        <v>28</v>
      </c>
      <c r="U12" s="9">
        <f t="shared" si="7"/>
        <v>466.66666666666669</v>
      </c>
      <c r="V12" s="9">
        <v>0</v>
      </c>
      <c r="W12" s="16">
        <f t="shared" si="16"/>
        <v>7616.666666666667</v>
      </c>
      <c r="X12" s="49">
        <v>0</v>
      </c>
      <c r="Y12" s="11">
        <f t="shared" si="8"/>
        <v>0</v>
      </c>
      <c r="Z12" s="38">
        <v>2</v>
      </c>
      <c r="AA12" s="11">
        <f t="shared" si="9"/>
        <v>266.66666666666669</v>
      </c>
      <c r="AB12" s="11">
        <v>0</v>
      </c>
      <c r="AC12" s="11">
        <f t="shared" si="17"/>
        <v>0</v>
      </c>
      <c r="AD12" s="12">
        <f t="shared" si="18"/>
        <v>266.66666666666669</v>
      </c>
      <c r="AE12" s="4">
        <f t="shared" si="19"/>
        <v>7350</v>
      </c>
      <c r="AF12" s="3">
        <f t="shared" si="0"/>
        <v>5384.6153846153848</v>
      </c>
      <c r="AG12" s="3">
        <f t="shared" si="10"/>
        <v>592.30769230769238</v>
      </c>
      <c r="AH12" s="1">
        <v>1677.6666666666699</v>
      </c>
      <c r="AI12" s="1">
        <f t="shared" si="11"/>
        <v>60960.307692307659</v>
      </c>
      <c r="AJ12" s="1">
        <f t="shared" si="12"/>
        <v>199.50384615384573</v>
      </c>
      <c r="AK12" s="3">
        <f t="shared" si="13"/>
        <v>3.6750000000000003</v>
      </c>
      <c r="AL12" s="4">
        <f t="shared" si="20"/>
        <v>6554.5134615384613</v>
      </c>
      <c r="AM12" s="3">
        <v>0</v>
      </c>
      <c r="AN12" s="4">
        <f t="shared" si="21"/>
        <v>6554.5134615384613</v>
      </c>
      <c r="AO12" s="1">
        <f t="shared" si="22"/>
        <v>1009.6153846153846</v>
      </c>
      <c r="AP12" s="41">
        <v>9</v>
      </c>
      <c r="AQ12" s="54">
        <f t="shared" si="14"/>
        <v>8359.6153846153848</v>
      </c>
    </row>
    <row r="13" spans="1:43" x14ac:dyDescent="0.35">
      <c r="A13" s="26" t="s">
        <v>196</v>
      </c>
      <c r="B13" s="44" t="s">
        <v>397</v>
      </c>
      <c r="C13" s="58" t="s">
        <v>546</v>
      </c>
      <c r="D13" s="63" t="s">
        <v>507</v>
      </c>
      <c r="E13" s="66" t="s">
        <v>662</v>
      </c>
      <c r="F13" s="68">
        <v>29811060103787</v>
      </c>
      <c r="G13" s="70" t="s">
        <v>527</v>
      </c>
      <c r="H13" s="72">
        <v>5000</v>
      </c>
      <c r="I13" s="72">
        <v>3000</v>
      </c>
      <c r="J13" s="9">
        <v>0</v>
      </c>
      <c r="K13" s="75">
        <v>1.05</v>
      </c>
      <c r="L13" s="9">
        <f t="shared" si="15"/>
        <v>3150</v>
      </c>
      <c r="M13" s="9"/>
      <c r="N13" s="9">
        <f t="shared" si="1"/>
        <v>30</v>
      </c>
      <c r="O13" s="9">
        <f t="shared" si="2"/>
        <v>0</v>
      </c>
      <c r="P13" s="10">
        <f t="shared" si="3"/>
        <v>166.66666666666666</v>
      </c>
      <c r="Q13" s="10">
        <f t="shared" si="4"/>
        <v>105</v>
      </c>
      <c r="R13" s="10">
        <f t="shared" si="5"/>
        <v>271.66666666666663</v>
      </c>
      <c r="S13" s="10">
        <f t="shared" si="6"/>
        <v>20.833333333333332</v>
      </c>
      <c r="T13" s="9">
        <v>28</v>
      </c>
      <c r="U13" s="9">
        <f t="shared" si="7"/>
        <v>583.33333333333326</v>
      </c>
      <c r="V13" s="9">
        <v>0</v>
      </c>
      <c r="W13" s="16">
        <f t="shared" si="16"/>
        <v>8733.3333333333339</v>
      </c>
      <c r="X13" s="49">
        <v>0</v>
      </c>
      <c r="Y13" s="11">
        <f t="shared" si="8"/>
        <v>0</v>
      </c>
      <c r="Z13" s="38">
        <v>0</v>
      </c>
      <c r="AA13" s="11">
        <f t="shared" si="9"/>
        <v>0</v>
      </c>
      <c r="AB13" s="11">
        <v>0</v>
      </c>
      <c r="AC13" s="11">
        <f t="shared" si="17"/>
        <v>0</v>
      </c>
      <c r="AD13" s="12">
        <f t="shared" si="18"/>
        <v>0</v>
      </c>
      <c r="AE13" s="4">
        <f t="shared" si="19"/>
        <v>8733.3333333333339</v>
      </c>
      <c r="AF13" s="3">
        <f t="shared" si="0"/>
        <v>5384.6153846153848</v>
      </c>
      <c r="AG13" s="3">
        <f t="shared" si="10"/>
        <v>592.30769230769238</v>
      </c>
      <c r="AH13" s="1">
        <v>1678.6666666666699</v>
      </c>
      <c r="AI13" s="1">
        <f t="shared" si="11"/>
        <v>77548.307692307659</v>
      </c>
      <c r="AJ13" s="1">
        <f t="shared" si="12"/>
        <v>438.30512820512763</v>
      </c>
      <c r="AK13" s="3">
        <f t="shared" si="13"/>
        <v>4.3666666666666671</v>
      </c>
      <c r="AL13" s="4">
        <f t="shared" si="20"/>
        <v>7698.3538461538474</v>
      </c>
      <c r="AM13" s="3">
        <v>0</v>
      </c>
      <c r="AN13" s="4">
        <f t="shared" si="21"/>
        <v>7698.3538461538474</v>
      </c>
      <c r="AO13" s="1">
        <f t="shared" si="22"/>
        <v>1009.6153846153846</v>
      </c>
      <c r="AP13" s="41">
        <v>19</v>
      </c>
      <c r="AQ13" s="54">
        <f t="shared" si="14"/>
        <v>9742.9487179487187</v>
      </c>
    </row>
    <row r="14" spans="1:43" x14ac:dyDescent="0.35">
      <c r="A14" s="26" t="s">
        <v>196</v>
      </c>
      <c r="B14" s="44" t="s">
        <v>398</v>
      </c>
      <c r="C14" s="58" t="s">
        <v>265</v>
      </c>
      <c r="D14" s="63" t="s">
        <v>507</v>
      </c>
      <c r="E14" s="64" t="s">
        <v>207</v>
      </c>
      <c r="F14" s="68" t="s">
        <v>30</v>
      </c>
      <c r="G14" s="70" t="s">
        <v>526</v>
      </c>
      <c r="H14" s="72">
        <v>4000</v>
      </c>
      <c r="I14" s="72">
        <v>3000</v>
      </c>
      <c r="J14" s="9">
        <v>0</v>
      </c>
      <c r="K14" s="75">
        <v>1.05</v>
      </c>
      <c r="L14" s="9">
        <f>+I14*K14</f>
        <v>3150</v>
      </c>
      <c r="M14" s="9"/>
      <c r="N14" s="9">
        <f t="shared" si="1"/>
        <v>30</v>
      </c>
      <c r="O14" s="9">
        <f t="shared" si="2"/>
        <v>0</v>
      </c>
      <c r="P14" s="10">
        <f t="shared" si="3"/>
        <v>133.33333333333334</v>
      </c>
      <c r="Q14" s="10">
        <f t="shared" si="4"/>
        <v>105</v>
      </c>
      <c r="R14" s="10">
        <f t="shared" si="5"/>
        <v>238.33333333333334</v>
      </c>
      <c r="S14" s="10">
        <f t="shared" si="6"/>
        <v>16.666666666666668</v>
      </c>
      <c r="T14" s="9">
        <v>28</v>
      </c>
      <c r="U14" s="9">
        <f t="shared" si="7"/>
        <v>466.66666666666669</v>
      </c>
      <c r="V14" s="9">
        <v>0</v>
      </c>
      <c r="W14" s="16">
        <f>H14+L14+U14+V14+J14</f>
        <v>7616.666666666667</v>
      </c>
      <c r="X14" s="49">
        <v>0</v>
      </c>
      <c r="Y14" s="11">
        <f t="shared" si="8"/>
        <v>0</v>
      </c>
      <c r="Z14" s="38">
        <v>0</v>
      </c>
      <c r="AA14" s="11">
        <f t="shared" si="9"/>
        <v>0</v>
      </c>
      <c r="AB14" s="11">
        <v>0</v>
      </c>
      <c r="AC14" s="11">
        <f>Q14*AB14</f>
        <v>0</v>
      </c>
      <c r="AD14" s="12">
        <f>Y14+AA14+AC14</f>
        <v>0</v>
      </c>
      <c r="AE14" s="4">
        <f>W14-AD14</f>
        <v>7616.666666666667</v>
      </c>
      <c r="AF14" s="3">
        <f t="shared" si="0"/>
        <v>5384.6153846153848</v>
      </c>
      <c r="AG14" s="3">
        <f t="shared" si="10"/>
        <v>592.30769230769238</v>
      </c>
      <c r="AH14" s="1">
        <v>1679.6666666666699</v>
      </c>
      <c r="AI14" s="1">
        <f t="shared" si="11"/>
        <v>64136.307692307659</v>
      </c>
      <c r="AJ14" s="1">
        <f t="shared" si="12"/>
        <v>239.20384615384572</v>
      </c>
      <c r="AK14" s="3">
        <f t="shared" si="13"/>
        <v>3.8083333333333336</v>
      </c>
      <c r="AL14" s="4">
        <f>+AE14-AG14-AJ14-AK14</f>
        <v>6781.3467948717953</v>
      </c>
      <c r="AM14" s="3">
        <v>0</v>
      </c>
      <c r="AN14" s="4">
        <f>+AL14-AM14</f>
        <v>6781.3467948717953</v>
      </c>
      <c r="AO14" s="1">
        <f>+AF14*0.1875</f>
        <v>1009.6153846153846</v>
      </c>
      <c r="AP14" s="41">
        <v>10</v>
      </c>
      <c r="AQ14" s="54">
        <f t="shared" si="14"/>
        <v>8626.2820512820508</v>
      </c>
    </row>
    <row r="15" spans="1:43" x14ac:dyDescent="0.35">
      <c r="A15" s="26" t="s">
        <v>196</v>
      </c>
      <c r="B15" s="44" t="s">
        <v>399</v>
      </c>
      <c r="C15" s="58" t="s">
        <v>266</v>
      </c>
      <c r="D15" s="63" t="s">
        <v>507</v>
      </c>
      <c r="E15" s="66" t="s">
        <v>208</v>
      </c>
      <c r="F15" s="68" t="s">
        <v>209</v>
      </c>
      <c r="G15" s="70" t="s">
        <v>526</v>
      </c>
      <c r="H15" s="72">
        <v>4000</v>
      </c>
      <c r="I15" s="72">
        <v>3000</v>
      </c>
      <c r="J15" s="9">
        <v>0</v>
      </c>
      <c r="K15" s="75">
        <v>1.05</v>
      </c>
      <c r="L15" s="9">
        <f t="shared" si="15"/>
        <v>3150</v>
      </c>
      <c r="M15" s="9"/>
      <c r="N15" s="9">
        <f t="shared" si="1"/>
        <v>30</v>
      </c>
      <c r="O15" s="9">
        <f t="shared" si="2"/>
        <v>0</v>
      </c>
      <c r="P15" s="10">
        <f t="shared" si="3"/>
        <v>133.33333333333334</v>
      </c>
      <c r="Q15" s="10">
        <f t="shared" si="4"/>
        <v>105</v>
      </c>
      <c r="R15" s="10">
        <f t="shared" si="5"/>
        <v>238.33333333333334</v>
      </c>
      <c r="S15" s="10">
        <f t="shared" si="6"/>
        <v>16.666666666666668</v>
      </c>
      <c r="T15" s="9">
        <v>12</v>
      </c>
      <c r="U15" s="9">
        <f t="shared" si="7"/>
        <v>200</v>
      </c>
      <c r="V15" s="9">
        <v>0</v>
      </c>
      <c r="W15" s="16">
        <f t="shared" si="16"/>
        <v>7350</v>
      </c>
      <c r="X15" s="49">
        <v>0</v>
      </c>
      <c r="Y15" s="11">
        <f t="shared" si="8"/>
        <v>0</v>
      </c>
      <c r="Z15" s="38">
        <v>4</v>
      </c>
      <c r="AA15" s="11">
        <f t="shared" si="9"/>
        <v>533.33333333333337</v>
      </c>
      <c r="AB15" s="11">
        <v>0</v>
      </c>
      <c r="AC15" s="11">
        <f t="shared" si="17"/>
        <v>0</v>
      </c>
      <c r="AD15" s="12">
        <f t="shared" si="18"/>
        <v>533.33333333333337</v>
      </c>
      <c r="AE15" s="4">
        <f t="shared" si="19"/>
        <v>6816.666666666667</v>
      </c>
      <c r="AF15" s="3">
        <f t="shared" si="0"/>
        <v>5384.6153846153848</v>
      </c>
      <c r="AG15" s="3">
        <f t="shared" si="10"/>
        <v>592.30769230769238</v>
      </c>
      <c r="AH15" s="1">
        <v>1680.6666666666699</v>
      </c>
      <c r="AI15" s="1">
        <f t="shared" si="11"/>
        <v>54524.307692307659</v>
      </c>
      <c r="AJ15" s="1">
        <f t="shared" si="12"/>
        <v>121.03589743589716</v>
      </c>
      <c r="AK15" s="3">
        <f t="shared" si="13"/>
        <v>3.4083333333333337</v>
      </c>
      <c r="AL15" s="4">
        <f t="shared" si="20"/>
        <v>6099.9147435897439</v>
      </c>
      <c r="AM15" s="3">
        <v>0</v>
      </c>
      <c r="AN15" s="4">
        <f t="shared" si="21"/>
        <v>6099.9147435897439</v>
      </c>
      <c r="AO15" s="1">
        <f t="shared" si="22"/>
        <v>1009.6153846153846</v>
      </c>
      <c r="AP15" s="41">
        <v>8</v>
      </c>
      <c r="AQ15" s="54">
        <f t="shared" si="14"/>
        <v>7826.2820512820517</v>
      </c>
    </row>
    <row r="16" spans="1:43" x14ac:dyDescent="0.35">
      <c r="A16" s="26" t="s">
        <v>196</v>
      </c>
      <c r="B16" s="44" t="s">
        <v>400</v>
      </c>
      <c r="C16" s="58" t="s">
        <v>552</v>
      </c>
      <c r="D16" s="63" t="s">
        <v>507</v>
      </c>
      <c r="E16" s="66" t="s">
        <v>663</v>
      </c>
      <c r="F16" s="68">
        <v>30005182800267</v>
      </c>
      <c r="G16" s="70" t="s">
        <v>526</v>
      </c>
      <c r="H16" s="72">
        <v>4000</v>
      </c>
      <c r="I16" s="72">
        <v>3000</v>
      </c>
      <c r="J16" s="9">
        <v>0</v>
      </c>
      <c r="K16" s="75">
        <v>1.05</v>
      </c>
      <c r="L16" s="9">
        <f t="shared" si="15"/>
        <v>3150</v>
      </c>
      <c r="M16" s="9"/>
      <c r="N16" s="9">
        <f t="shared" si="1"/>
        <v>30</v>
      </c>
      <c r="O16" s="9">
        <f t="shared" si="2"/>
        <v>0</v>
      </c>
      <c r="P16" s="10">
        <f t="shared" si="3"/>
        <v>133.33333333333334</v>
      </c>
      <c r="Q16" s="10">
        <f t="shared" si="4"/>
        <v>105</v>
      </c>
      <c r="R16" s="10">
        <f t="shared" si="5"/>
        <v>238.33333333333334</v>
      </c>
      <c r="S16" s="10">
        <f t="shared" si="6"/>
        <v>16.666666666666668</v>
      </c>
      <c r="T16" s="9">
        <v>12</v>
      </c>
      <c r="U16" s="9">
        <f t="shared" si="7"/>
        <v>200</v>
      </c>
      <c r="V16" s="9">
        <v>0</v>
      </c>
      <c r="W16" s="16">
        <f t="shared" si="16"/>
        <v>7350</v>
      </c>
      <c r="X16" s="49">
        <v>0</v>
      </c>
      <c r="Y16" s="11">
        <f t="shared" si="8"/>
        <v>0</v>
      </c>
      <c r="Z16" s="38">
        <v>0</v>
      </c>
      <c r="AA16" s="11">
        <f t="shared" si="9"/>
        <v>0</v>
      </c>
      <c r="AB16" s="11">
        <v>0</v>
      </c>
      <c r="AC16" s="11">
        <f t="shared" si="17"/>
        <v>0</v>
      </c>
      <c r="AD16" s="12">
        <f t="shared" si="18"/>
        <v>0</v>
      </c>
      <c r="AE16" s="4">
        <f t="shared" si="19"/>
        <v>7350</v>
      </c>
      <c r="AF16" s="3">
        <f t="shared" si="0"/>
        <v>5384.6153846153848</v>
      </c>
      <c r="AG16" s="3">
        <f t="shared" si="10"/>
        <v>592.30769230769238</v>
      </c>
      <c r="AH16" s="1">
        <v>1681.6666666666699</v>
      </c>
      <c r="AI16" s="1">
        <f t="shared" si="11"/>
        <v>60912.307692307659</v>
      </c>
      <c r="AJ16" s="1">
        <f t="shared" si="12"/>
        <v>198.90384615384573</v>
      </c>
      <c r="AK16" s="3">
        <f t="shared" si="13"/>
        <v>3.6750000000000003</v>
      </c>
      <c r="AL16" s="4">
        <f t="shared" si="20"/>
        <v>6555.1134615384617</v>
      </c>
      <c r="AM16" s="3">
        <v>0</v>
      </c>
      <c r="AN16" s="4">
        <f t="shared" si="21"/>
        <v>6555.1134615384617</v>
      </c>
      <c r="AO16" s="1">
        <f t="shared" si="22"/>
        <v>1009.6153846153846</v>
      </c>
      <c r="AP16" s="41">
        <v>19</v>
      </c>
      <c r="AQ16" s="54">
        <f t="shared" si="14"/>
        <v>8359.6153846153848</v>
      </c>
    </row>
    <row r="17" spans="1:43" x14ac:dyDescent="0.35">
      <c r="A17" s="26" t="s">
        <v>196</v>
      </c>
      <c r="B17" s="44" t="s">
        <v>401</v>
      </c>
      <c r="C17" s="58" t="s">
        <v>534</v>
      </c>
      <c r="D17" s="63" t="s">
        <v>507</v>
      </c>
      <c r="E17" s="66" t="s">
        <v>664</v>
      </c>
      <c r="F17" s="68">
        <v>30406100101522</v>
      </c>
      <c r="G17" s="70" t="s">
        <v>526</v>
      </c>
      <c r="H17" s="72">
        <v>4000</v>
      </c>
      <c r="I17" s="72">
        <v>3000</v>
      </c>
      <c r="J17" s="9">
        <v>0</v>
      </c>
      <c r="K17" s="75">
        <v>1.05</v>
      </c>
      <c r="L17" s="9">
        <f t="shared" si="15"/>
        <v>3150</v>
      </c>
      <c r="M17" s="9"/>
      <c r="N17" s="9">
        <f t="shared" si="1"/>
        <v>30</v>
      </c>
      <c r="O17" s="9">
        <f t="shared" si="2"/>
        <v>0</v>
      </c>
      <c r="P17" s="10">
        <f t="shared" si="3"/>
        <v>133.33333333333334</v>
      </c>
      <c r="Q17" s="10">
        <f t="shared" si="4"/>
        <v>105</v>
      </c>
      <c r="R17" s="10">
        <f t="shared" si="5"/>
        <v>238.33333333333334</v>
      </c>
      <c r="S17" s="10">
        <f t="shared" si="6"/>
        <v>16.666666666666668</v>
      </c>
      <c r="T17" s="9">
        <v>28</v>
      </c>
      <c r="U17" s="9">
        <f t="shared" si="7"/>
        <v>466.66666666666669</v>
      </c>
      <c r="V17" s="9">
        <v>0</v>
      </c>
      <c r="W17" s="16">
        <f t="shared" si="16"/>
        <v>7616.666666666667</v>
      </c>
      <c r="X17" s="49">
        <v>0</v>
      </c>
      <c r="Y17" s="11">
        <f t="shared" si="8"/>
        <v>0</v>
      </c>
      <c r="Z17" s="38">
        <v>0</v>
      </c>
      <c r="AA17" s="11">
        <f t="shared" si="9"/>
        <v>0</v>
      </c>
      <c r="AB17" s="11">
        <v>0</v>
      </c>
      <c r="AC17" s="11">
        <f t="shared" si="17"/>
        <v>0</v>
      </c>
      <c r="AD17" s="12">
        <f t="shared" si="18"/>
        <v>0</v>
      </c>
      <c r="AE17" s="4">
        <f t="shared" si="19"/>
        <v>7616.666666666667</v>
      </c>
      <c r="AF17" s="3">
        <f t="shared" si="0"/>
        <v>5384.6153846153848</v>
      </c>
      <c r="AG17" s="3">
        <f t="shared" si="10"/>
        <v>592.30769230769238</v>
      </c>
      <c r="AH17" s="1">
        <v>1683.6666666666699</v>
      </c>
      <c r="AI17" s="1">
        <f t="shared" si="11"/>
        <v>64088.307692307659</v>
      </c>
      <c r="AJ17" s="1">
        <f t="shared" si="12"/>
        <v>238.60384615384569</v>
      </c>
      <c r="AK17" s="3">
        <f t="shared" si="13"/>
        <v>3.8083333333333336</v>
      </c>
      <c r="AL17" s="4">
        <f t="shared" si="20"/>
        <v>6781.9467948717956</v>
      </c>
      <c r="AM17" s="3">
        <v>0</v>
      </c>
      <c r="AN17" s="4">
        <f t="shared" si="21"/>
        <v>6781.9467948717956</v>
      </c>
      <c r="AO17" s="1">
        <f t="shared" si="22"/>
        <v>1009.6153846153846</v>
      </c>
      <c r="AP17" s="41">
        <v>17</v>
      </c>
      <c r="AQ17" s="54">
        <f t="shared" si="14"/>
        <v>8626.2820512820508</v>
      </c>
    </row>
    <row r="18" spans="1:43" x14ac:dyDescent="0.35">
      <c r="A18" s="26" t="s">
        <v>196</v>
      </c>
      <c r="B18" s="44" t="s">
        <v>402</v>
      </c>
      <c r="C18" s="58" t="s">
        <v>267</v>
      </c>
      <c r="D18" s="63" t="s">
        <v>507</v>
      </c>
      <c r="E18" s="66" t="s">
        <v>212</v>
      </c>
      <c r="F18" s="68" t="s">
        <v>33</v>
      </c>
      <c r="G18" s="70" t="s">
        <v>526</v>
      </c>
      <c r="H18" s="72">
        <v>4000</v>
      </c>
      <c r="I18" s="72">
        <v>3000</v>
      </c>
      <c r="J18" s="9">
        <v>0</v>
      </c>
      <c r="K18" s="75">
        <v>1.05</v>
      </c>
      <c r="L18" s="9">
        <f>+I18*K18</f>
        <v>3150</v>
      </c>
      <c r="M18" s="9"/>
      <c r="N18" s="9">
        <f t="shared" si="1"/>
        <v>30</v>
      </c>
      <c r="O18" s="9">
        <f t="shared" si="2"/>
        <v>0</v>
      </c>
      <c r="P18" s="10">
        <f t="shared" si="3"/>
        <v>133.33333333333334</v>
      </c>
      <c r="Q18" s="10">
        <f t="shared" si="4"/>
        <v>105</v>
      </c>
      <c r="R18" s="10">
        <f t="shared" si="5"/>
        <v>238.33333333333334</v>
      </c>
      <c r="S18" s="10">
        <f t="shared" si="6"/>
        <v>16.666666666666668</v>
      </c>
      <c r="T18" s="9">
        <v>28</v>
      </c>
      <c r="U18" s="9">
        <f t="shared" si="7"/>
        <v>466.66666666666669</v>
      </c>
      <c r="V18" s="9">
        <v>0</v>
      </c>
      <c r="W18" s="16">
        <f>H18+L18+U18+V18+J18</f>
        <v>7616.666666666667</v>
      </c>
      <c r="X18" s="49">
        <v>0</v>
      </c>
      <c r="Y18" s="11">
        <f t="shared" si="8"/>
        <v>0</v>
      </c>
      <c r="Z18" s="38">
        <v>6</v>
      </c>
      <c r="AA18" s="11">
        <f t="shared" si="9"/>
        <v>800</v>
      </c>
      <c r="AB18" s="11">
        <v>0</v>
      </c>
      <c r="AC18" s="11">
        <f>Q18*AB18</f>
        <v>0</v>
      </c>
      <c r="AD18" s="12">
        <f>Y18+AA18+AC18</f>
        <v>800</v>
      </c>
      <c r="AE18" s="4">
        <f>W18-AD18</f>
        <v>6816.666666666667</v>
      </c>
      <c r="AF18" s="3">
        <f t="shared" si="0"/>
        <v>5384.6153846153848</v>
      </c>
      <c r="AG18" s="3">
        <f t="shared" si="10"/>
        <v>592.30769230769238</v>
      </c>
      <c r="AH18" s="1">
        <v>1684.6666666666699</v>
      </c>
      <c r="AI18" s="1">
        <f t="shared" si="11"/>
        <v>54476.307692307659</v>
      </c>
      <c r="AJ18" s="1">
        <f t="shared" si="12"/>
        <v>120.63589743589716</v>
      </c>
      <c r="AK18" s="3">
        <f t="shared" si="13"/>
        <v>3.4083333333333337</v>
      </c>
      <c r="AL18" s="4">
        <f>+AE18-AG18-AJ18-AK18</f>
        <v>6100.3147435897436</v>
      </c>
      <c r="AM18" s="3">
        <v>0</v>
      </c>
      <c r="AN18" s="4">
        <f>+AL18-AM18</f>
        <v>6100.3147435897436</v>
      </c>
      <c r="AO18" s="1">
        <f>+AF18*0.1875</f>
        <v>1009.6153846153846</v>
      </c>
      <c r="AP18" s="41">
        <v>8</v>
      </c>
      <c r="AQ18" s="54">
        <f t="shared" si="14"/>
        <v>7826.2820512820517</v>
      </c>
    </row>
    <row r="19" spans="1:43" x14ac:dyDescent="0.35">
      <c r="A19" s="26" t="s">
        <v>196</v>
      </c>
      <c r="B19" s="44" t="s">
        <v>403</v>
      </c>
      <c r="C19" s="58" t="s">
        <v>268</v>
      </c>
      <c r="D19" s="63" t="s">
        <v>507</v>
      </c>
      <c r="E19" s="66" t="s">
        <v>213</v>
      </c>
      <c r="F19" s="68" t="s">
        <v>37</v>
      </c>
      <c r="G19" s="70" t="s">
        <v>526</v>
      </c>
      <c r="H19" s="72">
        <v>4000</v>
      </c>
      <c r="I19" s="72">
        <v>3000</v>
      </c>
      <c r="J19" s="9">
        <v>0</v>
      </c>
      <c r="K19" s="75">
        <v>1.05</v>
      </c>
      <c r="L19" s="9">
        <f>+I19*K19</f>
        <v>3150</v>
      </c>
      <c r="M19" s="9"/>
      <c r="N19" s="9">
        <f t="shared" si="1"/>
        <v>30</v>
      </c>
      <c r="O19" s="9">
        <f t="shared" si="2"/>
        <v>0</v>
      </c>
      <c r="P19" s="10">
        <f t="shared" si="3"/>
        <v>133.33333333333334</v>
      </c>
      <c r="Q19" s="10">
        <f t="shared" si="4"/>
        <v>105</v>
      </c>
      <c r="R19" s="10">
        <f t="shared" si="5"/>
        <v>238.33333333333334</v>
      </c>
      <c r="S19" s="10">
        <f t="shared" si="6"/>
        <v>16.666666666666668</v>
      </c>
      <c r="T19" s="9">
        <v>28</v>
      </c>
      <c r="U19" s="9">
        <f t="shared" si="7"/>
        <v>466.66666666666669</v>
      </c>
      <c r="V19" s="9">
        <v>0</v>
      </c>
      <c r="W19" s="16">
        <f>H19+L19+U19+V19+J19</f>
        <v>7616.666666666667</v>
      </c>
      <c r="X19" s="49">
        <v>0</v>
      </c>
      <c r="Y19" s="11">
        <f t="shared" si="8"/>
        <v>0</v>
      </c>
      <c r="Z19" s="38">
        <v>4</v>
      </c>
      <c r="AA19" s="11">
        <f t="shared" si="9"/>
        <v>533.33333333333337</v>
      </c>
      <c r="AB19" s="11">
        <v>0</v>
      </c>
      <c r="AC19" s="11">
        <f>Q19*AB19</f>
        <v>0</v>
      </c>
      <c r="AD19" s="12">
        <f>Y19+AA19+AC19</f>
        <v>533.33333333333337</v>
      </c>
      <c r="AE19" s="4">
        <f>W19-AD19</f>
        <v>7083.3333333333339</v>
      </c>
      <c r="AF19" s="3">
        <f t="shared" si="0"/>
        <v>5384.6153846153848</v>
      </c>
      <c r="AG19" s="3">
        <f t="shared" si="10"/>
        <v>592.30769230769238</v>
      </c>
      <c r="AH19" s="1">
        <v>1686.6666666666699</v>
      </c>
      <c r="AI19" s="1">
        <f t="shared" si="11"/>
        <v>57652.307692307659</v>
      </c>
      <c r="AJ19" s="1">
        <f t="shared" si="12"/>
        <v>158.15384615384573</v>
      </c>
      <c r="AK19" s="3">
        <f t="shared" si="13"/>
        <v>3.541666666666667</v>
      </c>
      <c r="AL19" s="4">
        <f>+AE19-AG19-AJ19-AK19</f>
        <v>6329.3301282051289</v>
      </c>
      <c r="AM19" s="3">
        <v>0</v>
      </c>
      <c r="AN19" s="4">
        <f>+AL19-AM19</f>
        <v>6329.3301282051289</v>
      </c>
      <c r="AO19" s="1">
        <f>+AF19*0.1875</f>
        <v>1009.6153846153846</v>
      </c>
      <c r="AP19" s="41">
        <v>10</v>
      </c>
      <c r="AQ19" s="54">
        <f t="shared" si="14"/>
        <v>8092.9487179487187</v>
      </c>
    </row>
    <row r="20" spans="1:43" x14ac:dyDescent="0.35">
      <c r="A20" s="26" t="s">
        <v>196</v>
      </c>
      <c r="B20" s="44" t="s">
        <v>404</v>
      </c>
      <c r="C20" s="58" t="s">
        <v>536</v>
      </c>
      <c r="D20" s="63" t="s">
        <v>507</v>
      </c>
      <c r="E20" s="66" t="s">
        <v>666</v>
      </c>
      <c r="F20" s="68">
        <v>29808112103402</v>
      </c>
      <c r="G20" s="70" t="s">
        <v>526</v>
      </c>
      <c r="H20" s="72">
        <v>4000</v>
      </c>
      <c r="I20" s="72">
        <v>3000</v>
      </c>
      <c r="J20" s="9">
        <v>0</v>
      </c>
      <c r="K20" s="75">
        <v>1.05</v>
      </c>
      <c r="L20" s="9">
        <f t="shared" si="15"/>
        <v>3150</v>
      </c>
      <c r="M20" s="9"/>
      <c r="N20" s="9">
        <f t="shared" si="1"/>
        <v>30</v>
      </c>
      <c r="O20" s="9">
        <f t="shared" si="2"/>
        <v>0</v>
      </c>
      <c r="P20" s="10">
        <f t="shared" si="3"/>
        <v>133.33333333333334</v>
      </c>
      <c r="Q20" s="10">
        <f t="shared" si="4"/>
        <v>105</v>
      </c>
      <c r="R20" s="10">
        <f t="shared" si="5"/>
        <v>238.33333333333334</v>
      </c>
      <c r="S20" s="10">
        <f t="shared" si="6"/>
        <v>16.666666666666668</v>
      </c>
      <c r="T20" s="9">
        <v>28</v>
      </c>
      <c r="U20" s="9">
        <f t="shared" si="7"/>
        <v>466.66666666666669</v>
      </c>
      <c r="V20" s="9">
        <v>0</v>
      </c>
      <c r="W20" s="16">
        <f t="shared" si="16"/>
        <v>7616.666666666667</v>
      </c>
      <c r="X20" s="49">
        <v>0</v>
      </c>
      <c r="Y20" s="11">
        <f t="shared" si="8"/>
        <v>0</v>
      </c>
      <c r="Z20" s="38">
        <v>0</v>
      </c>
      <c r="AA20" s="11">
        <f t="shared" si="9"/>
        <v>0</v>
      </c>
      <c r="AB20" s="11">
        <v>0</v>
      </c>
      <c r="AC20" s="11">
        <f t="shared" si="17"/>
        <v>0</v>
      </c>
      <c r="AD20" s="12">
        <f t="shared" si="18"/>
        <v>0</v>
      </c>
      <c r="AE20" s="4">
        <f t="shared" si="19"/>
        <v>7616.666666666667</v>
      </c>
      <c r="AF20" s="3">
        <f t="shared" si="0"/>
        <v>5384.6153846153848</v>
      </c>
      <c r="AG20" s="3">
        <f t="shared" si="10"/>
        <v>592.30769230769238</v>
      </c>
      <c r="AH20" s="1">
        <v>1687.6666666666699</v>
      </c>
      <c r="AI20" s="1">
        <f t="shared" si="11"/>
        <v>64040.307692307659</v>
      </c>
      <c r="AJ20" s="1">
        <f t="shared" si="12"/>
        <v>238.00384615384573</v>
      </c>
      <c r="AK20" s="3">
        <f t="shared" si="13"/>
        <v>3.8083333333333336</v>
      </c>
      <c r="AL20" s="4">
        <f t="shared" si="20"/>
        <v>6782.5467948717951</v>
      </c>
      <c r="AM20" s="3">
        <v>0</v>
      </c>
      <c r="AN20" s="4">
        <f t="shared" si="21"/>
        <v>6782.5467948717951</v>
      </c>
      <c r="AO20" s="1">
        <f t="shared" si="22"/>
        <v>1009.6153846153846</v>
      </c>
      <c r="AP20" s="41">
        <v>18</v>
      </c>
      <c r="AQ20" s="54">
        <f t="shared" si="14"/>
        <v>8626.2820512820508</v>
      </c>
    </row>
    <row r="21" spans="1:43" x14ac:dyDescent="0.35">
      <c r="A21" s="26" t="s">
        <v>196</v>
      </c>
      <c r="B21" s="44" t="s">
        <v>405</v>
      </c>
      <c r="C21" s="58" t="s">
        <v>486</v>
      </c>
      <c r="D21" s="63" t="s">
        <v>507</v>
      </c>
      <c r="E21" s="66" t="s">
        <v>461</v>
      </c>
      <c r="F21" s="68">
        <v>29911100100608</v>
      </c>
      <c r="G21" s="70" t="s">
        <v>526</v>
      </c>
      <c r="H21" s="72">
        <v>4000</v>
      </c>
      <c r="I21" s="72">
        <v>3000</v>
      </c>
      <c r="J21" s="9">
        <v>0</v>
      </c>
      <c r="K21" s="75">
        <v>1.05</v>
      </c>
      <c r="L21" s="9">
        <f t="shared" si="15"/>
        <v>3150</v>
      </c>
      <c r="M21" s="9"/>
      <c r="N21" s="9">
        <f t="shared" si="1"/>
        <v>30</v>
      </c>
      <c r="O21" s="9">
        <f t="shared" si="2"/>
        <v>0</v>
      </c>
      <c r="P21" s="10">
        <f t="shared" si="3"/>
        <v>133.33333333333334</v>
      </c>
      <c r="Q21" s="10">
        <f t="shared" si="4"/>
        <v>105</v>
      </c>
      <c r="R21" s="10">
        <f t="shared" si="5"/>
        <v>238.33333333333334</v>
      </c>
      <c r="S21" s="10">
        <f t="shared" si="6"/>
        <v>16.666666666666668</v>
      </c>
      <c r="T21" s="9">
        <v>28</v>
      </c>
      <c r="U21" s="9">
        <f t="shared" si="7"/>
        <v>466.66666666666669</v>
      </c>
      <c r="V21" s="9">
        <v>0</v>
      </c>
      <c r="W21" s="16">
        <f t="shared" si="16"/>
        <v>7616.666666666667</v>
      </c>
      <c r="X21" s="49">
        <v>0</v>
      </c>
      <c r="Y21" s="11">
        <f t="shared" si="8"/>
        <v>0</v>
      </c>
      <c r="Z21" s="38">
        <v>2</v>
      </c>
      <c r="AA21" s="11">
        <f t="shared" si="9"/>
        <v>266.66666666666669</v>
      </c>
      <c r="AB21" s="11">
        <v>0</v>
      </c>
      <c r="AC21" s="11">
        <f t="shared" si="17"/>
        <v>0</v>
      </c>
      <c r="AD21" s="12">
        <f t="shared" si="18"/>
        <v>266.66666666666669</v>
      </c>
      <c r="AE21" s="4">
        <f t="shared" si="19"/>
        <v>7350</v>
      </c>
      <c r="AF21" s="3">
        <f t="shared" si="0"/>
        <v>5384.6153846153848</v>
      </c>
      <c r="AG21" s="3">
        <f t="shared" si="10"/>
        <v>592.30769230769238</v>
      </c>
      <c r="AH21" s="1">
        <v>1688.6666666666699</v>
      </c>
      <c r="AI21" s="1">
        <f t="shared" si="11"/>
        <v>60828.307692307659</v>
      </c>
      <c r="AJ21" s="1">
        <f t="shared" si="12"/>
        <v>197.85384615384575</v>
      </c>
      <c r="AK21" s="3">
        <f t="shared" si="13"/>
        <v>3.6750000000000003</v>
      </c>
      <c r="AL21" s="4">
        <f t="shared" si="20"/>
        <v>6556.1634615384619</v>
      </c>
      <c r="AM21" s="3">
        <v>0</v>
      </c>
      <c r="AN21" s="4">
        <f t="shared" si="21"/>
        <v>6556.1634615384619</v>
      </c>
      <c r="AO21" s="1">
        <f t="shared" si="22"/>
        <v>1009.6153846153846</v>
      </c>
      <c r="AP21" s="41">
        <v>13</v>
      </c>
      <c r="AQ21" s="54">
        <f t="shared" si="14"/>
        <v>8359.6153846153848</v>
      </c>
    </row>
    <row r="22" spans="1:43" x14ac:dyDescent="0.35">
      <c r="A22" s="26" t="s">
        <v>196</v>
      </c>
      <c r="B22" s="44" t="s">
        <v>406</v>
      </c>
      <c r="C22" s="58" t="s">
        <v>303</v>
      </c>
      <c r="D22" s="63" t="s">
        <v>507</v>
      </c>
      <c r="E22" s="66" t="s">
        <v>214</v>
      </c>
      <c r="F22" s="68" t="s">
        <v>36</v>
      </c>
      <c r="G22" s="70" t="s">
        <v>526</v>
      </c>
      <c r="H22" s="72">
        <v>4000</v>
      </c>
      <c r="I22" s="72">
        <v>3000</v>
      </c>
      <c r="J22" s="9">
        <v>0</v>
      </c>
      <c r="K22" s="75">
        <v>1.05</v>
      </c>
      <c r="L22" s="9">
        <f t="shared" si="15"/>
        <v>3150</v>
      </c>
      <c r="M22" s="9"/>
      <c r="N22" s="9">
        <f t="shared" si="1"/>
        <v>30</v>
      </c>
      <c r="O22" s="9">
        <f t="shared" si="2"/>
        <v>0</v>
      </c>
      <c r="P22" s="10">
        <f t="shared" si="3"/>
        <v>133.33333333333334</v>
      </c>
      <c r="Q22" s="10">
        <f t="shared" si="4"/>
        <v>105</v>
      </c>
      <c r="R22" s="10">
        <f t="shared" si="5"/>
        <v>238.33333333333334</v>
      </c>
      <c r="S22" s="10">
        <f t="shared" si="6"/>
        <v>16.666666666666668</v>
      </c>
      <c r="T22" s="9">
        <v>44</v>
      </c>
      <c r="U22" s="9">
        <f t="shared" si="7"/>
        <v>733.33333333333337</v>
      </c>
      <c r="V22" s="9">
        <v>0</v>
      </c>
      <c r="W22" s="16">
        <f t="shared" si="16"/>
        <v>7883.333333333333</v>
      </c>
      <c r="X22" s="49">
        <v>0</v>
      </c>
      <c r="Y22" s="11">
        <f t="shared" si="8"/>
        <v>0</v>
      </c>
      <c r="Z22" s="38">
        <v>0</v>
      </c>
      <c r="AA22" s="11">
        <f t="shared" si="9"/>
        <v>0</v>
      </c>
      <c r="AB22" s="11">
        <v>0</v>
      </c>
      <c r="AC22" s="11">
        <f t="shared" si="17"/>
        <v>0</v>
      </c>
      <c r="AD22" s="12">
        <f t="shared" si="18"/>
        <v>0</v>
      </c>
      <c r="AE22" s="4">
        <f t="shared" si="19"/>
        <v>7883.333333333333</v>
      </c>
      <c r="AF22" s="3">
        <f t="shared" si="0"/>
        <v>5384.6153846153848</v>
      </c>
      <c r="AG22" s="3">
        <f t="shared" si="10"/>
        <v>592.30769230769238</v>
      </c>
      <c r="AH22" s="1">
        <v>1689.6666666666699</v>
      </c>
      <c r="AI22" s="1">
        <f t="shared" si="11"/>
        <v>67216.307692307659</v>
      </c>
      <c r="AJ22" s="1">
        <f t="shared" si="12"/>
        <v>277.70384615384575</v>
      </c>
      <c r="AK22" s="3">
        <f t="shared" si="13"/>
        <v>3.9416666666666664</v>
      </c>
      <c r="AL22" s="4">
        <f t="shared" si="20"/>
        <v>7009.3801282051281</v>
      </c>
      <c r="AM22" s="3">
        <v>0</v>
      </c>
      <c r="AN22" s="4">
        <f t="shared" si="21"/>
        <v>7009.3801282051281</v>
      </c>
      <c r="AO22" s="1">
        <f t="shared" si="22"/>
        <v>1009.6153846153846</v>
      </c>
      <c r="AP22" s="41">
        <v>13</v>
      </c>
      <c r="AQ22" s="54">
        <f t="shared" si="14"/>
        <v>8892.9487179487169</v>
      </c>
    </row>
    <row r="23" spans="1:43" x14ac:dyDescent="0.35">
      <c r="A23" s="26" t="s">
        <v>196</v>
      </c>
      <c r="B23" s="44" t="s">
        <v>407</v>
      </c>
      <c r="C23" s="58" t="s">
        <v>269</v>
      </c>
      <c r="D23" s="63" t="s">
        <v>507</v>
      </c>
      <c r="E23" s="66" t="s">
        <v>215</v>
      </c>
      <c r="F23" s="68" t="s">
        <v>31</v>
      </c>
      <c r="G23" s="70" t="s">
        <v>526</v>
      </c>
      <c r="H23" s="72">
        <v>4000</v>
      </c>
      <c r="I23" s="72">
        <v>3000</v>
      </c>
      <c r="J23" s="9">
        <v>0</v>
      </c>
      <c r="K23" s="75">
        <v>1.05</v>
      </c>
      <c r="L23" s="9">
        <f t="shared" si="15"/>
        <v>3150</v>
      </c>
      <c r="M23" s="9"/>
      <c r="N23" s="9">
        <f t="shared" si="1"/>
        <v>30</v>
      </c>
      <c r="O23" s="9">
        <f t="shared" si="2"/>
        <v>0</v>
      </c>
      <c r="P23" s="10">
        <f t="shared" si="3"/>
        <v>133.33333333333334</v>
      </c>
      <c r="Q23" s="10">
        <f t="shared" si="4"/>
        <v>105</v>
      </c>
      <c r="R23" s="10">
        <f t="shared" si="5"/>
        <v>238.33333333333334</v>
      </c>
      <c r="S23" s="10">
        <f t="shared" si="6"/>
        <v>16.666666666666668</v>
      </c>
      <c r="T23" s="9">
        <v>28</v>
      </c>
      <c r="U23" s="9">
        <f t="shared" si="7"/>
        <v>466.66666666666669</v>
      </c>
      <c r="V23" s="9">
        <v>0</v>
      </c>
      <c r="W23" s="16">
        <f t="shared" si="16"/>
        <v>7616.666666666667</v>
      </c>
      <c r="X23" s="49">
        <v>0</v>
      </c>
      <c r="Y23" s="11">
        <f t="shared" si="8"/>
        <v>0</v>
      </c>
      <c r="Z23" s="38">
        <v>2</v>
      </c>
      <c r="AA23" s="11">
        <f t="shared" si="9"/>
        <v>266.66666666666669</v>
      </c>
      <c r="AB23" s="11">
        <v>0</v>
      </c>
      <c r="AC23" s="11">
        <f t="shared" si="17"/>
        <v>0</v>
      </c>
      <c r="AD23" s="12">
        <f t="shared" si="18"/>
        <v>266.66666666666669</v>
      </c>
      <c r="AE23" s="4">
        <f t="shared" si="19"/>
        <v>7350</v>
      </c>
      <c r="AF23" s="3">
        <f t="shared" si="0"/>
        <v>5384.6153846153848</v>
      </c>
      <c r="AG23" s="3">
        <f t="shared" si="10"/>
        <v>592.30769230769238</v>
      </c>
      <c r="AH23" s="1">
        <v>1690.6666666666699</v>
      </c>
      <c r="AI23" s="1">
        <f t="shared" si="11"/>
        <v>60804.307692307659</v>
      </c>
      <c r="AJ23" s="1">
        <f t="shared" si="12"/>
        <v>197.55384615384574</v>
      </c>
      <c r="AK23" s="3">
        <f t="shared" si="13"/>
        <v>3.6750000000000003</v>
      </c>
      <c r="AL23" s="4">
        <f t="shared" si="20"/>
        <v>6556.4634615384621</v>
      </c>
      <c r="AM23" s="3">
        <v>0</v>
      </c>
      <c r="AN23" s="4">
        <f t="shared" si="21"/>
        <v>6556.4634615384621</v>
      </c>
      <c r="AO23" s="1">
        <f t="shared" si="22"/>
        <v>1009.6153846153846</v>
      </c>
      <c r="AP23" s="41">
        <v>9</v>
      </c>
      <c r="AQ23" s="54">
        <f t="shared" si="14"/>
        <v>8359.6153846153848</v>
      </c>
    </row>
    <row r="24" spans="1:43" x14ac:dyDescent="0.35">
      <c r="A24" s="26" t="s">
        <v>196</v>
      </c>
      <c r="B24" s="44" t="s">
        <v>408</v>
      </c>
      <c r="C24" s="58" t="s">
        <v>270</v>
      </c>
      <c r="D24" s="63" t="s">
        <v>507</v>
      </c>
      <c r="E24" s="66" t="s">
        <v>216</v>
      </c>
      <c r="F24" s="68" t="s">
        <v>32</v>
      </c>
      <c r="G24" s="70" t="s">
        <v>526</v>
      </c>
      <c r="H24" s="72">
        <v>4000</v>
      </c>
      <c r="I24" s="72">
        <v>3000</v>
      </c>
      <c r="J24" s="9">
        <v>0</v>
      </c>
      <c r="K24" s="75">
        <v>1.05</v>
      </c>
      <c r="L24" s="9">
        <f t="shared" si="15"/>
        <v>3150</v>
      </c>
      <c r="M24" s="9"/>
      <c r="N24" s="9">
        <f t="shared" si="1"/>
        <v>30</v>
      </c>
      <c r="O24" s="9">
        <f t="shared" si="2"/>
        <v>0</v>
      </c>
      <c r="P24" s="10">
        <f t="shared" si="3"/>
        <v>133.33333333333334</v>
      </c>
      <c r="Q24" s="10">
        <f t="shared" si="4"/>
        <v>105</v>
      </c>
      <c r="R24" s="10">
        <f t="shared" si="5"/>
        <v>238.33333333333334</v>
      </c>
      <c r="S24" s="10">
        <f t="shared" si="6"/>
        <v>16.666666666666668</v>
      </c>
      <c r="T24" s="9">
        <v>12</v>
      </c>
      <c r="U24" s="9">
        <f t="shared" si="7"/>
        <v>200</v>
      </c>
      <c r="V24" s="9">
        <v>0</v>
      </c>
      <c r="W24" s="16">
        <f t="shared" si="16"/>
        <v>7350</v>
      </c>
      <c r="X24" s="49">
        <v>0</v>
      </c>
      <c r="Y24" s="11">
        <f t="shared" si="8"/>
        <v>0</v>
      </c>
      <c r="Z24" s="38">
        <v>3</v>
      </c>
      <c r="AA24" s="11">
        <f t="shared" si="9"/>
        <v>400</v>
      </c>
      <c r="AB24" s="11">
        <v>0</v>
      </c>
      <c r="AC24" s="11">
        <f t="shared" si="17"/>
        <v>0</v>
      </c>
      <c r="AD24" s="12">
        <f t="shared" si="18"/>
        <v>400</v>
      </c>
      <c r="AE24" s="4">
        <f t="shared" si="19"/>
        <v>6950</v>
      </c>
      <c r="AF24" s="3">
        <f t="shared" si="0"/>
        <v>5384.6153846153848</v>
      </c>
      <c r="AG24" s="3">
        <f t="shared" si="10"/>
        <v>592.30769230769238</v>
      </c>
      <c r="AH24" s="1">
        <v>1691.6666666666699</v>
      </c>
      <c r="AI24" s="1">
        <f t="shared" si="11"/>
        <v>55992.307692307659</v>
      </c>
      <c r="AJ24" s="1">
        <f t="shared" si="12"/>
        <v>137.40384615384573</v>
      </c>
      <c r="AK24" s="3">
        <f t="shared" si="13"/>
        <v>3.4750000000000001</v>
      </c>
      <c r="AL24" s="4">
        <f t="shared" si="20"/>
        <v>6216.8134615384615</v>
      </c>
      <c r="AM24" s="3">
        <v>0</v>
      </c>
      <c r="AN24" s="4">
        <f t="shared" si="21"/>
        <v>6216.8134615384615</v>
      </c>
      <c r="AO24" s="1">
        <f t="shared" si="22"/>
        <v>1009.6153846153846</v>
      </c>
      <c r="AP24" s="41">
        <v>10</v>
      </c>
      <c r="AQ24" s="54">
        <f t="shared" si="14"/>
        <v>7959.6153846153848</v>
      </c>
    </row>
    <row r="25" spans="1:43" x14ac:dyDescent="0.35">
      <c r="A25" s="26" t="s">
        <v>196</v>
      </c>
      <c r="B25" s="44" t="s">
        <v>409</v>
      </c>
      <c r="C25" s="58" t="s">
        <v>572</v>
      </c>
      <c r="D25" s="60" t="s">
        <v>259</v>
      </c>
      <c r="E25" s="66" t="s">
        <v>667</v>
      </c>
      <c r="F25" s="68">
        <v>30212282100063</v>
      </c>
      <c r="G25" s="70" t="s">
        <v>526</v>
      </c>
      <c r="H25" s="72">
        <v>4000</v>
      </c>
      <c r="I25" s="72">
        <v>3000</v>
      </c>
      <c r="J25" s="9">
        <v>0</v>
      </c>
      <c r="K25" s="75">
        <v>1.05</v>
      </c>
      <c r="L25" s="9">
        <f t="shared" si="15"/>
        <v>3150</v>
      </c>
      <c r="M25" s="9"/>
      <c r="N25" s="9">
        <f t="shared" si="1"/>
        <v>30</v>
      </c>
      <c r="O25" s="9">
        <f t="shared" si="2"/>
        <v>0</v>
      </c>
      <c r="P25" s="10">
        <f t="shared" si="3"/>
        <v>133.33333333333334</v>
      </c>
      <c r="Q25" s="10">
        <f t="shared" si="4"/>
        <v>105</v>
      </c>
      <c r="R25" s="10">
        <f t="shared" si="5"/>
        <v>238.33333333333334</v>
      </c>
      <c r="S25" s="10">
        <f t="shared" si="6"/>
        <v>16.666666666666668</v>
      </c>
      <c r="T25" s="9">
        <v>28</v>
      </c>
      <c r="U25" s="9">
        <f t="shared" si="7"/>
        <v>466.66666666666669</v>
      </c>
      <c r="V25" s="9">
        <v>0</v>
      </c>
      <c r="W25" s="16">
        <f t="shared" si="16"/>
        <v>7616.666666666667</v>
      </c>
      <c r="X25" s="49">
        <v>0</v>
      </c>
      <c r="Y25" s="11">
        <f t="shared" si="8"/>
        <v>0</v>
      </c>
      <c r="Z25" s="38">
        <v>0</v>
      </c>
      <c r="AA25" s="11">
        <f t="shared" si="9"/>
        <v>0</v>
      </c>
      <c r="AB25" s="11">
        <v>0</v>
      </c>
      <c r="AC25" s="11">
        <f t="shared" si="17"/>
        <v>0</v>
      </c>
      <c r="AD25" s="12">
        <f t="shared" si="18"/>
        <v>0</v>
      </c>
      <c r="AE25" s="4">
        <f t="shared" si="19"/>
        <v>7616.666666666667</v>
      </c>
      <c r="AF25" s="3">
        <f t="shared" si="0"/>
        <v>5384.6153846153848</v>
      </c>
      <c r="AG25" s="3">
        <f t="shared" si="10"/>
        <v>592.30769230769238</v>
      </c>
      <c r="AH25" s="1">
        <v>1692.6666666666699</v>
      </c>
      <c r="AI25" s="1">
        <f t="shared" si="11"/>
        <v>63980.307692307659</v>
      </c>
      <c r="AJ25" s="1">
        <f t="shared" si="12"/>
        <v>237.25384615384573</v>
      </c>
      <c r="AK25" s="3">
        <f t="shared" si="13"/>
        <v>3.8083333333333336</v>
      </c>
      <c r="AL25" s="4">
        <f t="shared" si="20"/>
        <v>6783.2967948717951</v>
      </c>
      <c r="AM25" s="3">
        <v>0</v>
      </c>
      <c r="AN25" s="4">
        <f t="shared" si="21"/>
        <v>6783.2967948717951</v>
      </c>
      <c r="AO25" s="1">
        <f t="shared" si="22"/>
        <v>1009.6153846153846</v>
      </c>
      <c r="AP25" s="41">
        <v>19</v>
      </c>
      <c r="AQ25" s="54">
        <f t="shared" si="14"/>
        <v>8626.2820512820508</v>
      </c>
    </row>
    <row r="26" spans="1:43" x14ac:dyDescent="0.35">
      <c r="A26" s="26" t="s">
        <v>196</v>
      </c>
      <c r="B26" s="44" t="s">
        <v>512</v>
      </c>
      <c r="C26" s="58" t="s">
        <v>533</v>
      </c>
      <c r="D26" s="63" t="s">
        <v>507</v>
      </c>
      <c r="E26" s="64" t="s">
        <v>668</v>
      </c>
      <c r="F26" s="68">
        <v>29903182102406</v>
      </c>
      <c r="G26" s="70" t="s">
        <v>526</v>
      </c>
      <c r="H26" s="72">
        <v>4000</v>
      </c>
      <c r="I26" s="72">
        <v>3000</v>
      </c>
      <c r="J26" s="9">
        <v>0</v>
      </c>
      <c r="K26" s="75">
        <v>1.05</v>
      </c>
      <c r="L26" s="9">
        <f t="shared" si="15"/>
        <v>3150</v>
      </c>
      <c r="M26" s="9"/>
      <c r="N26" s="9">
        <f t="shared" si="1"/>
        <v>30</v>
      </c>
      <c r="O26" s="9">
        <f t="shared" si="2"/>
        <v>0</v>
      </c>
      <c r="P26" s="10">
        <f t="shared" si="3"/>
        <v>133.33333333333334</v>
      </c>
      <c r="Q26" s="10">
        <f t="shared" si="4"/>
        <v>105</v>
      </c>
      <c r="R26" s="10">
        <f t="shared" si="5"/>
        <v>238.33333333333334</v>
      </c>
      <c r="S26" s="10">
        <f t="shared" si="6"/>
        <v>16.666666666666668</v>
      </c>
      <c r="T26" s="9">
        <v>28</v>
      </c>
      <c r="U26" s="9">
        <f t="shared" si="7"/>
        <v>466.66666666666669</v>
      </c>
      <c r="V26" s="9">
        <v>0</v>
      </c>
      <c r="W26" s="16">
        <f t="shared" si="16"/>
        <v>7616.666666666667</v>
      </c>
      <c r="X26" s="49">
        <v>0</v>
      </c>
      <c r="Y26" s="11">
        <f t="shared" si="8"/>
        <v>0</v>
      </c>
      <c r="Z26" s="38">
        <v>0</v>
      </c>
      <c r="AA26" s="11">
        <f t="shared" si="9"/>
        <v>0</v>
      </c>
      <c r="AB26" s="11">
        <v>0</v>
      </c>
      <c r="AC26" s="11">
        <f t="shared" si="17"/>
        <v>0</v>
      </c>
      <c r="AD26" s="12">
        <f t="shared" si="18"/>
        <v>0</v>
      </c>
      <c r="AE26" s="4">
        <f t="shared" si="19"/>
        <v>7616.666666666667</v>
      </c>
      <c r="AF26" s="3">
        <f t="shared" si="0"/>
        <v>5384.6153846153848</v>
      </c>
      <c r="AG26" s="3">
        <f t="shared" si="10"/>
        <v>592.30769230769238</v>
      </c>
      <c r="AH26" s="1">
        <v>1693.6666666666699</v>
      </c>
      <c r="AI26" s="1">
        <f t="shared" si="11"/>
        <v>63968.307692307659</v>
      </c>
      <c r="AJ26" s="1">
        <f t="shared" si="12"/>
        <v>237.10384615384569</v>
      </c>
      <c r="AK26" s="3">
        <f t="shared" si="13"/>
        <v>3.8083333333333336</v>
      </c>
      <c r="AL26" s="4">
        <f t="shared" si="20"/>
        <v>6783.4467948717956</v>
      </c>
      <c r="AM26" s="3">
        <v>0</v>
      </c>
      <c r="AN26" s="4">
        <f t="shared" si="21"/>
        <v>6783.4467948717956</v>
      </c>
      <c r="AO26" s="1">
        <f t="shared" si="22"/>
        <v>1009.6153846153846</v>
      </c>
      <c r="AP26" s="41">
        <v>19</v>
      </c>
      <c r="AQ26" s="54">
        <f t="shared" si="14"/>
        <v>8626.2820512820508</v>
      </c>
    </row>
    <row r="27" spans="1:43" x14ac:dyDescent="0.35">
      <c r="A27" s="26" t="s">
        <v>196</v>
      </c>
      <c r="B27" s="44" t="s">
        <v>410</v>
      </c>
      <c r="C27" s="58" t="s">
        <v>542</v>
      </c>
      <c r="D27" s="63" t="s">
        <v>507</v>
      </c>
      <c r="E27" s="64" t="s">
        <v>669</v>
      </c>
      <c r="F27" s="68">
        <v>29612082103702</v>
      </c>
      <c r="G27" s="70" t="s">
        <v>526</v>
      </c>
      <c r="H27" s="72">
        <v>4000</v>
      </c>
      <c r="I27" s="72">
        <v>3000</v>
      </c>
      <c r="J27" s="9">
        <v>0</v>
      </c>
      <c r="K27" s="75">
        <v>1.05</v>
      </c>
      <c r="L27" s="9">
        <f>+I27*K27</f>
        <v>3150</v>
      </c>
      <c r="M27" s="9"/>
      <c r="N27" s="9">
        <f t="shared" si="1"/>
        <v>30</v>
      </c>
      <c r="O27" s="9">
        <f t="shared" si="2"/>
        <v>0</v>
      </c>
      <c r="P27" s="10">
        <f t="shared" si="3"/>
        <v>133.33333333333334</v>
      </c>
      <c r="Q27" s="10">
        <f t="shared" si="4"/>
        <v>105</v>
      </c>
      <c r="R27" s="10">
        <f t="shared" si="5"/>
        <v>238.33333333333334</v>
      </c>
      <c r="S27" s="10">
        <f t="shared" si="6"/>
        <v>16.666666666666668</v>
      </c>
      <c r="T27" s="9">
        <v>28</v>
      </c>
      <c r="U27" s="9">
        <f t="shared" si="7"/>
        <v>466.66666666666669</v>
      </c>
      <c r="V27" s="9">
        <v>0</v>
      </c>
      <c r="W27" s="16">
        <f>H27+L27+U27+V27+J27</f>
        <v>7616.666666666667</v>
      </c>
      <c r="X27" s="49">
        <v>0</v>
      </c>
      <c r="Y27" s="11">
        <f t="shared" si="8"/>
        <v>0</v>
      </c>
      <c r="Z27" s="38">
        <v>0</v>
      </c>
      <c r="AA27" s="11">
        <f t="shared" si="9"/>
        <v>0</v>
      </c>
      <c r="AB27" s="11">
        <v>0</v>
      </c>
      <c r="AC27" s="11">
        <f>Q27*AB27</f>
        <v>0</v>
      </c>
      <c r="AD27" s="12">
        <f>Y27+AA27+AC27</f>
        <v>0</v>
      </c>
      <c r="AE27" s="4">
        <f>W27-AD27</f>
        <v>7616.666666666667</v>
      </c>
      <c r="AF27" s="3">
        <f t="shared" si="0"/>
        <v>5384.6153846153848</v>
      </c>
      <c r="AG27" s="3">
        <f t="shared" si="10"/>
        <v>592.30769230769238</v>
      </c>
      <c r="AH27" s="1">
        <v>1694.6666666666699</v>
      </c>
      <c r="AI27" s="1">
        <f t="shared" si="11"/>
        <v>63956.307692307659</v>
      </c>
      <c r="AJ27" s="1">
        <f t="shared" si="12"/>
        <v>236.95384615384572</v>
      </c>
      <c r="AK27" s="3">
        <f t="shared" si="13"/>
        <v>3.8083333333333336</v>
      </c>
      <c r="AL27" s="4">
        <f>+AE27-AG27-AJ27-AK27</f>
        <v>6783.5967948717953</v>
      </c>
      <c r="AM27" s="3">
        <v>0</v>
      </c>
      <c r="AN27" s="4">
        <f>+AL27-AM27</f>
        <v>6783.5967948717953</v>
      </c>
      <c r="AO27" s="1">
        <f>+AF27*0.1875</f>
        <v>1009.6153846153846</v>
      </c>
      <c r="AP27" s="41">
        <v>17</v>
      </c>
      <c r="AQ27" s="54">
        <f t="shared" si="14"/>
        <v>8626.2820512820508</v>
      </c>
    </row>
    <row r="28" spans="1:43" x14ac:dyDescent="0.35">
      <c r="A28" s="26" t="s">
        <v>196</v>
      </c>
      <c r="B28" s="44" t="s">
        <v>411</v>
      </c>
      <c r="C28" s="58" t="s">
        <v>544</v>
      </c>
      <c r="D28" s="63" t="s">
        <v>507</v>
      </c>
      <c r="E28" s="64" t="s">
        <v>670</v>
      </c>
      <c r="F28" s="68">
        <v>29907111401734</v>
      </c>
      <c r="G28" s="70" t="s">
        <v>526</v>
      </c>
      <c r="H28" s="72">
        <v>4000</v>
      </c>
      <c r="I28" s="72">
        <v>3000</v>
      </c>
      <c r="J28" s="9">
        <v>0</v>
      </c>
      <c r="K28" s="75">
        <v>1.05</v>
      </c>
      <c r="L28" s="9">
        <f t="shared" si="15"/>
        <v>3150</v>
      </c>
      <c r="M28" s="9"/>
      <c r="N28" s="9">
        <f t="shared" si="1"/>
        <v>30</v>
      </c>
      <c r="O28" s="9">
        <f t="shared" si="2"/>
        <v>0</v>
      </c>
      <c r="P28" s="10">
        <f t="shared" si="3"/>
        <v>133.33333333333334</v>
      </c>
      <c r="Q28" s="10">
        <f t="shared" si="4"/>
        <v>105</v>
      </c>
      <c r="R28" s="10">
        <f t="shared" si="5"/>
        <v>238.33333333333334</v>
      </c>
      <c r="S28" s="10">
        <f t="shared" si="6"/>
        <v>16.666666666666668</v>
      </c>
      <c r="T28" s="9">
        <v>28</v>
      </c>
      <c r="U28" s="9">
        <f t="shared" si="7"/>
        <v>466.66666666666669</v>
      </c>
      <c r="V28" s="9">
        <v>0</v>
      </c>
      <c r="W28" s="16">
        <f t="shared" si="16"/>
        <v>7616.666666666667</v>
      </c>
      <c r="X28" s="49">
        <v>0</v>
      </c>
      <c r="Y28" s="11">
        <f t="shared" si="8"/>
        <v>0</v>
      </c>
      <c r="Z28" s="38">
        <v>0</v>
      </c>
      <c r="AA28" s="11">
        <f t="shared" si="9"/>
        <v>0</v>
      </c>
      <c r="AB28" s="11">
        <v>0</v>
      </c>
      <c r="AC28" s="11">
        <f t="shared" si="17"/>
        <v>0</v>
      </c>
      <c r="AD28" s="12">
        <f t="shared" si="18"/>
        <v>0</v>
      </c>
      <c r="AE28" s="4">
        <f t="shared" si="19"/>
        <v>7616.666666666667</v>
      </c>
      <c r="AF28" s="3">
        <f t="shared" si="0"/>
        <v>5384.6153846153848</v>
      </c>
      <c r="AG28" s="3">
        <f t="shared" si="10"/>
        <v>592.30769230769238</v>
      </c>
      <c r="AH28" s="1">
        <v>1695.6666666666699</v>
      </c>
      <c r="AI28" s="1">
        <f t="shared" si="11"/>
        <v>63944.307692307659</v>
      </c>
      <c r="AJ28" s="1">
        <f t="shared" si="12"/>
        <v>236.80384615384574</v>
      </c>
      <c r="AK28" s="3">
        <f t="shared" si="13"/>
        <v>3.8083333333333336</v>
      </c>
      <c r="AL28" s="4">
        <f t="shared" si="20"/>
        <v>6783.7467948717958</v>
      </c>
      <c r="AM28" s="3">
        <v>0</v>
      </c>
      <c r="AN28" s="4">
        <f t="shared" si="21"/>
        <v>6783.7467948717958</v>
      </c>
      <c r="AO28" s="1">
        <f t="shared" si="22"/>
        <v>1009.6153846153846</v>
      </c>
      <c r="AP28" s="41">
        <v>19</v>
      </c>
      <c r="AQ28" s="54">
        <f t="shared" si="14"/>
        <v>8626.2820512820508</v>
      </c>
    </row>
    <row r="29" spans="1:43" x14ac:dyDescent="0.35">
      <c r="A29" s="26" t="s">
        <v>196</v>
      </c>
      <c r="B29" s="44" t="s">
        <v>412</v>
      </c>
      <c r="C29" s="58" t="s">
        <v>550</v>
      </c>
      <c r="D29" s="63" t="s">
        <v>507</v>
      </c>
      <c r="E29" s="64" t="s">
        <v>671</v>
      </c>
      <c r="F29" s="68">
        <v>30112230101806</v>
      </c>
      <c r="G29" s="70" t="s">
        <v>526</v>
      </c>
      <c r="H29" s="72">
        <v>4000</v>
      </c>
      <c r="I29" s="72">
        <v>3000</v>
      </c>
      <c r="J29" s="9">
        <v>0</v>
      </c>
      <c r="K29" s="75">
        <v>1.05</v>
      </c>
      <c r="L29" s="9">
        <f t="shared" si="15"/>
        <v>3150</v>
      </c>
      <c r="M29" s="9"/>
      <c r="N29" s="9">
        <f t="shared" si="1"/>
        <v>30</v>
      </c>
      <c r="O29" s="9">
        <f t="shared" si="2"/>
        <v>0</v>
      </c>
      <c r="P29" s="10">
        <f t="shared" si="3"/>
        <v>133.33333333333334</v>
      </c>
      <c r="Q29" s="10">
        <f t="shared" si="4"/>
        <v>105</v>
      </c>
      <c r="R29" s="10">
        <f t="shared" si="5"/>
        <v>238.33333333333334</v>
      </c>
      <c r="S29" s="10">
        <f t="shared" si="6"/>
        <v>16.666666666666668</v>
      </c>
      <c r="T29" s="9">
        <v>28</v>
      </c>
      <c r="U29" s="9">
        <f t="shared" si="7"/>
        <v>466.66666666666669</v>
      </c>
      <c r="V29" s="9">
        <v>0</v>
      </c>
      <c r="W29" s="16">
        <f t="shared" si="16"/>
        <v>7616.666666666667</v>
      </c>
      <c r="X29" s="49">
        <v>0</v>
      </c>
      <c r="Y29" s="11">
        <f t="shared" si="8"/>
        <v>0</v>
      </c>
      <c r="Z29" s="38">
        <v>2</v>
      </c>
      <c r="AA29" s="11">
        <f t="shared" si="9"/>
        <v>266.66666666666669</v>
      </c>
      <c r="AB29" s="11">
        <v>0</v>
      </c>
      <c r="AC29" s="11">
        <f t="shared" si="17"/>
        <v>0</v>
      </c>
      <c r="AD29" s="12">
        <f t="shared" si="18"/>
        <v>266.66666666666669</v>
      </c>
      <c r="AE29" s="4">
        <f t="shared" si="19"/>
        <v>7350</v>
      </c>
      <c r="AF29" s="3">
        <f t="shared" si="0"/>
        <v>5384.6153846153848</v>
      </c>
      <c r="AG29" s="3">
        <f t="shared" si="10"/>
        <v>592.30769230769238</v>
      </c>
      <c r="AH29" s="1">
        <v>1696.6666666666699</v>
      </c>
      <c r="AI29" s="1">
        <f t="shared" si="11"/>
        <v>60732.307692307659</v>
      </c>
      <c r="AJ29" s="1">
        <f t="shared" si="12"/>
        <v>196.65384615384573</v>
      </c>
      <c r="AK29" s="3">
        <f t="shared" si="13"/>
        <v>3.6750000000000003</v>
      </c>
      <c r="AL29" s="4">
        <f t="shared" si="20"/>
        <v>6557.3634615384617</v>
      </c>
      <c r="AM29" s="3">
        <v>0</v>
      </c>
      <c r="AN29" s="4">
        <f t="shared" si="21"/>
        <v>6557.3634615384617</v>
      </c>
      <c r="AO29" s="1">
        <f t="shared" si="22"/>
        <v>1009.6153846153846</v>
      </c>
      <c r="AP29" s="41">
        <v>18</v>
      </c>
      <c r="AQ29" s="54">
        <f t="shared" si="14"/>
        <v>8359.6153846153848</v>
      </c>
    </row>
    <row r="30" spans="1:43" x14ac:dyDescent="0.35">
      <c r="A30" s="26" t="s">
        <v>196</v>
      </c>
      <c r="B30" s="44" t="s">
        <v>413</v>
      </c>
      <c r="C30" s="60" t="s">
        <v>154</v>
      </c>
      <c r="D30" s="63" t="s">
        <v>507</v>
      </c>
      <c r="E30" s="64" t="s">
        <v>462</v>
      </c>
      <c r="F30" s="68" t="s">
        <v>463</v>
      </c>
      <c r="G30" s="70" t="s">
        <v>26</v>
      </c>
      <c r="H30" s="72">
        <v>5000</v>
      </c>
      <c r="I30" s="72">
        <v>3000</v>
      </c>
      <c r="J30" s="9">
        <v>0</v>
      </c>
      <c r="K30" s="75">
        <v>1.05</v>
      </c>
      <c r="L30" s="9">
        <f t="shared" si="15"/>
        <v>3150</v>
      </c>
      <c r="M30" s="9"/>
      <c r="N30" s="9">
        <f t="shared" si="1"/>
        <v>30</v>
      </c>
      <c r="O30" s="9">
        <f t="shared" si="2"/>
        <v>0</v>
      </c>
      <c r="P30" s="10">
        <f t="shared" si="3"/>
        <v>166.66666666666666</v>
      </c>
      <c r="Q30" s="10">
        <f t="shared" si="4"/>
        <v>105</v>
      </c>
      <c r="R30" s="10">
        <f t="shared" si="5"/>
        <v>271.66666666666663</v>
      </c>
      <c r="S30" s="10">
        <f t="shared" si="6"/>
        <v>20.833333333333332</v>
      </c>
      <c r="T30" s="9">
        <v>44</v>
      </c>
      <c r="U30" s="9">
        <f t="shared" si="7"/>
        <v>916.66666666666663</v>
      </c>
      <c r="V30" s="9">
        <v>0</v>
      </c>
      <c r="W30" s="16">
        <f t="shared" si="16"/>
        <v>9066.6666666666661</v>
      </c>
      <c r="X30" s="49">
        <v>0</v>
      </c>
      <c r="Y30" s="11">
        <f t="shared" si="8"/>
        <v>0</v>
      </c>
      <c r="Z30" s="38">
        <v>0</v>
      </c>
      <c r="AA30" s="11">
        <f t="shared" si="9"/>
        <v>0</v>
      </c>
      <c r="AB30" s="11">
        <v>0</v>
      </c>
      <c r="AC30" s="11">
        <f t="shared" si="17"/>
        <v>0</v>
      </c>
      <c r="AD30" s="12">
        <f t="shared" si="18"/>
        <v>0</v>
      </c>
      <c r="AE30" s="4">
        <f t="shared" si="19"/>
        <v>9066.6666666666661</v>
      </c>
      <c r="AF30" s="3">
        <f t="shared" si="0"/>
        <v>5384.6153846153848</v>
      </c>
      <c r="AG30" s="3">
        <f t="shared" si="10"/>
        <v>592.30769230769238</v>
      </c>
      <c r="AH30" s="1">
        <v>1697.6666666666699</v>
      </c>
      <c r="AI30" s="1">
        <f t="shared" si="11"/>
        <v>81320.30769230763</v>
      </c>
      <c r="AJ30" s="1">
        <f t="shared" si="12"/>
        <v>501.17179487179391</v>
      </c>
      <c r="AK30" s="3">
        <f t="shared" si="13"/>
        <v>4.5333333333333332</v>
      </c>
      <c r="AL30" s="4">
        <f t="shared" si="20"/>
        <v>7968.6538461538448</v>
      </c>
      <c r="AM30" s="3">
        <v>0</v>
      </c>
      <c r="AN30" s="4">
        <f t="shared" si="21"/>
        <v>7968.6538461538448</v>
      </c>
      <c r="AO30" s="1">
        <f t="shared" si="22"/>
        <v>1009.6153846153846</v>
      </c>
      <c r="AP30" s="41">
        <v>1</v>
      </c>
      <c r="AQ30" s="54">
        <f t="shared" si="14"/>
        <v>10076.282051282051</v>
      </c>
    </row>
    <row r="31" spans="1:43" x14ac:dyDescent="0.35">
      <c r="A31" s="26" t="s">
        <v>196</v>
      </c>
      <c r="B31" s="44" t="s">
        <v>414</v>
      </c>
      <c r="C31" s="58" t="s">
        <v>499</v>
      </c>
      <c r="D31" s="60" t="s">
        <v>259</v>
      </c>
      <c r="E31" s="64" t="s">
        <v>480</v>
      </c>
      <c r="F31" s="68">
        <v>30602142104363</v>
      </c>
      <c r="G31" s="70" t="s">
        <v>526</v>
      </c>
      <c r="H31" s="72">
        <v>4000</v>
      </c>
      <c r="I31" s="72">
        <v>3000</v>
      </c>
      <c r="J31" s="9">
        <v>0</v>
      </c>
      <c r="K31" s="75">
        <v>1.05</v>
      </c>
      <c r="L31" s="9">
        <f t="shared" si="15"/>
        <v>3150</v>
      </c>
      <c r="M31" s="9"/>
      <c r="N31" s="9">
        <f t="shared" si="1"/>
        <v>30</v>
      </c>
      <c r="O31" s="9">
        <f t="shared" si="2"/>
        <v>0</v>
      </c>
      <c r="P31" s="10">
        <f t="shared" si="3"/>
        <v>133.33333333333334</v>
      </c>
      <c r="Q31" s="10">
        <f t="shared" si="4"/>
        <v>105</v>
      </c>
      <c r="R31" s="10">
        <f t="shared" si="5"/>
        <v>238.33333333333334</v>
      </c>
      <c r="S31" s="10">
        <f t="shared" si="6"/>
        <v>16.666666666666668</v>
      </c>
      <c r="T31" s="9">
        <v>44</v>
      </c>
      <c r="U31" s="9">
        <f t="shared" si="7"/>
        <v>733.33333333333337</v>
      </c>
      <c r="V31" s="9">
        <v>0</v>
      </c>
      <c r="W31" s="16">
        <f t="shared" si="16"/>
        <v>7883.333333333333</v>
      </c>
      <c r="X31" s="49">
        <v>0</v>
      </c>
      <c r="Y31" s="11">
        <f t="shared" si="8"/>
        <v>0</v>
      </c>
      <c r="Z31" s="38">
        <v>2</v>
      </c>
      <c r="AA31" s="11">
        <f t="shared" si="9"/>
        <v>266.66666666666669</v>
      </c>
      <c r="AB31" s="11">
        <v>0</v>
      </c>
      <c r="AC31" s="11">
        <f t="shared" si="17"/>
        <v>0</v>
      </c>
      <c r="AD31" s="12">
        <f t="shared" si="18"/>
        <v>266.66666666666669</v>
      </c>
      <c r="AE31" s="4">
        <f t="shared" si="19"/>
        <v>7616.6666666666661</v>
      </c>
      <c r="AF31" s="3">
        <f t="shared" si="0"/>
        <v>5384.6153846153848</v>
      </c>
      <c r="AG31" s="3">
        <f t="shared" si="10"/>
        <v>592.30769230769238</v>
      </c>
      <c r="AH31" s="1">
        <v>1698.6666666666699</v>
      </c>
      <c r="AI31" s="1">
        <f t="shared" si="11"/>
        <v>63908.307692307644</v>
      </c>
      <c r="AJ31" s="1">
        <f t="shared" si="12"/>
        <v>236.35384615384555</v>
      </c>
      <c r="AK31" s="3">
        <f t="shared" si="13"/>
        <v>3.8083333333333331</v>
      </c>
      <c r="AL31" s="4">
        <f t="shared" si="20"/>
        <v>6784.1967948717947</v>
      </c>
      <c r="AM31" s="3">
        <v>0</v>
      </c>
      <c r="AN31" s="4">
        <f t="shared" si="21"/>
        <v>6784.1967948717947</v>
      </c>
      <c r="AO31" s="1">
        <f t="shared" si="22"/>
        <v>1009.6153846153846</v>
      </c>
      <c r="AP31" s="41">
        <v>9</v>
      </c>
      <c r="AQ31" s="54">
        <f t="shared" si="14"/>
        <v>8626.2820512820508</v>
      </c>
    </row>
    <row r="32" spans="1:43" x14ac:dyDescent="0.35">
      <c r="A32" s="26" t="s">
        <v>196</v>
      </c>
      <c r="B32" s="44" t="s">
        <v>415</v>
      </c>
      <c r="C32" s="58" t="s">
        <v>562</v>
      </c>
      <c r="D32" s="63" t="s">
        <v>507</v>
      </c>
      <c r="E32" s="66" t="s">
        <v>672</v>
      </c>
      <c r="F32" s="68">
        <v>30110142101526</v>
      </c>
      <c r="G32" s="70" t="s">
        <v>528</v>
      </c>
      <c r="H32" s="72">
        <v>4500</v>
      </c>
      <c r="I32" s="72">
        <v>3000</v>
      </c>
      <c r="J32" s="9">
        <v>0</v>
      </c>
      <c r="K32" s="75">
        <v>1.05</v>
      </c>
      <c r="L32" s="9">
        <f t="shared" si="15"/>
        <v>3150</v>
      </c>
      <c r="M32" s="9"/>
      <c r="N32" s="9">
        <f t="shared" si="1"/>
        <v>30</v>
      </c>
      <c r="O32" s="9">
        <f t="shared" si="2"/>
        <v>0</v>
      </c>
      <c r="P32" s="10">
        <f t="shared" si="3"/>
        <v>150</v>
      </c>
      <c r="Q32" s="10">
        <f t="shared" si="4"/>
        <v>105</v>
      </c>
      <c r="R32" s="10">
        <f t="shared" si="5"/>
        <v>255</v>
      </c>
      <c r="S32" s="10">
        <f t="shared" si="6"/>
        <v>18.75</v>
      </c>
      <c r="T32" s="9">
        <v>28</v>
      </c>
      <c r="U32" s="9">
        <f t="shared" si="7"/>
        <v>525</v>
      </c>
      <c r="V32" s="9">
        <v>0</v>
      </c>
      <c r="W32" s="16">
        <f t="shared" si="16"/>
        <v>8175</v>
      </c>
      <c r="X32" s="49">
        <v>0</v>
      </c>
      <c r="Y32" s="11">
        <f t="shared" si="8"/>
        <v>0</v>
      </c>
      <c r="Z32" s="38">
        <v>0</v>
      </c>
      <c r="AA32" s="11">
        <f t="shared" si="9"/>
        <v>0</v>
      </c>
      <c r="AB32" s="11">
        <v>0</v>
      </c>
      <c r="AC32" s="11">
        <f t="shared" si="17"/>
        <v>0</v>
      </c>
      <c r="AD32" s="12">
        <f t="shared" si="18"/>
        <v>0</v>
      </c>
      <c r="AE32" s="4">
        <f t="shared" si="19"/>
        <v>8175</v>
      </c>
      <c r="AF32" s="3">
        <f t="shared" si="0"/>
        <v>5384.6153846153848</v>
      </c>
      <c r="AG32" s="3">
        <f t="shared" si="10"/>
        <v>592.30769230769238</v>
      </c>
      <c r="AH32" s="1">
        <v>1699.6666666666699</v>
      </c>
      <c r="AI32" s="1">
        <f t="shared" si="11"/>
        <v>70596.307692307659</v>
      </c>
      <c r="AJ32" s="1">
        <f t="shared" si="12"/>
        <v>322.43846153846101</v>
      </c>
      <c r="AK32" s="3">
        <f t="shared" si="13"/>
        <v>4.0875000000000004</v>
      </c>
      <c r="AL32" s="4">
        <f t="shared" si="20"/>
        <v>7256.1663461538474</v>
      </c>
      <c r="AM32" s="3">
        <v>0</v>
      </c>
      <c r="AN32" s="4">
        <f t="shared" si="21"/>
        <v>7256.1663461538474</v>
      </c>
      <c r="AO32" s="1">
        <f t="shared" si="22"/>
        <v>1009.6153846153846</v>
      </c>
      <c r="AP32" s="41">
        <v>18</v>
      </c>
      <c r="AQ32" s="54">
        <f t="shared" si="14"/>
        <v>9184.6153846153848</v>
      </c>
    </row>
    <row r="33" spans="1:43" x14ac:dyDescent="0.35">
      <c r="A33" s="26" t="s">
        <v>196</v>
      </c>
      <c r="B33" s="44" t="s">
        <v>416</v>
      </c>
      <c r="C33" s="58" t="s">
        <v>567</v>
      </c>
      <c r="D33" s="63" t="s">
        <v>507</v>
      </c>
      <c r="E33" s="64" t="s">
        <v>673</v>
      </c>
      <c r="F33" s="68">
        <v>30607231401926</v>
      </c>
      <c r="G33" s="70" t="s">
        <v>526</v>
      </c>
      <c r="H33" s="72">
        <v>4000</v>
      </c>
      <c r="I33" s="72">
        <v>3000</v>
      </c>
      <c r="J33" s="9">
        <v>0</v>
      </c>
      <c r="K33" s="75">
        <v>1.05</v>
      </c>
      <c r="L33" s="9">
        <f t="shared" ref="L33:L61" si="23">+I33*K33</f>
        <v>3150</v>
      </c>
      <c r="M33" s="9"/>
      <c r="N33" s="9">
        <f t="shared" si="1"/>
        <v>30</v>
      </c>
      <c r="O33" s="9">
        <f t="shared" si="2"/>
        <v>0</v>
      </c>
      <c r="P33" s="10">
        <f t="shared" si="3"/>
        <v>133.33333333333334</v>
      </c>
      <c r="Q33" s="10">
        <f t="shared" si="4"/>
        <v>105</v>
      </c>
      <c r="R33" s="10">
        <f t="shared" si="5"/>
        <v>238.33333333333334</v>
      </c>
      <c r="S33" s="10">
        <f t="shared" si="6"/>
        <v>16.666666666666668</v>
      </c>
      <c r="T33" s="9">
        <v>28</v>
      </c>
      <c r="U33" s="9">
        <f t="shared" si="7"/>
        <v>466.66666666666669</v>
      </c>
      <c r="V33" s="9">
        <v>0</v>
      </c>
      <c r="W33" s="16">
        <f t="shared" si="16"/>
        <v>7616.666666666667</v>
      </c>
      <c r="X33" s="49">
        <v>0</v>
      </c>
      <c r="Y33" s="11">
        <f t="shared" si="8"/>
        <v>0</v>
      </c>
      <c r="Z33" s="38">
        <v>0</v>
      </c>
      <c r="AA33" s="11">
        <f t="shared" si="9"/>
        <v>0</v>
      </c>
      <c r="AB33" s="11">
        <v>0</v>
      </c>
      <c r="AC33" s="11">
        <f t="shared" ref="AC33:AC61" si="24">Q33*AB33</f>
        <v>0</v>
      </c>
      <c r="AD33" s="12">
        <f t="shared" ref="AD33:AD61" si="25">Y33+AA33+AC33</f>
        <v>0</v>
      </c>
      <c r="AE33" s="4">
        <f t="shared" ref="AE33:AE61" si="26">W33-AD33</f>
        <v>7616.666666666667</v>
      </c>
      <c r="AF33" s="3">
        <f t="shared" si="0"/>
        <v>5384.6153846153848</v>
      </c>
      <c r="AG33" s="3">
        <f t="shared" si="10"/>
        <v>592.30769230769238</v>
      </c>
      <c r="AH33" s="1">
        <v>1700.6666666666699</v>
      </c>
      <c r="AI33" s="1">
        <f t="shared" si="11"/>
        <v>63884.307692307659</v>
      </c>
      <c r="AJ33" s="1">
        <f t="shared" si="12"/>
        <v>236.05384615384574</v>
      </c>
      <c r="AK33" s="3">
        <f t="shared" si="13"/>
        <v>3.8083333333333336</v>
      </c>
      <c r="AL33" s="4">
        <f t="shared" ref="AL33:AL61" si="27">+AE33-AG33-AJ33-AK33</f>
        <v>6784.4967948717958</v>
      </c>
      <c r="AM33" s="3">
        <v>0</v>
      </c>
      <c r="AN33" s="4">
        <f t="shared" ref="AN33:AN61" si="28">+AL33-AM33</f>
        <v>6784.4967948717958</v>
      </c>
      <c r="AO33" s="1">
        <f t="shared" ref="AO33:AO61" si="29">+AF33*0.1875</f>
        <v>1009.6153846153846</v>
      </c>
      <c r="AP33" s="41">
        <v>21</v>
      </c>
      <c r="AQ33" s="54">
        <f t="shared" si="14"/>
        <v>8626.2820512820508</v>
      </c>
    </row>
    <row r="34" spans="1:43" x14ac:dyDescent="0.35">
      <c r="A34" s="26" t="s">
        <v>196</v>
      </c>
      <c r="B34" s="44" t="s">
        <v>417</v>
      </c>
      <c r="C34" s="58" t="s">
        <v>541</v>
      </c>
      <c r="D34" s="63" t="s">
        <v>507</v>
      </c>
      <c r="E34" s="66" t="s">
        <v>674</v>
      </c>
      <c r="F34" s="68">
        <v>29612082103681</v>
      </c>
      <c r="G34" s="70" t="s">
        <v>526</v>
      </c>
      <c r="H34" s="72">
        <v>4000</v>
      </c>
      <c r="I34" s="72">
        <v>3000</v>
      </c>
      <c r="J34" s="9">
        <v>0</v>
      </c>
      <c r="K34" s="75">
        <v>1.05</v>
      </c>
      <c r="L34" s="9">
        <f t="shared" si="23"/>
        <v>3150</v>
      </c>
      <c r="M34" s="9"/>
      <c r="N34" s="9">
        <f t="shared" si="1"/>
        <v>30</v>
      </c>
      <c r="O34" s="9">
        <f t="shared" si="2"/>
        <v>0</v>
      </c>
      <c r="P34" s="10">
        <f t="shared" si="3"/>
        <v>133.33333333333334</v>
      </c>
      <c r="Q34" s="10">
        <f t="shared" si="4"/>
        <v>105</v>
      </c>
      <c r="R34" s="10">
        <f t="shared" si="5"/>
        <v>238.33333333333334</v>
      </c>
      <c r="S34" s="10">
        <f t="shared" si="6"/>
        <v>16.666666666666668</v>
      </c>
      <c r="T34" s="9">
        <v>28</v>
      </c>
      <c r="U34" s="9">
        <f t="shared" si="7"/>
        <v>466.66666666666669</v>
      </c>
      <c r="V34" s="9">
        <v>0</v>
      </c>
      <c r="W34" s="16">
        <f t="shared" si="16"/>
        <v>7616.666666666667</v>
      </c>
      <c r="X34" s="49">
        <v>0</v>
      </c>
      <c r="Y34" s="11">
        <f t="shared" si="8"/>
        <v>0</v>
      </c>
      <c r="Z34" s="38">
        <v>0</v>
      </c>
      <c r="AA34" s="11">
        <f t="shared" si="9"/>
        <v>0</v>
      </c>
      <c r="AB34" s="11">
        <v>0</v>
      </c>
      <c r="AC34" s="11">
        <f t="shared" si="24"/>
        <v>0</v>
      </c>
      <c r="AD34" s="12">
        <f t="shared" si="25"/>
        <v>0</v>
      </c>
      <c r="AE34" s="4">
        <f t="shared" si="26"/>
        <v>7616.666666666667</v>
      </c>
      <c r="AF34" s="3">
        <f t="shared" si="0"/>
        <v>5384.6153846153848</v>
      </c>
      <c r="AG34" s="3">
        <f t="shared" si="10"/>
        <v>592.30769230769238</v>
      </c>
      <c r="AH34" s="1">
        <v>1701.6666666666699</v>
      </c>
      <c r="AI34" s="1">
        <f t="shared" si="11"/>
        <v>63872.307692307659</v>
      </c>
      <c r="AJ34" s="1">
        <f t="shared" si="12"/>
        <v>235.90384615384573</v>
      </c>
      <c r="AK34" s="3">
        <f t="shared" si="13"/>
        <v>3.8083333333333336</v>
      </c>
      <c r="AL34" s="4">
        <f t="shared" si="27"/>
        <v>6784.6467948717955</v>
      </c>
      <c r="AM34" s="3">
        <v>0</v>
      </c>
      <c r="AN34" s="4">
        <f t="shared" si="28"/>
        <v>6784.6467948717955</v>
      </c>
      <c r="AO34" s="1">
        <f t="shared" si="29"/>
        <v>1009.6153846153846</v>
      </c>
      <c r="AP34" s="41">
        <v>18</v>
      </c>
      <c r="AQ34" s="54">
        <f t="shared" si="14"/>
        <v>8626.2820512820508</v>
      </c>
    </row>
    <row r="35" spans="1:43" x14ac:dyDescent="0.35">
      <c r="A35" s="26" t="s">
        <v>196</v>
      </c>
      <c r="B35" s="44" t="s">
        <v>418</v>
      </c>
      <c r="C35" s="58" t="s">
        <v>271</v>
      </c>
      <c r="D35" s="63" t="s">
        <v>507</v>
      </c>
      <c r="E35" s="66" t="s">
        <v>217</v>
      </c>
      <c r="F35" s="68" t="s">
        <v>57</v>
      </c>
      <c r="G35" s="70" t="s">
        <v>526</v>
      </c>
      <c r="H35" s="72">
        <v>4000</v>
      </c>
      <c r="I35" s="72">
        <v>3000</v>
      </c>
      <c r="J35" s="9">
        <v>0</v>
      </c>
      <c r="K35" s="75">
        <v>1.05</v>
      </c>
      <c r="L35" s="9">
        <f t="shared" si="23"/>
        <v>3150</v>
      </c>
      <c r="M35" s="9"/>
      <c r="N35" s="9">
        <f t="shared" si="1"/>
        <v>30</v>
      </c>
      <c r="O35" s="9">
        <f t="shared" si="2"/>
        <v>0</v>
      </c>
      <c r="P35" s="10">
        <f t="shared" si="3"/>
        <v>133.33333333333334</v>
      </c>
      <c r="Q35" s="10">
        <f t="shared" si="4"/>
        <v>105</v>
      </c>
      <c r="R35" s="10">
        <f t="shared" si="5"/>
        <v>238.33333333333334</v>
      </c>
      <c r="S35" s="10">
        <f t="shared" si="6"/>
        <v>16.666666666666668</v>
      </c>
      <c r="T35" s="9">
        <v>28</v>
      </c>
      <c r="U35" s="9">
        <f t="shared" si="7"/>
        <v>466.66666666666669</v>
      </c>
      <c r="V35" s="9">
        <v>0</v>
      </c>
      <c r="W35" s="16">
        <f t="shared" si="16"/>
        <v>7616.666666666667</v>
      </c>
      <c r="X35" s="49">
        <v>0</v>
      </c>
      <c r="Y35" s="11">
        <f t="shared" si="8"/>
        <v>0</v>
      </c>
      <c r="Z35" s="38">
        <v>0</v>
      </c>
      <c r="AA35" s="11">
        <f t="shared" si="9"/>
        <v>0</v>
      </c>
      <c r="AB35" s="11">
        <v>0</v>
      </c>
      <c r="AC35" s="11">
        <f t="shared" si="24"/>
        <v>0</v>
      </c>
      <c r="AD35" s="12">
        <f t="shared" si="25"/>
        <v>0</v>
      </c>
      <c r="AE35" s="4">
        <f t="shared" si="26"/>
        <v>7616.666666666667</v>
      </c>
      <c r="AF35" s="3">
        <f t="shared" si="0"/>
        <v>5384.6153846153848</v>
      </c>
      <c r="AG35" s="3">
        <f t="shared" si="10"/>
        <v>592.30769230769238</v>
      </c>
      <c r="AH35" s="1">
        <v>1702.6666666666699</v>
      </c>
      <c r="AI35" s="1">
        <f t="shared" si="11"/>
        <v>63860.307692307659</v>
      </c>
      <c r="AJ35" s="1">
        <f t="shared" si="12"/>
        <v>235.75384615384573</v>
      </c>
      <c r="AK35" s="3">
        <f t="shared" si="13"/>
        <v>3.8083333333333336</v>
      </c>
      <c r="AL35" s="4">
        <f t="shared" si="27"/>
        <v>6784.7967948717951</v>
      </c>
      <c r="AM35" s="3">
        <v>0</v>
      </c>
      <c r="AN35" s="4">
        <f t="shared" si="28"/>
        <v>6784.7967948717951</v>
      </c>
      <c r="AO35" s="1">
        <f t="shared" si="29"/>
        <v>1009.6153846153846</v>
      </c>
      <c r="AP35" s="41">
        <v>6</v>
      </c>
      <c r="AQ35" s="54">
        <f t="shared" si="14"/>
        <v>8626.2820512820508</v>
      </c>
    </row>
    <row r="36" spans="1:43" x14ac:dyDescent="0.35">
      <c r="A36" s="26" t="s">
        <v>196</v>
      </c>
      <c r="B36" s="44" t="s">
        <v>419</v>
      </c>
      <c r="C36" s="58" t="s">
        <v>566</v>
      </c>
      <c r="D36" s="63" t="s">
        <v>507</v>
      </c>
      <c r="E36" s="66" t="s">
        <v>675</v>
      </c>
      <c r="F36" s="68">
        <v>30403252100182</v>
      </c>
      <c r="G36" s="70" t="s">
        <v>526</v>
      </c>
      <c r="H36" s="72">
        <v>4000</v>
      </c>
      <c r="I36" s="72">
        <v>3000</v>
      </c>
      <c r="J36" s="9">
        <v>0</v>
      </c>
      <c r="K36" s="75">
        <v>1.05</v>
      </c>
      <c r="L36" s="9">
        <f t="shared" si="23"/>
        <v>3150</v>
      </c>
      <c r="M36" s="9"/>
      <c r="N36" s="9">
        <f t="shared" si="1"/>
        <v>30</v>
      </c>
      <c r="O36" s="9">
        <f t="shared" si="2"/>
        <v>0</v>
      </c>
      <c r="P36" s="10">
        <f t="shared" si="3"/>
        <v>133.33333333333334</v>
      </c>
      <c r="Q36" s="10">
        <f t="shared" si="4"/>
        <v>105</v>
      </c>
      <c r="R36" s="10">
        <f t="shared" si="5"/>
        <v>238.33333333333334</v>
      </c>
      <c r="S36" s="10">
        <f t="shared" si="6"/>
        <v>16.666666666666668</v>
      </c>
      <c r="T36" s="9">
        <v>28</v>
      </c>
      <c r="U36" s="9">
        <f t="shared" si="7"/>
        <v>466.66666666666669</v>
      </c>
      <c r="V36" s="9">
        <v>0</v>
      </c>
      <c r="W36" s="16">
        <f t="shared" si="16"/>
        <v>7616.666666666667</v>
      </c>
      <c r="X36" s="49">
        <v>0</v>
      </c>
      <c r="Y36" s="11">
        <f t="shared" si="8"/>
        <v>0</v>
      </c>
      <c r="Z36" s="38">
        <v>14</v>
      </c>
      <c r="AA36" s="11">
        <f t="shared" si="9"/>
        <v>1866.6666666666667</v>
      </c>
      <c r="AB36" s="11">
        <v>0</v>
      </c>
      <c r="AC36" s="11">
        <f t="shared" si="24"/>
        <v>0</v>
      </c>
      <c r="AD36" s="12">
        <f t="shared" si="25"/>
        <v>1866.6666666666667</v>
      </c>
      <c r="AE36" s="4">
        <f t="shared" si="26"/>
        <v>5750</v>
      </c>
      <c r="AF36" s="3">
        <f t="shared" si="0"/>
        <v>5384.6153846153848</v>
      </c>
      <c r="AG36" s="3">
        <f t="shared" si="10"/>
        <v>592.30769230769238</v>
      </c>
      <c r="AH36" s="1">
        <v>1703.6666666666699</v>
      </c>
      <c r="AI36" s="1">
        <f t="shared" si="11"/>
        <v>41448.307692307659</v>
      </c>
      <c r="AJ36" s="1">
        <f t="shared" si="12"/>
        <v>12.069230769230488</v>
      </c>
      <c r="AK36" s="3">
        <f t="shared" si="13"/>
        <v>2.875</v>
      </c>
      <c r="AL36" s="4">
        <f t="shared" si="27"/>
        <v>5142.748076923077</v>
      </c>
      <c r="AM36" s="3">
        <v>0</v>
      </c>
      <c r="AN36" s="4">
        <f t="shared" si="28"/>
        <v>5142.748076923077</v>
      </c>
      <c r="AO36" s="1">
        <f t="shared" si="29"/>
        <v>1009.6153846153846</v>
      </c>
      <c r="AP36" s="41">
        <v>18</v>
      </c>
      <c r="AQ36" s="54">
        <f t="shared" si="14"/>
        <v>6759.6153846153848</v>
      </c>
    </row>
    <row r="37" spans="1:43" x14ac:dyDescent="0.35">
      <c r="A37" s="26" t="s">
        <v>196</v>
      </c>
      <c r="B37" s="44" t="s">
        <v>420</v>
      </c>
      <c r="C37" s="58" t="s">
        <v>477</v>
      </c>
      <c r="D37" s="63" t="s">
        <v>507</v>
      </c>
      <c r="E37" s="66" t="s">
        <v>464</v>
      </c>
      <c r="F37" s="68">
        <v>30709011507798</v>
      </c>
      <c r="G37" s="70" t="s">
        <v>526</v>
      </c>
      <c r="H37" s="72">
        <v>4000</v>
      </c>
      <c r="I37" s="72">
        <v>3000</v>
      </c>
      <c r="J37" s="9">
        <v>0</v>
      </c>
      <c r="K37" s="75">
        <v>1.05</v>
      </c>
      <c r="L37" s="9">
        <f t="shared" si="23"/>
        <v>3150</v>
      </c>
      <c r="M37" s="9"/>
      <c r="N37" s="9">
        <f t="shared" si="1"/>
        <v>30</v>
      </c>
      <c r="O37" s="9">
        <f t="shared" si="2"/>
        <v>0</v>
      </c>
      <c r="P37" s="10">
        <f t="shared" si="3"/>
        <v>133.33333333333334</v>
      </c>
      <c r="Q37" s="10">
        <f t="shared" si="4"/>
        <v>105</v>
      </c>
      <c r="R37" s="10">
        <f t="shared" si="5"/>
        <v>238.33333333333334</v>
      </c>
      <c r="S37" s="10">
        <f t="shared" si="6"/>
        <v>16.666666666666668</v>
      </c>
      <c r="T37" s="9">
        <v>44</v>
      </c>
      <c r="U37" s="9">
        <f t="shared" si="7"/>
        <v>733.33333333333337</v>
      </c>
      <c r="V37" s="9">
        <v>0</v>
      </c>
      <c r="W37" s="16">
        <f t="shared" si="16"/>
        <v>7883.333333333333</v>
      </c>
      <c r="X37" s="49">
        <v>0</v>
      </c>
      <c r="Y37" s="11">
        <f t="shared" si="8"/>
        <v>0</v>
      </c>
      <c r="Z37" s="38">
        <v>0</v>
      </c>
      <c r="AA37" s="11">
        <f t="shared" si="9"/>
        <v>0</v>
      </c>
      <c r="AB37" s="11">
        <v>0</v>
      </c>
      <c r="AC37" s="11">
        <f t="shared" si="24"/>
        <v>0</v>
      </c>
      <c r="AD37" s="12">
        <f t="shared" si="25"/>
        <v>0</v>
      </c>
      <c r="AE37" s="4">
        <f t="shared" si="26"/>
        <v>7883.333333333333</v>
      </c>
      <c r="AF37" s="3">
        <f t="shared" si="0"/>
        <v>5384.6153846153848</v>
      </c>
      <c r="AG37" s="3">
        <f t="shared" si="10"/>
        <v>592.30769230769238</v>
      </c>
      <c r="AH37" s="1">
        <v>1704.6666666666699</v>
      </c>
      <c r="AI37" s="1">
        <f t="shared" si="11"/>
        <v>67036.307692307659</v>
      </c>
      <c r="AJ37" s="1">
        <f t="shared" si="12"/>
        <v>275.45384615384575</v>
      </c>
      <c r="AK37" s="3">
        <f t="shared" si="13"/>
        <v>3.9416666666666664</v>
      </c>
      <c r="AL37" s="4">
        <f t="shared" si="27"/>
        <v>7011.6301282051281</v>
      </c>
      <c r="AM37" s="3">
        <v>0</v>
      </c>
      <c r="AN37" s="4">
        <f t="shared" si="28"/>
        <v>7011.6301282051281</v>
      </c>
      <c r="AO37" s="1">
        <f t="shared" si="29"/>
        <v>1009.6153846153846</v>
      </c>
      <c r="AP37" s="41">
        <v>16</v>
      </c>
      <c r="AQ37" s="54">
        <f t="shared" si="14"/>
        <v>8892.9487179487169</v>
      </c>
    </row>
    <row r="38" spans="1:43" x14ac:dyDescent="0.35">
      <c r="A38" s="26" t="s">
        <v>196</v>
      </c>
      <c r="B38" s="44" t="s">
        <v>421</v>
      </c>
      <c r="C38" s="58" t="s">
        <v>324</v>
      </c>
      <c r="D38" s="63" t="s">
        <v>507</v>
      </c>
      <c r="E38" s="66" t="s">
        <v>311</v>
      </c>
      <c r="F38" s="68">
        <v>30202010102282</v>
      </c>
      <c r="G38" s="70" t="s">
        <v>526</v>
      </c>
      <c r="H38" s="72">
        <v>4000</v>
      </c>
      <c r="I38" s="72">
        <v>3000</v>
      </c>
      <c r="J38" s="9">
        <v>0</v>
      </c>
      <c r="K38" s="75">
        <v>1.05</v>
      </c>
      <c r="L38" s="9">
        <f t="shared" si="23"/>
        <v>3150</v>
      </c>
      <c r="M38" s="9"/>
      <c r="N38" s="9">
        <f t="shared" si="1"/>
        <v>30</v>
      </c>
      <c r="O38" s="9">
        <f t="shared" si="2"/>
        <v>0</v>
      </c>
      <c r="P38" s="10">
        <f t="shared" si="3"/>
        <v>133.33333333333334</v>
      </c>
      <c r="Q38" s="10">
        <f t="shared" si="4"/>
        <v>105</v>
      </c>
      <c r="R38" s="10">
        <f t="shared" si="5"/>
        <v>238.33333333333334</v>
      </c>
      <c r="S38" s="10">
        <f t="shared" si="6"/>
        <v>16.666666666666668</v>
      </c>
      <c r="T38" s="9">
        <v>28</v>
      </c>
      <c r="U38" s="9">
        <f t="shared" si="7"/>
        <v>466.66666666666669</v>
      </c>
      <c r="V38" s="9">
        <v>0</v>
      </c>
      <c r="W38" s="16">
        <f t="shared" si="16"/>
        <v>7616.666666666667</v>
      </c>
      <c r="X38" s="49">
        <v>0</v>
      </c>
      <c r="Y38" s="11">
        <f t="shared" si="8"/>
        <v>0</v>
      </c>
      <c r="Z38" s="38">
        <v>2</v>
      </c>
      <c r="AA38" s="11">
        <f t="shared" si="9"/>
        <v>266.66666666666669</v>
      </c>
      <c r="AB38" s="11">
        <v>0</v>
      </c>
      <c r="AC38" s="11">
        <f t="shared" si="24"/>
        <v>0</v>
      </c>
      <c r="AD38" s="12">
        <f t="shared" si="25"/>
        <v>266.66666666666669</v>
      </c>
      <c r="AE38" s="4">
        <f t="shared" si="26"/>
        <v>7350</v>
      </c>
      <c r="AF38" s="3">
        <f t="shared" si="0"/>
        <v>5384.6153846153848</v>
      </c>
      <c r="AG38" s="3">
        <f t="shared" si="10"/>
        <v>592.30769230769238</v>
      </c>
      <c r="AH38" s="1">
        <v>1705.6666666666699</v>
      </c>
      <c r="AI38" s="1">
        <f t="shared" si="11"/>
        <v>60624.307692307659</v>
      </c>
      <c r="AJ38" s="1">
        <f t="shared" si="12"/>
        <v>195.30384615384574</v>
      </c>
      <c r="AK38" s="3">
        <f t="shared" si="13"/>
        <v>3.6750000000000003</v>
      </c>
      <c r="AL38" s="4">
        <f t="shared" si="27"/>
        <v>6558.7134615384621</v>
      </c>
      <c r="AM38" s="3">
        <v>0</v>
      </c>
      <c r="AN38" s="4">
        <f t="shared" si="28"/>
        <v>6558.7134615384621</v>
      </c>
      <c r="AO38" s="1">
        <f t="shared" si="29"/>
        <v>1009.6153846153846</v>
      </c>
      <c r="AP38" s="41">
        <v>10</v>
      </c>
      <c r="AQ38" s="54">
        <f t="shared" si="14"/>
        <v>8359.6153846153848</v>
      </c>
    </row>
    <row r="39" spans="1:43" x14ac:dyDescent="0.35">
      <c r="A39" s="26" t="s">
        <v>196</v>
      </c>
      <c r="B39" s="44" t="s">
        <v>422</v>
      </c>
      <c r="C39" s="58" t="s">
        <v>321</v>
      </c>
      <c r="D39" s="63" t="s">
        <v>507</v>
      </c>
      <c r="E39" s="66" t="s">
        <v>312</v>
      </c>
      <c r="F39" s="68">
        <v>28708250101714</v>
      </c>
      <c r="G39" s="70" t="s">
        <v>526</v>
      </c>
      <c r="H39" s="72">
        <v>4000</v>
      </c>
      <c r="I39" s="72">
        <v>3000</v>
      </c>
      <c r="J39" s="9">
        <v>0</v>
      </c>
      <c r="K39" s="75">
        <v>1.05</v>
      </c>
      <c r="L39" s="9">
        <f t="shared" si="23"/>
        <v>3150</v>
      </c>
      <c r="M39" s="9"/>
      <c r="N39" s="9">
        <f t="shared" si="1"/>
        <v>30</v>
      </c>
      <c r="O39" s="9">
        <f t="shared" si="2"/>
        <v>0</v>
      </c>
      <c r="P39" s="10">
        <f t="shared" si="3"/>
        <v>133.33333333333334</v>
      </c>
      <c r="Q39" s="10">
        <f t="shared" si="4"/>
        <v>105</v>
      </c>
      <c r="R39" s="10">
        <f t="shared" si="5"/>
        <v>238.33333333333334</v>
      </c>
      <c r="S39" s="10">
        <f t="shared" si="6"/>
        <v>16.666666666666668</v>
      </c>
      <c r="T39" s="9">
        <v>12</v>
      </c>
      <c r="U39" s="9">
        <f t="shared" si="7"/>
        <v>200</v>
      </c>
      <c r="V39" s="9">
        <v>0</v>
      </c>
      <c r="W39" s="16">
        <f t="shared" si="16"/>
        <v>7350</v>
      </c>
      <c r="X39" s="49">
        <v>0</v>
      </c>
      <c r="Y39" s="11">
        <f t="shared" si="8"/>
        <v>0</v>
      </c>
      <c r="Z39" s="38">
        <v>5</v>
      </c>
      <c r="AA39" s="11">
        <f t="shared" si="9"/>
        <v>666.66666666666674</v>
      </c>
      <c r="AB39" s="11">
        <v>0</v>
      </c>
      <c r="AC39" s="11">
        <f t="shared" si="24"/>
        <v>0</v>
      </c>
      <c r="AD39" s="12">
        <f t="shared" si="25"/>
        <v>666.66666666666674</v>
      </c>
      <c r="AE39" s="4">
        <f t="shared" si="26"/>
        <v>6683.333333333333</v>
      </c>
      <c r="AF39" s="3">
        <f t="shared" si="0"/>
        <v>5384.6153846153848</v>
      </c>
      <c r="AG39" s="3">
        <f t="shared" si="10"/>
        <v>592.30769230769238</v>
      </c>
      <c r="AH39" s="1">
        <v>1706.6666666666699</v>
      </c>
      <c r="AI39" s="1">
        <f t="shared" si="11"/>
        <v>52612.307692307651</v>
      </c>
      <c r="AJ39" s="1">
        <f t="shared" si="12"/>
        <v>105.10256410256376</v>
      </c>
      <c r="AK39" s="3">
        <f t="shared" si="13"/>
        <v>3.3416666666666668</v>
      </c>
      <c r="AL39" s="4">
        <f t="shared" si="27"/>
        <v>5982.5814102564109</v>
      </c>
      <c r="AM39" s="3">
        <v>0</v>
      </c>
      <c r="AN39" s="4">
        <f t="shared" si="28"/>
        <v>5982.5814102564109</v>
      </c>
      <c r="AO39" s="1">
        <f t="shared" si="29"/>
        <v>1009.6153846153846</v>
      </c>
      <c r="AP39" s="41">
        <v>10</v>
      </c>
      <c r="AQ39" s="54">
        <f t="shared" si="14"/>
        <v>7692.9487179487178</v>
      </c>
    </row>
    <row r="40" spans="1:43" x14ac:dyDescent="0.35">
      <c r="A40" s="26" t="s">
        <v>196</v>
      </c>
      <c r="B40" s="44" t="s">
        <v>513</v>
      </c>
      <c r="C40" s="58" t="s">
        <v>571</v>
      </c>
      <c r="D40" s="63" t="s">
        <v>507</v>
      </c>
      <c r="E40" s="64" t="s">
        <v>676</v>
      </c>
      <c r="F40" s="68">
        <v>30212030103132</v>
      </c>
      <c r="G40" s="70" t="s">
        <v>526</v>
      </c>
      <c r="H40" s="72">
        <v>4000</v>
      </c>
      <c r="I40" s="72">
        <v>3000</v>
      </c>
      <c r="J40" s="9">
        <v>0</v>
      </c>
      <c r="K40" s="75">
        <v>1.05</v>
      </c>
      <c r="L40" s="9">
        <f t="shared" si="23"/>
        <v>3150</v>
      </c>
      <c r="M40" s="9"/>
      <c r="N40" s="9">
        <f t="shared" si="1"/>
        <v>30</v>
      </c>
      <c r="O40" s="9">
        <f t="shared" si="2"/>
        <v>0</v>
      </c>
      <c r="P40" s="10">
        <f t="shared" si="3"/>
        <v>133.33333333333334</v>
      </c>
      <c r="Q40" s="10">
        <f t="shared" si="4"/>
        <v>105</v>
      </c>
      <c r="R40" s="10">
        <f t="shared" si="5"/>
        <v>238.33333333333334</v>
      </c>
      <c r="S40" s="10">
        <f t="shared" si="6"/>
        <v>16.666666666666668</v>
      </c>
      <c r="T40" s="9">
        <v>28</v>
      </c>
      <c r="U40" s="9">
        <f t="shared" si="7"/>
        <v>466.66666666666669</v>
      </c>
      <c r="V40" s="9">
        <v>0</v>
      </c>
      <c r="W40" s="16">
        <f t="shared" si="16"/>
        <v>7616.666666666667</v>
      </c>
      <c r="X40" s="49">
        <v>0</v>
      </c>
      <c r="Y40" s="11">
        <f t="shared" si="8"/>
        <v>0</v>
      </c>
      <c r="Z40" s="38">
        <v>3</v>
      </c>
      <c r="AA40" s="11">
        <f t="shared" si="9"/>
        <v>400</v>
      </c>
      <c r="AB40" s="11">
        <v>0</v>
      </c>
      <c r="AC40" s="11">
        <f t="shared" si="24"/>
        <v>0</v>
      </c>
      <c r="AD40" s="12">
        <f t="shared" si="25"/>
        <v>400</v>
      </c>
      <c r="AE40" s="4">
        <f t="shared" si="26"/>
        <v>7216.666666666667</v>
      </c>
      <c r="AF40" s="3">
        <f t="shared" si="0"/>
        <v>5384.6153846153848</v>
      </c>
      <c r="AG40" s="3">
        <f t="shared" si="10"/>
        <v>592.30769230769238</v>
      </c>
      <c r="AH40" s="1">
        <v>1707.6666666666699</v>
      </c>
      <c r="AI40" s="1">
        <f t="shared" si="11"/>
        <v>59000.307692307659</v>
      </c>
      <c r="AJ40" s="1">
        <f t="shared" si="12"/>
        <v>175.00384615384573</v>
      </c>
      <c r="AK40" s="3">
        <f t="shared" si="13"/>
        <v>3.6083333333333334</v>
      </c>
      <c r="AL40" s="4">
        <f t="shared" si="27"/>
        <v>6445.7467948717949</v>
      </c>
      <c r="AM40" s="3">
        <v>0</v>
      </c>
      <c r="AN40" s="4">
        <f t="shared" si="28"/>
        <v>6445.7467948717949</v>
      </c>
      <c r="AO40" s="1">
        <f t="shared" si="29"/>
        <v>1009.6153846153846</v>
      </c>
      <c r="AP40" s="41">
        <v>16</v>
      </c>
      <c r="AQ40" s="54">
        <f t="shared" si="14"/>
        <v>8226.2820512820508</v>
      </c>
    </row>
    <row r="41" spans="1:43" x14ac:dyDescent="0.35">
      <c r="A41" s="26" t="s">
        <v>196</v>
      </c>
      <c r="B41" s="44" t="s">
        <v>423</v>
      </c>
      <c r="C41" s="58" t="s">
        <v>272</v>
      </c>
      <c r="D41" s="63" t="s">
        <v>507</v>
      </c>
      <c r="E41" s="64" t="s">
        <v>218</v>
      </c>
      <c r="F41" s="68" t="s">
        <v>35</v>
      </c>
      <c r="G41" s="70" t="s">
        <v>526</v>
      </c>
      <c r="H41" s="72">
        <v>4000</v>
      </c>
      <c r="I41" s="72">
        <v>3000</v>
      </c>
      <c r="J41" s="9">
        <v>0</v>
      </c>
      <c r="K41" s="75">
        <v>1.05</v>
      </c>
      <c r="L41" s="9">
        <f t="shared" si="23"/>
        <v>3150</v>
      </c>
      <c r="M41" s="9"/>
      <c r="N41" s="9">
        <f t="shared" si="1"/>
        <v>30</v>
      </c>
      <c r="O41" s="9">
        <f t="shared" si="2"/>
        <v>0</v>
      </c>
      <c r="P41" s="10">
        <f t="shared" si="3"/>
        <v>133.33333333333334</v>
      </c>
      <c r="Q41" s="10">
        <f t="shared" si="4"/>
        <v>105</v>
      </c>
      <c r="R41" s="10">
        <f t="shared" si="5"/>
        <v>238.33333333333334</v>
      </c>
      <c r="S41" s="10">
        <f t="shared" si="6"/>
        <v>16.666666666666668</v>
      </c>
      <c r="T41" s="9">
        <v>28</v>
      </c>
      <c r="U41" s="9">
        <f t="shared" si="7"/>
        <v>466.66666666666669</v>
      </c>
      <c r="V41" s="9">
        <v>0</v>
      </c>
      <c r="W41" s="16">
        <f t="shared" si="16"/>
        <v>7616.666666666667</v>
      </c>
      <c r="X41" s="49">
        <v>0</v>
      </c>
      <c r="Y41" s="11">
        <f t="shared" si="8"/>
        <v>0</v>
      </c>
      <c r="Z41" s="38">
        <v>0</v>
      </c>
      <c r="AA41" s="11">
        <f t="shared" si="9"/>
        <v>0</v>
      </c>
      <c r="AB41" s="11">
        <v>0</v>
      </c>
      <c r="AC41" s="11">
        <f t="shared" si="24"/>
        <v>0</v>
      </c>
      <c r="AD41" s="12">
        <f t="shared" si="25"/>
        <v>0</v>
      </c>
      <c r="AE41" s="4">
        <f t="shared" si="26"/>
        <v>7616.666666666667</v>
      </c>
      <c r="AF41" s="3">
        <f t="shared" si="0"/>
        <v>5384.6153846153848</v>
      </c>
      <c r="AG41" s="3">
        <f t="shared" si="10"/>
        <v>592.30769230769238</v>
      </c>
      <c r="AH41" s="1">
        <v>1709.6666666666699</v>
      </c>
      <c r="AI41" s="1">
        <f t="shared" si="11"/>
        <v>63776.307692307659</v>
      </c>
      <c r="AJ41" s="1">
        <f t="shared" si="12"/>
        <v>234.70384615384572</v>
      </c>
      <c r="AK41" s="3">
        <f t="shared" si="13"/>
        <v>3.8083333333333336</v>
      </c>
      <c r="AL41" s="4">
        <f t="shared" si="27"/>
        <v>6785.8467948717953</v>
      </c>
      <c r="AM41" s="3">
        <v>0</v>
      </c>
      <c r="AN41" s="4">
        <f t="shared" si="28"/>
        <v>6785.8467948717953</v>
      </c>
      <c r="AO41" s="1">
        <f t="shared" si="29"/>
        <v>1009.6153846153846</v>
      </c>
      <c r="AP41" s="41">
        <v>8</v>
      </c>
      <c r="AQ41" s="54">
        <f t="shared" si="14"/>
        <v>8626.2820512820508</v>
      </c>
    </row>
    <row r="42" spans="1:43" x14ac:dyDescent="0.35">
      <c r="A42" s="26" t="s">
        <v>196</v>
      </c>
      <c r="B42" s="44" t="s">
        <v>424</v>
      </c>
      <c r="C42" s="61" t="s">
        <v>577</v>
      </c>
      <c r="D42" s="63" t="s">
        <v>507</v>
      </c>
      <c r="E42" s="64" t="s">
        <v>677</v>
      </c>
      <c r="F42" s="68">
        <v>30005220102366</v>
      </c>
      <c r="G42" s="70" t="s">
        <v>526</v>
      </c>
      <c r="H42" s="72">
        <v>4000</v>
      </c>
      <c r="I42" s="72">
        <v>3000</v>
      </c>
      <c r="J42" s="9">
        <v>0</v>
      </c>
      <c r="K42" s="75">
        <v>1.05</v>
      </c>
      <c r="L42" s="9">
        <f t="shared" si="23"/>
        <v>3150</v>
      </c>
      <c r="M42" s="9"/>
      <c r="N42" s="9">
        <f t="shared" si="1"/>
        <v>30</v>
      </c>
      <c r="O42" s="9">
        <f t="shared" si="2"/>
        <v>0</v>
      </c>
      <c r="P42" s="10">
        <f t="shared" si="3"/>
        <v>133.33333333333334</v>
      </c>
      <c r="Q42" s="10">
        <f t="shared" si="4"/>
        <v>105</v>
      </c>
      <c r="R42" s="10">
        <f t="shared" si="5"/>
        <v>238.33333333333334</v>
      </c>
      <c r="S42" s="10">
        <f t="shared" si="6"/>
        <v>16.666666666666668</v>
      </c>
      <c r="T42" s="9">
        <v>28</v>
      </c>
      <c r="U42" s="9">
        <f t="shared" si="7"/>
        <v>466.66666666666669</v>
      </c>
      <c r="V42" s="9">
        <v>0</v>
      </c>
      <c r="W42" s="16">
        <f t="shared" si="16"/>
        <v>7616.666666666667</v>
      </c>
      <c r="X42" s="49">
        <v>0</v>
      </c>
      <c r="Y42" s="11">
        <f t="shared" si="8"/>
        <v>0</v>
      </c>
      <c r="Z42" s="38">
        <v>4</v>
      </c>
      <c r="AA42" s="11">
        <f t="shared" si="9"/>
        <v>533.33333333333337</v>
      </c>
      <c r="AB42" s="11">
        <v>0</v>
      </c>
      <c r="AC42" s="11">
        <f t="shared" si="24"/>
        <v>0</v>
      </c>
      <c r="AD42" s="12">
        <f t="shared" si="25"/>
        <v>533.33333333333337</v>
      </c>
      <c r="AE42" s="4">
        <f t="shared" si="26"/>
        <v>7083.3333333333339</v>
      </c>
      <c r="AF42" s="3">
        <f t="shared" si="0"/>
        <v>5384.6153846153848</v>
      </c>
      <c r="AG42" s="3">
        <f t="shared" si="10"/>
        <v>592.30769230769238</v>
      </c>
      <c r="AH42" s="1">
        <v>1710.6666666666699</v>
      </c>
      <c r="AI42" s="1">
        <f t="shared" si="11"/>
        <v>57364.307692307659</v>
      </c>
      <c r="AJ42" s="1">
        <f t="shared" si="12"/>
        <v>154.55384615384574</v>
      </c>
      <c r="AK42" s="3">
        <f t="shared" si="13"/>
        <v>3.541666666666667</v>
      </c>
      <c r="AL42" s="4">
        <f t="shared" si="27"/>
        <v>6332.9301282051292</v>
      </c>
      <c r="AM42" s="3">
        <v>0</v>
      </c>
      <c r="AN42" s="4">
        <f t="shared" si="28"/>
        <v>6332.9301282051292</v>
      </c>
      <c r="AO42" s="1">
        <f t="shared" si="29"/>
        <v>1009.6153846153846</v>
      </c>
      <c r="AP42" s="41">
        <v>17</v>
      </c>
      <c r="AQ42" s="54">
        <f t="shared" si="14"/>
        <v>8092.9487179487187</v>
      </c>
    </row>
    <row r="43" spans="1:43" x14ac:dyDescent="0.35">
      <c r="A43" s="26" t="s">
        <v>196</v>
      </c>
      <c r="B43" s="44" t="s">
        <v>425</v>
      </c>
      <c r="C43" s="58" t="s">
        <v>273</v>
      </c>
      <c r="D43" s="63" t="s">
        <v>507</v>
      </c>
      <c r="E43" s="64" t="s">
        <v>219</v>
      </c>
      <c r="F43" s="68" t="s">
        <v>50</v>
      </c>
      <c r="G43" s="70" t="s">
        <v>526</v>
      </c>
      <c r="H43" s="72">
        <v>4000</v>
      </c>
      <c r="I43" s="72">
        <v>3000</v>
      </c>
      <c r="J43" s="9">
        <v>0</v>
      </c>
      <c r="K43" s="75">
        <v>1.05</v>
      </c>
      <c r="L43" s="9">
        <f>+I43*K43</f>
        <v>3150</v>
      </c>
      <c r="M43" s="9"/>
      <c r="N43" s="9">
        <f t="shared" si="1"/>
        <v>30</v>
      </c>
      <c r="O43" s="9">
        <f t="shared" si="2"/>
        <v>0</v>
      </c>
      <c r="P43" s="10">
        <f t="shared" si="3"/>
        <v>133.33333333333334</v>
      </c>
      <c r="Q43" s="10">
        <f t="shared" si="4"/>
        <v>105</v>
      </c>
      <c r="R43" s="10">
        <f t="shared" si="5"/>
        <v>238.33333333333334</v>
      </c>
      <c r="S43" s="10">
        <f t="shared" si="6"/>
        <v>16.666666666666668</v>
      </c>
      <c r="T43" s="9">
        <v>12</v>
      </c>
      <c r="U43" s="9">
        <f t="shared" si="7"/>
        <v>200</v>
      </c>
      <c r="V43" s="9">
        <v>0</v>
      </c>
      <c r="W43" s="16">
        <f>H43+L43+U43+V43+J43</f>
        <v>7350</v>
      </c>
      <c r="X43" s="49">
        <v>0</v>
      </c>
      <c r="Y43" s="11">
        <f t="shared" si="8"/>
        <v>0</v>
      </c>
      <c r="Z43" s="38">
        <v>0</v>
      </c>
      <c r="AA43" s="11">
        <f t="shared" si="9"/>
        <v>0</v>
      </c>
      <c r="AB43" s="11">
        <v>0</v>
      </c>
      <c r="AC43" s="11">
        <f>Q43*AB43</f>
        <v>0</v>
      </c>
      <c r="AD43" s="12">
        <f>Y43+AA43+AC43</f>
        <v>0</v>
      </c>
      <c r="AE43" s="4">
        <f>W43-AD43</f>
        <v>7350</v>
      </c>
      <c r="AF43" s="3">
        <f t="shared" si="0"/>
        <v>5384.6153846153848</v>
      </c>
      <c r="AG43" s="3">
        <f t="shared" si="10"/>
        <v>592.30769230769238</v>
      </c>
      <c r="AH43" s="1">
        <v>1711.6666666666699</v>
      </c>
      <c r="AI43" s="1">
        <f t="shared" si="11"/>
        <v>60552.307692307659</v>
      </c>
      <c r="AJ43" s="1">
        <f t="shared" si="12"/>
        <v>194.40384615384573</v>
      </c>
      <c r="AK43" s="3">
        <f t="shared" si="13"/>
        <v>3.6750000000000003</v>
      </c>
      <c r="AL43" s="4">
        <f>+AE43-AG43-AJ43-AK43</f>
        <v>6559.6134615384617</v>
      </c>
      <c r="AM43" s="3">
        <v>0</v>
      </c>
      <c r="AN43" s="4">
        <f>+AL43-AM43</f>
        <v>6559.6134615384617</v>
      </c>
      <c r="AO43" s="1">
        <f>+AF43*0.1875</f>
        <v>1009.6153846153846</v>
      </c>
      <c r="AP43" s="41">
        <v>4</v>
      </c>
      <c r="AQ43" s="54">
        <f t="shared" si="14"/>
        <v>8359.6153846153848</v>
      </c>
    </row>
    <row r="44" spans="1:43" x14ac:dyDescent="0.35">
      <c r="A44" s="26" t="s">
        <v>196</v>
      </c>
      <c r="B44" s="44" t="s">
        <v>426</v>
      </c>
      <c r="C44" s="58" t="s">
        <v>556</v>
      </c>
      <c r="D44" s="63" t="s">
        <v>507</v>
      </c>
      <c r="E44" s="64" t="s">
        <v>678</v>
      </c>
      <c r="F44" s="68">
        <v>30601082102513</v>
      </c>
      <c r="G44" s="70" t="s">
        <v>526</v>
      </c>
      <c r="H44" s="72">
        <v>4000</v>
      </c>
      <c r="I44" s="72">
        <v>3000</v>
      </c>
      <c r="J44" s="9">
        <v>0</v>
      </c>
      <c r="K44" s="75">
        <v>1.05</v>
      </c>
      <c r="L44" s="9">
        <f t="shared" si="23"/>
        <v>3150</v>
      </c>
      <c r="M44" s="9"/>
      <c r="N44" s="9">
        <f t="shared" si="1"/>
        <v>30</v>
      </c>
      <c r="O44" s="9">
        <f t="shared" si="2"/>
        <v>0</v>
      </c>
      <c r="P44" s="10">
        <f t="shared" si="3"/>
        <v>133.33333333333334</v>
      </c>
      <c r="Q44" s="10">
        <f t="shared" si="4"/>
        <v>105</v>
      </c>
      <c r="R44" s="10">
        <f t="shared" si="5"/>
        <v>238.33333333333334</v>
      </c>
      <c r="S44" s="10">
        <f t="shared" si="6"/>
        <v>16.666666666666668</v>
      </c>
      <c r="T44" s="9">
        <v>28</v>
      </c>
      <c r="U44" s="9">
        <f t="shared" si="7"/>
        <v>466.66666666666669</v>
      </c>
      <c r="V44" s="9">
        <v>0</v>
      </c>
      <c r="W44" s="16">
        <f t="shared" si="16"/>
        <v>7616.666666666667</v>
      </c>
      <c r="X44" s="49">
        <v>0</v>
      </c>
      <c r="Y44" s="11">
        <f t="shared" si="8"/>
        <v>0</v>
      </c>
      <c r="Z44" s="38">
        <v>0</v>
      </c>
      <c r="AA44" s="11">
        <f t="shared" si="9"/>
        <v>0</v>
      </c>
      <c r="AB44" s="11">
        <v>0</v>
      </c>
      <c r="AC44" s="11">
        <f t="shared" si="24"/>
        <v>0</v>
      </c>
      <c r="AD44" s="12">
        <f t="shared" si="25"/>
        <v>0</v>
      </c>
      <c r="AE44" s="4">
        <f t="shared" si="26"/>
        <v>7616.666666666667</v>
      </c>
      <c r="AF44" s="3">
        <f t="shared" si="0"/>
        <v>5384.6153846153848</v>
      </c>
      <c r="AG44" s="3">
        <f t="shared" si="10"/>
        <v>592.30769230769238</v>
      </c>
      <c r="AH44" s="1">
        <v>1712.6666666666699</v>
      </c>
      <c r="AI44" s="1">
        <f t="shared" si="11"/>
        <v>63740.307692307659</v>
      </c>
      <c r="AJ44" s="1">
        <f t="shared" si="12"/>
        <v>234.25384615384573</v>
      </c>
      <c r="AK44" s="3">
        <f t="shared" si="13"/>
        <v>3.8083333333333336</v>
      </c>
      <c r="AL44" s="4">
        <f t="shared" si="27"/>
        <v>6786.2967948717951</v>
      </c>
      <c r="AM44" s="3">
        <v>0</v>
      </c>
      <c r="AN44" s="4">
        <f t="shared" si="28"/>
        <v>6786.2967948717951</v>
      </c>
      <c r="AO44" s="1">
        <f t="shared" si="29"/>
        <v>1009.6153846153846</v>
      </c>
      <c r="AP44" s="41">
        <v>21</v>
      </c>
      <c r="AQ44" s="54">
        <f t="shared" si="14"/>
        <v>8626.2820512820508</v>
      </c>
    </row>
    <row r="45" spans="1:43" x14ac:dyDescent="0.35">
      <c r="A45" s="26" t="s">
        <v>196</v>
      </c>
      <c r="B45" s="44" t="s">
        <v>514</v>
      </c>
      <c r="C45" s="58" t="s">
        <v>558</v>
      </c>
      <c r="D45" s="63" t="s">
        <v>507</v>
      </c>
      <c r="E45" s="64" t="s">
        <v>679</v>
      </c>
      <c r="F45" s="68">
        <v>30401022102337</v>
      </c>
      <c r="G45" s="70" t="s">
        <v>526</v>
      </c>
      <c r="H45" s="72">
        <v>4000</v>
      </c>
      <c r="I45" s="72">
        <v>3000</v>
      </c>
      <c r="J45" s="9">
        <v>0</v>
      </c>
      <c r="K45" s="75">
        <v>1.05</v>
      </c>
      <c r="L45" s="9">
        <f t="shared" si="23"/>
        <v>3150</v>
      </c>
      <c r="M45" s="9"/>
      <c r="N45" s="9">
        <f t="shared" si="1"/>
        <v>30</v>
      </c>
      <c r="O45" s="9">
        <f t="shared" si="2"/>
        <v>0</v>
      </c>
      <c r="P45" s="10">
        <f t="shared" si="3"/>
        <v>133.33333333333334</v>
      </c>
      <c r="Q45" s="10">
        <f t="shared" si="4"/>
        <v>105</v>
      </c>
      <c r="R45" s="10">
        <f t="shared" si="5"/>
        <v>238.33333333333334</v>
      </c>
      <c r="S45" s="10">
        <f t="shared" si="6"/>
        <v>16.666666666666668</v>
      </c>
      <c r="T45" s="9">
        <v>28</v>
      </c>
      <c r="U45" s="9">
        <f t="shared" si="7"/>
        <v>466.66666666666669</v>
      </c>
      <c r="V45" s="9">
        <v>0</v>
      </c>
      <c r="W45" s="16">
        <f t="shared" si="16"/>
        <v>7616.666666666667</v>
      </c>
      <c r="X45" s="49">
        <v>0</v>
      </c>
      <c r="Y45" s="11">
        <f t="shared" si="8"/>
        <v>0</v>
      </c>
      <c r="Z45" s="38">
        <v>0</v>
      </c>
      <c r="AA45" s="11">
        <f t="shared" si="9"/>
        <v>0</v>
      </c>
      <c r="AB45" s="11">
        <v>0</v>
      </c>
      <c r="AC45" s="11">
        <f t="shared" si="24"/>
        <v>0</v>
      </c>
      <c r="AD45" s="12">
        <f t="shared" si="25"/>
        <v>0</v>
      </c>
      <c r="AE45" s="4">
        <f t="shared" si="26"/>
        <v>7616.666666666667</v>
      </c>
      <c r="AF45" s="3">
        <f t="shared" si="0"/>
        <v>5384.6153846153848</v>
      </c>
      <c r="AG45" s="3">
        <f t="shared" si="10"/>
        <v>592.30769230769238</v>
      </c>
      <c r="AH45" s="1">
        <v>1713.6666666666699</v>
      </c>
      <c r="AI45" s="1">
        <f t="shared" si="11"/>
        <v>63728.307692307659</v>
      </c>
      <c r="AJ45" s="1">
        <f t="shared" si="12"/>
        <v>234.10384615384569</v>
      </c>
      <c r="AK45" s="3">
        <f t="shared" si="13"/>
        <v>3.8083333333333336</v>
      </c>
      <c r="AL45" s="4">
        <f t="shared" si="27"/>
        <v>6786.4467948717956</v>
      </c>
      <c r="AM45" s="3">
        <v>0</v>
      </c>
      <c r="AN45" s="4">
        <f t="shared" si="28"/>
        <v>6786.4467948717956</v>
      </c>
      <c r="AO45" s="1">
        <f t="shared" si="29"/>
        <v>1009.6153846153846</v>
      </c>
      <c r="AP45" s="41">
        <v>12</v>
      </c>
      <c r="AQ45" s="54">
        <f t="shared" si="14"/>
        <v>8626.2820512820508</v>
      </c>
    </row>
    <row r="46" spans="1:43" x14ac:dyDescent="0.35">
      <c r="A46" s="26" t="s">
        <v>196</v>
      </c>
      <c r="B46" s="44" t="s">
        <v>427</v>
      </c>
      <c r="C46" s="58" t="s">
        <v>508</v>
      </c>
      <c r="D46" s="63" t="s">
        <v>507</v>
      </c>
      <c r="E46" s="64" t="s">
        <v>509</v>
      </c>
      <c r="F46" s="68">
        <v>29808182100214</v>
      </c>
      <c r="G46" s="70" t="s">
        <v>526</v>
      </c>
      <c r="H46" s="72">
        <v>4000</v>
      </c>
      <c r="I46" s="72">
        <v>3000</v>
      </c>
      <c r="J46" s="9">
        <v>0</v>
      </c>
      <c r="K46" s="75">
        <v>1.05</v>
      </c>
      <c r="L46" s="9">
        <f t="shared" si="23"/>
        <v>3150</v>
      </c>
      <c r="M46" s="9"/>
      <c r="N46" s="9">
        <f t="shared" si="1"/>
        <v>30</v>
      </c>
      <c r="O46" s="9">
        <f t="shared" si="2"/>
        <v>0</v>
      </c>
      <c r="P46" s="10">
        <f t="shared" si="3"/>
        <v>133.33333333333334</v>
      </c>
      <c r="Q46" s="10">
        <f t="shared" si="4"/>
        <v>105</v>
      </c>
      <c r="R46" s="10">
        <f t="shared" si="5"/>
        <v>238.33333333333334</v>
      </c>
      <c r="S46" s="10">
        <f t="shared" si="6"/>
        <v>16.666666666666668</v>
      </c>
      <c r="T46" s="9">
        <v>28</v>
      </c>
      <c r="U46" s="9">
        <f t="shared" si="7"/>
        <v>466.66666666666669</v>
      </c>
      <c r="V46" s="9">
        <v>0</v>
      </c>
      <c r="W46" s="16">
        <f t="shared" si="16"/>
        <v>7616.666666666667</v>
      </c>
      <c r="X46" s="49">
        <v>0</v>
      </c>
      <c r="Y46" s="11">
        <f t="shared" si="8"/>
        <v>0</v>
      </c>
      <c r="Z46" s="38">
        <v>5</v>
      </c>
      <c r="AA46" s="11">
        <f t="shared" si="9"/>
        <v>666.66666666666674</v>
      </c>
      <c r="AB46" s="11">
        <v>0</v>
      </c>
      <c r="AC46" s="11">
        <f t="shared" si="24"/>
        <v>0</v>
      </c>
      <c r="AD46" s="12">
        <f t="shared" si="25"/>
        <v>666.66666666666674</v>
      </c>
      <c r="AE46" s="4">
        <f t="shared" si="26"/>
        <v>6950</v>
      </c>
      <c r="AF46" s="3">
        <f t="shared" si="0"/>
        <v>5384.6153846153848</v>
      </c>
      <c r="AG46" s="3">
        <f t="shared" si="10"/>
        <v>592.30769230769238</v>
      </c>
      <c r="AH46" s="1">
        <v>1714.6666666666699</v>
      </c>
      <c r="AI46" s="1">
        <f t="shared" si="11"/>
        <v>55716.307692307659</v>
      </c>
      <c r="AJ46" s="1">
        <f t="shared" si="12"/>
        <v>133.95384615384572</v>
      </c>
      <c r="AK46" s="3">
        <f t="shared" si="13"/>
        <v>3.4750000000000001</v>
      </c>
      <c r="AL46" s="4">
        <f t="shared" si="27"/>
        <v>6220.2634615384613</v>
      </c>
      <c r="AM46" s="3">
        <v>0</v>
      </c>
      <c r="AN46" s="4">
        <f t="shared" si="28"/>
        <v>6220.2634615384613</v>
      </c>
      <c r="AO46" s="1">
        <f t="shared" si="29"/>
        <v>1009.6153846153846</v>
      </c>
      <c r="AP46" s="41">
        <v>8</v>
      </c>
      <c r="AQ46" s="54">
        <f t="shared" si="14"/>
        <v>7959.6153846153848</v>
      </c>
    </row>
    <row r="47" spans="1:43" x14ac:dyDescent="0.35">
      <c r="A47" s="27" t="s">
        <v>196</v>
      </c>
      <c r="B47" s="44" t="s">
        <v>428</v>
      </c>
      <c r="C47" s="58" t="s">
        <v>274</v>
      </c>
      <c r="D47" s="63" t="s">
        <v>507</v>
      </c>
      <c r="E47" s="64" t="s">
        <v>220</v>
      </c>
      <c r="F47" s="69" t="s">
        <v>221</v>
      </c>
      <c r="G47" s="70" t="s">
        <v>526</v>
      </c>
      <c r="H47" s="72">
        <v>4000</v>
      </c>
      <c r="I47" s="72">
        <v>3000</v>
      </c>
      <c r="J47" s="9">
        <v>0</v>
      </c>
      <c r="K47" s="75">
        <v>1.05</v>
      </c>
      <c r="L47" s="9">
        <f>+I47*K47</f>
        <v>3150</v>
      </c>
      <c r="M47" s="9"/>
      <c r="N47" s="9">
        <f t="shared" si="1"/>
        <v>30</v>
      </c>
      <c r="O47" s="9">
        <f t="shared" si="2"/>
        <v>0</v>
      </c>
      <c r="P47" s="10">
        <f t="shared" si="3"/>
        <v>133.33333333333334</v>
      </c>
      <c r="Q47" s="10">
        <f t="shared" si="4"/>
        <v>105</v>
      </c>
      <c r="R47" s="10">
        <f t="shared" si="5"/>
        <v>238.33333333333334</v>
      </c>
      <c r="S47" s="10">
        <f t="shared" si="6"/>
        <v>16.666666666666668</v>
      </c>
      <c r="T47" s="9">
        <v>28</v>
      </c>
      <c r="U47" s="9">
        <f t="shared" si="7"/>
        <v>466.66666666666669</v>
      </c>
      <c r="V47" s="9">
        <v>0</v>
      </c>
      <c r="W47" s="16">
        <f>H47+L47+U47+V47+J47</f>
        <v>7616.666666666667</v>
      </c>
      <c r="X47" s="49">
        <v>0</v>
      </c>
      <c r="Y47" s="11">
        <f t="shared" si="8"/>
        <v>0</v>
      </c>
      <c r="Z47" s="38">
        <v>2</v>
      </c>
      <c r="AA47" s="11">
        <f t="shared" si="9"/>
        <v>266.66666666666669</v>
      </c>
      <c r="AB47" s="11">
        <v>0</v>
      </c>
      <c r="AC47" s="11">
        <f>Q47*AB47</f>
        <v>0</v>
      </c>
      <c r="AD47" s="12">
        <f>Y47+AA47+AC47</f>
        <v>266.66666666666669</v>
      </c>
      <c r="AE47" s="4">
        <f>W47-AD47</f>
        <v>7350</v>
      </c>
      <c r="AF47" s="3">
        <f t="shared" si="0"/>
        <v>5384.6153846153848</v>
      </c>
      <c r="AG47" s="3">
        <f t="shared" si="10"/>
        <v>592.30769230769238</v>
      </c>
      <c r="AH47" s="1">
        <v>1715.6666666666699</v>
      </c>
      <c r="AI47" s="1">
        <f t="shared" si="11"/>
        <v>60504.307692307659</v>
      </c>
      <c r="AJ47" s="1">
        <f t="shared" si="12"/>
        <v>193.80384615384574</v>
      </c>
      <c r="AK47" s="3">
        <f t="shared" si="13"/>
        <v>3.6750000000000003</v>
      </c>
      <c r="AL47" s="4">
        <f>+AE47-AG47-AJ47-AK47</f>
        <v>6560.2134615384621</v>
      </c>
      <c r="AM47" s="3">
        <v>0</v>
      </c>
      <c r="AN47" s="4">
        <f>+AL47-AM47</f>
        <v>6560.2134615384621</v>
      </c>
      <c r="AO47" s="1">
        <f>+AF47*0.1875</f>
        <v>1009.6153846153846</v>
      </c>
      <c r="AP47" s="41">
        <v>13</v>
      </c>
      <c r="AQ47" s="54">
        <f t="shared" si="14"/>
        <v>8359.6153846153848</v>
      </c>
    </row>
    <row r="48" spans="1:43" x14ac:dyDescent="0.35">
      <c r="A48" s="27" t="s">
        <v>196</v>
      </c>
      <c r="B48" s="44" t="s">
        <v>429</v>
      </c>
      <c r="C48" s="62" t="s">
        <v>557</v>
      </c>
      <c r="D48" s="63" t="s">
        <v>507</v>
      </c>
      <c r="E48" s="66" t="s">
        <v>680</v>
      </c>
      <c r="F48" s="68">
        <v>30409160101601</v>
      </c>
      <c r="G48" s="70" t="s">
        <v>526</v>
      </c>
      <c r="H48" s="72">
        <v>4000</v>
      </c>
      <c r="I48" s="72">
        <v>3000</v>
      </c>
      <c r="J48" s="9">
        <v>0</v>
      </c>
      <c r="K48" s="75">
        <v>1.05</v>
      </c>
      <c r="L48" s="9">
        <f t="shared" si="23"/>
        <v>3150</v>
      </c>
      <c r="M48" s="9"/>
      <c r="N48" s="9">
        <f t="shared" si="1"/>
        <v>30</v>
      </c>
      <c r="O48" s="9">
        <f t="shared" si="2"/>
        <v>0</v>
      </c>
      <c r="P48" s="10">
        <f t="shared" si="3"/>
        <v>133.33333333333334</v>
      </c>
      <c r="Q48" s="10">
        <f t="shared" si="4"/>
        <v>105</v>
      </c>
      <c r="R48" s="10">
        <f t="shared" si="5"/>
        <v>238.33333333333334</v>
      </c>
      <c r="S48" s="10">
        <f t="shared" si="6"/>
        <v>16.666666666666668</v>
      </c>
      <c r="T48" s="9">
        <v>28</v>
      </c>
      <c r="U48" s="9">
        <f t="shared" si="7"/>
        <v>466.66666666666669</v>
      </c>
      <c r="V48" s="9">
        <v>0</v>
      </c>
      <c r="W48" s="16">
        <f t="shared" si="16"/>
        <v>7616.666666666667</v>
      </c>
      <c r="X48" s="49">
        <v>0</v>
      </c>
      <c r="Y48" s="11">
        <f t="shared" si="8"/>
        <v>0</v>
      </c>
      <c r="Z48" s="38">
        <v>0</v>
      </c>
      <c r="AA48" s="11">
        <f t="shared" si="9"/>
        <v>0</v>
      </c>
      <c r="AB48" s="11">
        <v>0</v>
      </c>
      <c r="AC48" s="11">
        <f t="shared" si="24"/>
        <v>0</v>
      </c>
      <c r="AD48" s="12">
        <f t="shared" si="25"/>
        <v>0</v>
      </c>
      <c r="AE48" s="4">
        <f t="shared" si="26"/>
        <v>7616.666666666667</v>
      </c>
      <c r="AF48" s="3">
        <f t="shared" si="0"/>
        <v>5384.6153846153848</v>
      </c>
      <c r="AG48" s="3">
        <f t="shared" si="10"/>
        <v>592.30769230769238</v>
      </c>
      <c r="AH48" s="1">
        <v>1716.6666666666699</v>
      </c>
      <c r="AI48" s="1">
        <f t="shared" si="11"/>
        <v>63692.307692307659</v>
      </c>
      <c r="AJ48" s="1">
        <f t="shared" si="12"/>
        <v>233.65384615384573</v>
      </c>
      <c r="AK48" s="3">
        <f t="shared" si="13"/>
        <v>3.8083333333333336</v>
      </c>
      <c r="AL48" s="4">
        <f t="shared" si="27"/>
        <v>6786.8967948717955</v>
      </c>
      <c r="AM48" s="3">
        <v>0</v>
      </c>
      <c r="AN48" s="4">
        <f t="shared" si="28"/>
        <v>6786.8967948717955</v>
      </c>
      <c r="AO48" s="1">
        <f t="shared" si="29"/>
        <v>1009.6153846153846</v>
      </c>
      <c r="AP48" s="41">
        <v>17</v>
      </c>
      <c r="AQ48" s="54">
        <f t="shared" si="14"/>
        <v>8626.2820512820508</v>
      </c>
    </row>
    <row r="49" spans="1:43" x14ac:dyDescent="0.35">
      <c r="A49" s="26" t="s">
        <v>196</v>
      </c>
      <c r="B49" s="44" t="s">
        <v>430</v>
      </c>
      <c r="C49" s="58" t="s">
        <v>275</v>
      </c>
      <c r="D49" s="63" t="s">
        <v>507</v>
      </c>
      <c r="E49" s="66" t="s">
        <v>222</v>
      </c>
      <c r="F49" s="68" t="s">
        <v>223</v>
      </c>
      <c r="G49" s="70" t="s">
        <v>526</v>
      </c>
      <c r="H49" s="72">
        <v>4000</v>
      </c>
      <c r="I49" s="72">
        <v>3000</v>
      </c>
      <c r="J49" s="9">
        <v>0</v>
      </c>
      <c r="K49" s="75">
        <v>1.05</v>
      </c>
      <c r="L49" s="9">
        <f t="shared" si="23"/>
        <v>3150</v>
      </c>
      <c r="M49" s="9"/>
      <c r="N49" s="9">
        <f t="shared" si="1"/>
        <v>30</v>
      </c>
      <c r="O49" s="9">
        <f t="shared" si="2"/>
        <v>0</v>
      </c>
      <c r="P49" s="10">
        <f t="shared" si="3"/>
        <v>133.33333333333334</v>
      </c>
      <c r="Q49" s="10">
        <f t="shared" si="4"/>
        <v>105</v>
      </c>
      <c r="R49" s="10">
        <f t="shared" si="5"/>
        <v>238.33333333333334</v>
      </c>
      <c r="S49" s="10">
        <f t="shared" si="6"/>
        <v>16.666666666666668</v>
      </c>
      <c r="T49" s="9">
        <v>28</v>
      </c>
      <c r="U49" s="9">
        <f t="shared" si="7"/>
        <v>466.66666666666669</v>
      </c>
      <c r="V49" s="9">
        <v>0</v>
      </c>
      <c r="W49" s="16">
        <f t="shared" si="16"/>
        <v>7616.666666666667</v>
      </c>
      <c r="X49" s="49">
        <v>0</v>
      </c>
      <c r="Y49" s="11">
        <f t="shared" si="8"/>
        <v>0</v>
      </c>
      <c r="Z49" s="38">
        <v>2</v>
      </c>
      <c r="AA49" s="11">
        <f t="shared" si="9"/>
        <v>266.66666666666669</v>
      </c>
      <c r="AB49" s="11">
        <v>0</v>
      </c>
      <c r="AC49" s="11">
        <f t="shared" si="24"/>
        <v>0</v>
      </c>
      <c r="AD49" s="12">
        <f t="shared" si="25"/>
        <v>266.66666666666669</v>
      </c>
      <c r="AE49" s="4">
        <f t="shared" si="26"/>
        <v>7350</v>
      </c>
      <c r="AF49" s="3">
        <f t="shared" si="0"/>
        <v>5384.6153846153848</v>
      </c>
      <c r="AG49" s="3">
        <f t="shared" si="10"/>
        <v>592.30769230769238</v>
      </c>
      <c r="AH49" s="1">
        <v>1718.6666666666699</v>
      </c>
      <c r="AI49" s="1">
        <f t="shared" si="11"/>
        <v>60468.307692307659</v>
      </c>
      <c r="AJ49" s="1">
        <f t="shared" si="12"/>
        <v>193.35384615384575</v>
      </c>
      <c r="AK49" s="3">
        <f t="shared" si="13"/>
        <v>3.6750000000000003</v>
      </c>
      <c r="AL49" s="4">
        <f t="shared" si="27"/>
        <v>6560.6634615384619</v>
      </c>
      <c r="AM49" s="3">
        <v>0</v>
      </c>
      <c r="AN49" s="4">
        <f t="shared" si="28"/>
        <v>6560.6634615384619</v>
      </c>
      <c r="AO49" s="1">
        <f t="shared" si="29"/>
        <v>1009.6153846153846</v>
      </c>
      <c r="AP49" s="41">
        <v>11</v>
      </c>
      <c r="AQ49" s="54">
        <f t="shared" si="14"/>
        <v>8359.6153846153848</v>
      </c>
    </row>
    <row r="50" spans="1:43" x14ac:dyDescent="0.35">
      <c r="A50" s="26" t="s">
        <v>196</v>
      </c>
      <c r="B50" s="44" t="s">
        <v>431</v>
      </c>
      <c r="C50" s="58" t="s">
        <v>539</v>
      </c>
      <c r="D50" s="63" t="s">
        <v>507</v>
      </c>
      <c r="E50" s="66" t="s">
        <v>681</v>
      </c>
      <c r="F50" s="68">
        <v>30202282100882</v>
      </c>
      <c r="G50" s="70" t="s">
        <v>526</v>
      </c>
      <c r="H50" s="72">
        <v>4000</v>
      </c>
      <c r="I50" s="72">
        <v>3000</v>
      </c>
      <c r="J50" s="9">
        <v>0</v>
      </c>
      <c r="K50" s="75">
        <v>1.05</v>
      </c>
      <c r="L50" s="9">
        <f t="shared" si="23"/>
        <v>3150</v>
      </c>
      <c r="M50" s="9"/>
      <c r="N50" s="9">
        <f t="shared" si="1"/>
        <v>30</v>
      </c>
      <c r="O50" s="9">
        <f t="shared" si="2"/>
        <v>0</v>
      </c>
      <c r="P50" s="10">
        <f t="shared" si="3"/>
        <v>133.33333333333334</v>
      </c>
      <c r="Q50" s="10">
        <f t="shared" si="4"/>
        <v>105</v>
      </c>
      <c r="R50" s="10">
        <f t="shared" si="5"/>
        <v>238.33333333333334</v>
      </c>
      <c r="S50" s="10">
        <f t="shared" si="6"/>
        <v>16.666666666666668</v>
      </c>
      <c r="T50" s="9">
        <v>28</v>
      </c>
      <c r="U50" s="9">
        <f t="shared" si="7"/>
        <v>466.66666666666669</v>
      </c>
      <c r="V50" s="9">
        <v>0</v>
      </c>
      <c r="W50" s="16">
        <f t="shared" si="16"/>
        <v>7616.666666666667</v>
      </c>
      <c r="X50" s="49">
        <v>0</v>
      </c>
      <c r="Y50" s="11">
        <f t="shared" si="8"/>
        <v>0</v>
      </c>
      <c r="Z50" s="38">
        <v>0</v>
      </c>
      <c r="AA50" s="11">
        <f t="shared" si="9"/>
        <v>0</v>
      </c>
      <c r="AB50" s="11">
        <v>0</v>
      </c>
      <c r="AC50" s="11">
        <f t="shared" si="24"/>
        <v>0</v>
      </c>
      <c r="AD50" s="12">
        <f t="shared" si="25"/>
        <v>0</v>
      </c>
      <c r="AE50" s="4">
        <f t="shared" si="26"/>
        <v>7616.666666666667</v>
      </c>
      <c r="AF50" s="3">
        <f t="shared" si="0"/>
        <v>5384.6153846153848</v>
      </c>
      <c r="AG50" s="3">
        <f t="shared" si="10"/>
        <v>592.30769230769238</v>
      </c>
      <c r="AH50" s="1">
        <v>1719.6666666666699</v>
      </c>
      <c r="AI50" s="1">
        <f t="shared" si="11"/>
        <v>63656.307692307659</v>
      </c>
      <c r="AJ50" s="1">
        <f t="shared" si="12"/>
        <v>233.20384615384572</v>
      </c>
      <c r="AK50" s="3">
        <f t="shared" si="13"/>
        <v>3.8083333333333336</v>
      </c>
      <c r="AL50" s="4">
        <f t="shared" si="27"/>
        <v>6787.3467948717953</v>
      </c>
      <c r="AM50" s="3">
        <v>0</v>
      </c>
      <c r="AN50" s="4">
        <f t="shared" si="28"/>
        <v>6787.3467948717953</v>
      </c>
      <c r="AO50" s="1">
        <f t="shared" si="29"/>
        <v>1009.6153846153846</v>
      </c>
      <c r="AP50" s="41">
        <v>19</v>
      </c>
      <c r="AQ50" s="54">
        <f t="shared" si="14"/>
        <v>8626.2820512820508</v>
      </c>
    </row>
    <row r="51" spans="1:43" x14ac:dyDescent="0.35">
      <c r="A51" s="26" t="s">
        <v>196</v>
      </c>
      <c r="B51" s="44" t="s">
        <v>432</v>
      </c>
      <c r="C51" s="58" t="s">
        <v>292</v>
      </c>
      <c r="D51" s="63" t="s">
        <v>507</v>
      </c>
      <c r="E51" s="66" t="s">
        <v>682</v>
      </c>
      <c r="F51" s="68">
        <v>30602121104669</v>
      </c>
      <c r="G51" s="70" t="s">
        <v>526</v>
      </c>
      <c r="H51" s="72">
        <v>4000</v>
      </c>
      <c r="I51" s="72">
        <v>3000</v>
      </c>
      <c r="J51" s="9">
        <v>0</v>
      </c>
      <c r="K51" s="75">
        <v>1.05</v>
      </c>
      <c r="L51" s="9">
        <f t="shared" si="23"/>
        <v>3150</v>
      </c>
      <c r="M51" s="9"/>
      <c r="N51" s="9">
        <f t="shared" si="1"/>
        <v>30</v>
      </c>
      <c r="O51" s="9">
        <f t="shared" si="2"/>
        <v>0</v>
      </c>
      <c r="P51" s="10">
        <f t="shared" si="3"/>
        <v>133.33333333333334</v>
      </c>
      <c r="Q51" s="10">
        <f t="shared" si="4"/>
        <v>105</v>
      </c>
      <c r="R51" s="10">
        <f t="shared" si="5"/>
        <v>238.33333333333334</v>
      </c>
      <c r="S51" s="10">
        <f t="shared" si="6"/>
        <v>16.666666666666668</v>
      </c>
      <c r="T51" s="9">
        <v>28</v>
      </c>
      <c r="U51" s="9">
        <f t="shared" si="7"/>
        <v>466.66666666666669</v>
      </c>
      <c r="V51" s="9">
        <v>0</v>
      </c>
      <c r="W51" s="16">
        <f t="shared" si="16"/>
        <v>7616.666666666667</v>
      </c>
      <c r="X51" s="49">
        <v>0</v>
      </c>
      <c r="Y51" s="11">
        <f t="shared" si="8"/>
        <v>0</v>
      </c>
      <c r="Z51" s="38">
        <v>4</v>
      </c>
      <c r="AA51" s="11">
        <f t="shared" si="9"/>
        <v>533.33333333333337</v>
      </c>
      <c r="AB51" s="11">
        <v>0</v>
      </c>
      <c r="AC51" s="11">
        <f t="shared" si="24"/>
        <v>0</v>
      </c>
      <c r="AD51" s="12">
        <f t="shared" si="25"/>
        <v>533.33333333333337</v>
      </c>
      <c r="AE51" s="4">
        <f t="shared" si="26"/>
        <v>7083.3333333333339</v>
      </c>
      <c r="AF51" s="3">
        <f t="shared" si="0"/>
        <v>5384.6153846153848</v>
      </c>
      <c r="AG51" s="3">
        <f t="shared" si="10"/>
        <v>592.30769230769238</v>
      </c>
      <c r="AH51" s="1">
        <v>1720.6666666666699</v>
      </c>
      <c r="AI51" s="1">
        <f t="shared" si="11"/>
        <v>57244.307692307659</v>
      </c>
      <c r="AJ51" s="1">
        <f t="shared" si="12"/>
        <v>153.05384615384574</v>
      </c>
      <c r="AK51" s="3">
        <f t="shared" si="13"/>
        <v>3.541666666666667</v>
      </c>
      <c r="AL51" s="4">
        <f t="shared" si="27"/>
        <v>6334.4301282051292</v>
      </c>
      <c r="AM51" s="3">
        <v>0</v>
      </c>
      <c r="AN51" s="4">
        <f t="shared" si="28"/>
        <v>6334.4301282051292</v>
      </c>
      <c r="AO51" s="1">
        <f t="shared" si="29"/>
        <v>1009.6153846153846</v>
      </c>
      <c r="AP51" s="41">
        <v>15</v>
      </c>
      <c r="AQ51" s="54">
        <f t="shared" si="14"/>
        <v>8092.9487179487187</v>
      </c>
    </row>
    <row r="52" spans="1:43" x14ac:dyDescent="0.35">
      <c r="A52" s="26" t="s">
        <v>196</v>
      </c>
      <c r="B52" s="44" t="s">
        <v>433</v>
      </c>
      <c r="C52" s="58" t="s">
        <v>568</v>
      </c>
      <c r="D52" s="63" t="s">
        <v>507</v>
      </c>
      <c r="E52" s="66" t="s">
        <v>683</v>
      </c>
      <c r="F52" s="68">
        <v>28110200105562</v>
      </c>
      <c r="G52" s="70" t="s">
        <v>526</v>
      </c>
      <c r="H52" s="72">
        <v>4000</v>
      </c>
      <c r="I52" s="72">
        <v>3000</v>
      </c>
      <c r="J52" s="9">
        <v>0</v>
      </c>
      <c r="K52" s="75">
        <v>1.05</v>
      </c>
      <c r="L52" s="9">
        <f t="shared" si="23"/>
        <v>3150</v>
      </c>
      <c r="M52" s="9"/>
      <c r="N52" s="9">
        <f t="shared" si="1"/>
        <v>30</v>
      </c>
      <c r="O52" s="9">
        <f t="shared" si="2"/>
        <v>0</v>
      </c>
      <c r="P52" s="10">
        <f t="shared" si="3"/>
        <v>133.33333333333334</v>
      </c>
      <c r="Q52" s="10">
        <f t="shared" si="4"/>
        <v>105</v>
      </c>
      <c r="R52" s="10">
        <f t="shared" si="5"/>
        <v>238.33333333333334</v>
      </c>
      <c r="S52" s="10">
        <f t="shared" si="6"/>
        <v>16.666666666666668</v>
      </c>
      <c r="T52" s="9">
        <v>28</v>
      </c>
      <c r="U52" s="9">
        <f t="shared" si="7"/>
        <v>466.66666666666669</v>
      </c>
      <c r="V52" s="9">
        <v>0</v>
      </c>
      <c r="W52" s="16">
        <f t="shared" si="16"/>
        <v>7616.666666666667</v>
      </c>
      <c r="X52" s="49">
        <v>0</v>
      </c>
      <c r="Y52" s="11">
        <f t="shared" si="8"/>
        <v>0</v>
      </c>
      <c r="Z52" s="38">
        <v>0</v>
      </c>
      <c r="AA52" s="11">
        <f t="shared" si="9"/>
        <v>0</v>
      </c>
      <c r="AB52" s="11">
        <v>0</v>
      </c>
      <c r="AC52" s="11">
        <f t="shared" si="24"/>
        <v>0</v>
      </c>
      <c r="AD52" s="12">
        <f t="shared" si="25"/>
        <v>0</v>
      </c>
      <c r="AE52" s="4">
        <f t="shared" si="26"/>
        <v>7616.666666666667</v>
      </c>
      <c r="AF52" s="3">
        <f t="shared" si="0"/>
        <v>5384.6153846153848</v>
      </c>
      <c r="AG52" s="3">
        <f t="shared" si="10"/>
        <v>592.30769230769238</v>
      </c>
      <c r="AH52" s="1">
        <v>1721.6666666666699</v>
      </c>
      <c r="AI52" s="1">
        <f t="shared" si="11"/>
        <v>63632.307692307659</v>
      </c>
      <c r="AJ52" s="1">
        <f t="shared" si="12"/>
        <v>232.90384615384573</v>
      </c>
      <c r="AK52" s="3">
        <f t="shared" si="13"/>
        <v>3.8083333333333336</v>
      </c>
      <c r="AL52" s="4">
        <f t="shared" si="27"/>
        <v>6787.6467948717955</v>
      </c>
      <c r="AM52" s="3">
        <v>0</v>
      </c>
      <c r="AN52" s="4">
        <f t="shared" si="28"/>
        <v>6787.6467948717955</v>
      </c>
      <c r="AO52" s="1">
        <f t="shared" si="29"/>
        <v>1009.6153846153846</v>
      </c>
      <c r="AP52" s="41">
        <v>19</v>
      </c>
      <c r="AQ52" s="54">
        <f t="shared" si="14"/>
        <v>8626.2820512820508</v>
      </c>
    </row>
    <row r="53" spans="1:43" x14ac:dyDescent="0.35">
      <c r="A53" s="26" t="s">
        <v>196</v>
      </c>
      <c r="B53" s="44" t="s">
        <v>434</v>
      </c>
      <c r="C53" s="62" t="s">
        <v>564</v>
      </c>
      <c r="D53" s="63" t="s">
        <v>507</v>
      </c>
      <c r="E53" s="64" t="s">
        <v>650</v>
      </c>
      <c r="F53" s="69">
        <v>29707292102742</v>
      </c>
      <c r="G53" s="70" t="s">
        <v>526</v>
      </c>
      <c r="H53" s="72">
        <v>4000</v>
      </c>
      <c r="I53" s="72">
        <v>3000</v>
      </c>
      <c r="J53" s="9">
        <v>0</v>
      </c>
      <c r="K53" s="75">
        <v>1.05</v>
      </c>
      <c r="L53" s="9">
        <f t="shared" si="23"/>
        <v>3150</v>
      </c>
      <c r="M53" s="9"/>
      <c r="N53" s="9">
        <f t="shared" si="1"/>
        <v>30</v>
      </c>
      <c r="O53" s="9">
        <f t="shared" si="2"/>
        <v>0</v>
      </c>
      <c r="P53" s="10">
        <f t="shared" si="3"/>
        <v>133.33333333333334</v>
      </c>
      <c r="Q53" s="10">
        <f t="shared" si="4"/>
        <v>105</v>
      </c>
      <c r="R53" s="10">
        <f t="shared" si="5"/>
        <v>238.33333333333334</v>
      </c>
      <c r="S53" s="10">
        <f t="shared" si="6"/>
        <v>16.666666666666668</v>
      </c>
      <c r="T53" s="9">
        <v>28</v>
      </c>
      <c r="U53" s="9">
        <f t="shared" si="7"/>
        <v>466.66666666666669</v>
      </c>
      <c r="V53" s="9">
        <v>0</v>
      </c>
      <c r="W53" s="16">
        <f t="shared" si="16"/>
        <v>7616.666666666667</v>
      </c>
      <c r="X53" s="49">
        <v>0</v>
      </c>
      <c r="Y53" s="11">
        <f t="shared" si="8"/>
        <v>0</v>
      </c>
      <c r="Z53" s="38">
        <v>0</v>
      </c>
      <c r="AA53" s="11">
        <f t="shared" si="9"/>
        <v>0</v>
      </c>
      <c r="AB53" s="11">
        <v>0</v>
      </c>
      <c r="AC53" s="11">
        <f t="shared" si="24"/>
        <v>0</v>
      </c>
      <c r="AD53" s="12">
        <f t="shared" si="25"/>
        <v>0</v>
      </c>
      <c r="AE53" s="4">
        <f t="shared" si="26"/>
        <v>7616.666666666667</v>
      </c>
      <c r="AF53" s="3">
        <f t="shared" si="0"/>
        <v>5384.6153846153848</v>
      </c>
      <c r="AG53" s="3">
        <f t="shared" si="10"/>
        <v>592.30769230769238</v>
      </c>
      <c r="AH53" s="1">
        <v>1722.6666666666699</v>
      </c>
      <c r="AI53" s="1">
        <f t="shared" si="11"/>
        <v>63620.307692307659</v>
      </c>
      <c r="AJ53" s="1">
        <f t="shared" si="12"/>
        <v>232.75384615384573</v>
      </c>
      <c r="AK53" s="3">
        <f t="shared" si="13"/>
        <v>3.8083333333333336</v>
      </c>
      <c r="AL53" s="4">
        <f t="shared" si="27"/>
        <v>6787.7967948717951</v>
      </c>
      <c r="AM53" s="3">
        <v>0</v>
      </c>
      <c r="AN53" s="4">
        <f t="shared" si="28"/>
        <v>6787.7967948717951</v>
      </c>
      <c r="AO53" s="1">
        <f t="shared" si="29"/>
        <v>1009.6153846153846</v>
      </c>
      <c r="AP53" s="41">
        <v>17</v>
      </c>
      <c r="AQ53" s="54">
        <f t="shared" si="14"/>
        <v>8626.2820512820508</v>
      </c>
    </row>
    <row r="54" spans="1:43" x14ac:dyDescent="0.35">
      <c r="A54" s="26" t="s">
        <v>196</v>
      </c>
      <c r="B54" s="44" t="s">
        <v>515</v>
      </c>
      <c r="C54" s="58" t="s">
        <v>276</v>
      </c>
      <c r="D54" s="63" t="s">
        <v>507</v>
      </c>
      <c r="E54" s="66" t="s">
        <v>224</v>
      </c>
      <c r="F54" s="68" t="s">
        <v>52</v>
      </c>
      <c r="G54" s="70" t="s">
        <v>526</v>
      </c>
      <c r="H54" s="72">
        <v>4000</v>
      </c>
      <c r="I54" s="72">
        <v>3000</v>
      </c>
      <c r="J54" s="9">
        <v>0</v>
      </c>
      <c r="K54" s="75">
        <v>1.05</v>
      </c>
      <c r="L54" s="9">
        <f>+I54*K54</f>
        <v>3150</v>
      </c>
      <c r="M54" s="9"/>
      <c r="N54" s="9">
        <f t="shared" si="1"/>
        <v>30</v>
      </c>
      <c r="O54" s="9">
        <f t="shared" si="2"/>
        <v>0</v>
      </c>
      <c r="P54" s="10">
        <f t="shared" si="3"/>
        <v>133.33333333333334</v>
      </c>
      <c r="Q54" s="10">
        <f t="shared" si="4"/>
        <v>105</v>
      </c>
      <c r="R54" s="10">
        <f t="shared" si="5"/>
        <v>238.33333333333334</v>
      </c>
      <c r="S54" s="10">
        <f t="shared" si="6"/>
        <v>16.666666666666668</v>
      </c>
      <c r="T54" s="9">
        <v>28</v>
      </c>
      <c r="U54" s="9">
        <f t="shared" si="7"/>
        <v>466.66666666666669</v>
      </c>
      <c r="V54" s="9">
        <v>0</v>
      </c>
      <c r="W54" s="16">
        <f>H54+L54+U54+V54+J54</f>
        <v>7616.666666666667</v>
      </c>
      <c r="X54" s="49">
        <v>0</v>
      </c>
      <c r="Y54" s="11">
        <f t="shared" si="8"/>
        <v>0</v>
      </c>
      <c r="Z54" s="38">
        <v>2</v>
      </c>
      <c r="AA54" s="11">
        <f t="shared" si="9"/>
        <v>266.66666666666669</v>
      </c>
      <c r="AB54" s="11">
        <v>0</v>
      </c>
      <c r="AC54" s="11">
        <f>Q54*AB54</f>
        <v>0</v>
      </c>
      <c r="AD54" s="12">
        <f>Y54+AA54+AC54</f>
        <v>266.66666666666669</v>
      </c>
      <c r="AE54" s="4">
        <f>W54-AD54</f>
        <v>7350</v>
      </c>
      <c r="AF54" s="3">
        <f t="shared" si="0"/>
        <v>5384.6153846153848</v>
      </c>
      <c r="AG54" s="3">
        <f t="shared" si="10"/>
        <v>592.30769230769238</v>
      </c>
      <c r="AH54" s="1">
        <v>1723.6666666666699</v>
      </c>
      <c r="AI54" s="1">
        <f t="shared" si="11"/>
        <v>60408.307692307659</v>
      </c>
      <c r="AJ54" s="1">
        <f t="shared" si="12"/>
        <v>192.60384615384575</v>
      </c>
      <c r="AK54" s="3">
        <f t="shared" si="13"/>
        <v>3.6750000000000003</v>
      </c>
      <c r="AL54" s="4">
        <f>+AE54-AG54-AJ54-AK54</f>
        <v>6561.4134615384619</v>
      </c>
      <c r="AM54" s="3">
        <v>0</v>
      </c>
      <c r="AN54" s="4">
        <f>+AL54-AM54</f>
        <v>6561.4134615384619</v>
      </c>
      <c r="AO54" s="1">
        <f>+AF54*0.1875</f>
        <v>1009.6153846153846</v>
      </c>
      <c r="AP54" s="41">
        <v>10</v>
      </c>
      <c r="AQ54" s="54">
        <f t="shared" ref="AQ54:AQ65" si="30">AE54+AO54</f>
        <v>8359.6153846153848</v>
      </c>
    </row>
    <row r="55" spans="1:43" x14ac:dyDescent="0.35">
      <c r="A55" s="26" t="s">
        <v>196</v>
      </c>
      <c r="B55" s="44" t="s">
        <v>435</v>
      </c>
      <c r="C55" s="58" t="s">
        <v>452</v>
      </c>
      <c r="D55" s="63" t="s">
        <v>507</v>
      </c>
      <c r="E55" s="67" t="s">
        <v>225</v>
      </c>
      <c r="F55" s="68" t="s">
        <v>51</v>
      </c>
      <c r="G55" s="70" t="s">
        <v>526</v>
      </c>
      <c r="H55" s="72">
        <v>4000</v>
      </c>
      <c r="I55" s="72">
        <v>3000</v>
      </c>
      <c r="J55" s="9">
        <v>0</v>
      </c>
      <c r="K55" s="75">
        <v>1.05</v>
      </c>
      <c r="L55" s="9">
        <f t="shared" si="23"/>
        <v>3150</v>
      </c>
      <c r="M55" s="9"/>
      <c r="N55" s="9">
        <f t="shared" si="1"/>
        <v>30</v>
      </c>
      <c r="O55" s="9">
        <f t="shared" si="2"/>
        <v>0</v>
      </c>
      <c r="P55" s="10">
        <f t="shared" si="3"/>
        <v>133.33333333333334</v>
      </c>
      <c r="Q55" s="10">
        <f t="shared" si="4"/>
        <v>105</v>
      </c>
      <c r="R55" s="10">
        <f t="shared" si="5"/>
        <v>238.33333333333334</v>
      </c>
      <c r="S55" s="10">
        <f t="shared" si="6"/>
        <v>16.666666666666668</v>
      </c>
      <c r="T55" s="9">
        <v>44</v>
      </c>
      <c r="U55" s="9">
        <f t="shared" si="7"/>
        <v>733.33333333333337</v>
      </c>
      <c r="V55" s="9">
        <v>0</v>
      </c>
      <c r="W55" s="16">
        <f t="shared" si="16"/>
        <v>7883.333333333333</v>
      </c>
      <c r="X55" s="49">
        <v>0</v>
      </c>
      <c r="Y55" s="11">
        <f t="shared" si="8"/>
        <v>0</v>
      </c>
      <c r="Z55" s="38">
        <v>2</v>
      </c>
      <c r="AA55" s="11">
        <f t="shared" si="9"/>
        <v>266.66666666666669</v>
      </c>
      <c r="AB55" s="11">
        <v>0</v>
      </c>
      <c r="AC55" s="11">
        <f t="shared" si="24"/>
        <v>0</v>
      </c>
      <c r="AD55" s="12">
        <f t="shared" si="25"/>
        <v>266.66666666666669</v>
      </c>
      <c r="AE55" s="4">
        <f t="shared" si="26"/>
        <v>7616.6666666666661</v>
      </c>
      <c r="AF55" s="3">
        <f t="shared" si="0"/>
        <v>5384.6153846153848</v>
      </c>
      <c r="AG55" s="3">
        <f t="shared" si="10"/>
        <v>592.30769230769238</v>
      </c>
      <c r="AH55" s="1">
        <v>1724.6666666666699</v>
      </c>
      <c r="AI55" s="1">
        <f t="shared" si="11"/>
        <v>63596.307692307644</v>
      </c>
      <c r="AJ55" s="1">
        <f t="shared" si="12"/>
        <v>232.45384615384555</v>
      </c>
      <c r="AK55" s="3">
        <f t="shared" si="13"/>
        <v>3.8083333333333331</v>
      </c>
      <c r="AL55" s="4">
        <f t="shared" si="27"/>
        <v>6788.0967948717944</v>
      </c>
      <c r="AM55" s="3">
        <v>0</v>
      </c>
      <c r="AN55" s="4">
        <f t="shared" si="28"/>
        <v>6788.0967948717944</v>
      </c>
      <c r="AO55" s="1">
        <f t="shared" si="29"/>
        <v>1009.6153846153846</v>
      </c>
      <c r="AP55" s="41">
        <v>4</v>
      </c>
      <c r="AQ55" s="54">
        <f t="shared" si="30"/>
        <v>8626.2820512820508</v>
      </c>
    </row>
    <row r="56" spans="1:43" x14ac:dyDescent="0.35">
      <c r="A56" s="26" t="s">
        <v>196</v>
      </c>
      <c r="B56" s="44" t="s">
        <v>436</v>
      </c>
      <c r="C56" s="58" t="s">
        <v>277</v>
      </c>
      <c r="D56" s="63" t="s">
        <v>507</v>
      </c>
      <c r="E56" s="67" t="s">
        <v>226</v>
      </c>
      <c r="F56" s="68" t="s">
        <v>53</v>
      </c>
      <c r="G56" s="70" t="s">
        <v>526</v>
      </c>
      <c r="H56" s="72">
        <v>4000</v>
      </c>
      <c r="I56" s="72">
        <v>3000</v>
      </c>
      <c r="J56" s="9">
        <v>0</v>
      </c>
      <c r="K56" s="75">
        <v>1.05</v>
      </c>
      <c r="L56" s="9">
        <f t="shared" si="23"/>
        <v>3150</v>
      </c>
      <c r="M56" s="9"/>
      <c r="N56" s="9">
        <f t="shared" si="1"/>
        <v>30</v>
      </c>
      <c r="O56" s="9">
        <f t="shared" si="2"/>
        <v>0</v>
      </c>
      <c r="P56" s="10">
        <f t="shared" si="3"/>
        <v>133.33333333333334</v>
      </c>
      <c r="Q56" s="10">
        <f t="shared" si="4"/>
        <v>105</v>
      </c>
      <c r="R56" s="10">
        <f t="shared" si="5"/>
        <v>238.33333333333334</v>
      </c>
      <c r="S56" s="10">
        <f t="shared" si="6"/>
        <v>16.666666666666668</v>
      </c>
      <c r="T56" s="9">
        <v>12</v>
      </c>
      <c r="U56" s="9">
        <f t="shared" si="7"/>
        <v>200</v>
      </c>
      <c r="V56" s="9">
        <v>0</v>
      </c>
      <c r="W56" s="16">
        <f t="shared" si="16"/>
        <v>7350</v>
      </c>
      <c r="X56" s="49">
        <v>0</v>
      </c>
      <c r="Y56" s="11">
        <f t="shared" si="8"/>
        <v>0</v>
      </c>
      <c r="Z56" s="38">
        <v>0</v>
      </c>
      <c r="AA56" s="11">
        <f t="shared" si="9"/>
        <v>0</v>
      </c>
      <c r="AB56" s="11">
        <v>0</v>
      </c>
      <c r="AC56" s="11">
        <f t="shared" si="24"/>
        <v>0</v>
      </c>
      <c r="AD56" s="12">
        <f t="shared" si="25"/>
        <v>0</v>
      </c>
      <c r="AE56" s="4">
        <f t="shared" si="26"/>
        <v>7350</v>
      </c>
      <c r="AF56" s="3">
        <f t="shared" si="0"/>
        <v>5384.6153846153848</v>
      </c>
      <c r="AG56" s="3">
        <f t="shared" si="10"/>
        <v>592.30769230769238</v>
      </c>
      <c r="AH56" s="1">
        <v>1725.6666666666699</v>
      </c>
      <c r="AI56" s="1">
        <f t="shared" si="11"/>
        <v>60384.307692307659</v>
      </c>
      <c r="AJ56" s="1">
        <f t="shared" si="12"/>
        <v>192.30384615384574</v>
      </c>
      <c r="AK56" s="3">
        <f t="shared" si="13"/>
        <v>3.6750000000000003</v>
      </c>
      <c r="AL56" s="4">
        <f t="shared" si="27"/>
        <v>6561.7134615384621</v>
      </c>
      <c r="AM56" s="3">
        <v>0</v>
      </c>
      <c r="AN56" s="4">
        <f t="shared" si="28"/>
        <v>6561.7134615384621</v>
      </c>
      <c r="AO56" s="1">
        <f t="shared" si="29"/>
        <v>1009.6153846153846</v>
      </c>
      <c r="AP56" s="41">
        <v>11</v>
      </c>
      <c r="AQ56" s="54">
        <f t="shared" si="30"/>
        <v>8359.6153846153848</v>
      </c>
    </row>
    <row r="57" spans="1:43" x14ac:dyDescent="0.35">
      <c r="A57" s="26" t="s">
        <v>196</v>
      </c>
      <c r="B57" s="44" t="s">
        <v>437</v>
      </c>
      <c r="C57" s="58" t="s">
        <v>278</v>
      </c>
      <c r="D57" s="63" t="s">
        <v>507</v>
      </c>
      <c r="E57" s="67" t="s">
        <v>227</v>
      </c>
      <c r="F57" s="68" t="s">
        <v>59</v>
      </c>
      <c r="G57" s="70" t="s">
        <v>526</v>
      </c>
      <c r="H57" s="72">
        <v>4000</v>
      </c>
      <c r="I57" s="72">
        <v>3000</v>
      </c>
      <c r="J57" s="9">
        <v>0</v>
      </c>
      <c r="K57" s="75">
        <v>1.05</v>
      </c>
      <c r="L57" s="9">
        <f t="shared" si="23"/>
        <v>3150</v>
      </c>
      <c r="M57" s="9"/>
      <c r="N57" s="9">
        <f t="shared" si="1"/>
        <v>30</v>
      </c>
      <c r="O57" s="9">
        <f t="shared" si="2"/>
        <v>0</v>
      </c>
      <c r="P57" s="10">
        <f t="shared" si="3"/>
        <v>133.33333333333334</v>
      </c>
      <c r="Q57" s="10">
        <f t="shared" si="4"/>
        <v>105</v>
      </c>
      <c r="R57" s="10">
        <f t="shared" si="5"/>
        <v>238.33333333333334</v>
      </c>
      <c r="S57" s="10">
        <f t="shared" si="6"/>
        <v>16.666666666666668</v>
      </c>
      <c r="T57" s="9">
        <v>28</v>
      </c>
      <c r="U57" s="9">
        <f t="shared" si="7"/>
        <v>466.66666666666669</v>
      </c>
      <c r="V57" s="9">
        <v>0</v>
      </c>
      <c r="W57" s="16">
        <f t="shared" si="16"/>
        <v>7616.666666666667</v>
      </c>
      <c r="X57" s="49">
        <v>0</v>
      </c>
      <c r="Y57" s="11">
        <f t="shared" si="8"/>
        <v>0</v>
      </c>
      <c r="Z57" s="38">
        <v>0</v>
      </c>
      <c r="AA57" s="11">
        <f t="shared" si="9"/>
        <v>0</v>
      </c>
      <c r="AB57" s="11">
        <v>0</v>
      </c>
      <c r="AC57" s="11">
        <f t="shared" si="24"/>
        <v>0</v>
      </c>
      <c r="AD57" s="12">
        <f t="shared" si="25"/>
        <v>0</v>
      </c>
      <c r="AE57" s="4">
        <f t="shared" si="26"/>
        <v>7616.666666666667</v>
      </c>
      <c r="AF57" s="3">
        <f t="shared" si="0"/>
        <v>5384.6153846153848</v>
      </c>
      <c r="AG57" s="3">
        <f t="shared" si="10"/>
        <v>592.30769230769238</v>
      </c>
      <c r="AH57" s="1">
        <v>1726.6666666666699</v>
      </c>
      <c r="AI57" s="1">
        <f t="shared" si="11"/>
        <v>63572.307692307659</v>
      </c>
      <c r="AJ57" s="1">
        <f t="shared" si="12"/>
        <v>232.15384615384573</v>
      </c>
      <c r="AK57" s="3">
        <f t="shared" si="13"/>
        <v>3.8083333333333336</v>
      </c>
      <c r="AL57" s="4">
        <f t="shared" si="27"/>
        <v>6788.3967948717955</v>
      </c>
      <c r="AM57" s="3">
        <v>0</v>
      </c>
      <c r="AN57" s="4">
        <f t="shared" si="28"/>
        <v>6788.3967948717955</v>
      </c>
      <c r="AO57" s="1">
        <f t="shared" si="29"/>
        <v>1009.6153846153846</v>
      </c>
      <c r="AP57" s="41">
        <v>7</v>
      </c>
      <c r="AQ57" s="54">
        <f t="shared" si="30"/>
        <v>8626.2820512820508</v>
      </c>
    </row>
    <row r="58" spans="1:43" x14ac:dyDescent="0.35">
      <c r="A58" s="26" t="s">
        <v>196</v>
      </c>
      <c r="B58" s="44" t="s">
        <v>438</v>
      </c>
      <c r="C58" s="62" t="s">
        <v>261</v>
      </c>
      <c r="D58" s="63" t="s">
        <v>507</v>
      </c>
      <c r="E58" s="67" t="s">
        <v>199</v>
      </c>
      <c r="F58" s="68" t="s">
        <v>29</v>
      </c>
      <c r="G58" s="70" t="s">
        <v>527</v>
      </c>
      <c r="H58" s="72">
        <v>5000</v>
      </c>
      <c r="I58" s="72">
        <v>3000</v>
      </c>
      <c r="J58" s="9">
        <v>0</v>
      </c>
      <c r="K58" s="75">
        <v>1.05</v>
      </c>
      <c r="L58" s="9">
        <f t="shared" si="23"/>
        <v>3150</v>
      </c>
      <c r="M58" s="9"/>
      <c r="N58" s="9">
        <f t="shared" ref="N58:N118" si="31">30-X58</f>
        <v>30</v>
      </c>
      <c r="O58" s="9">
        <f t="shared" ref="O58:O118" si="32">M58*N58</f>
        <v>0</v>
      </c>
      <c r="P58" s="10">
        <f t="shared" ref="P58:P118" si="33">H58/30</f>
        <v>166.66666666666666</v>
      </c>
      <c r="Q58" s="10">
        <f t="shared" ref="Q58:Q118" si="34">L58/30</f>
        <v>105</v>
      </c>
      <c r="R58" s="10">
        <f t="shared" si="5"/>
        <v>271.66666666666663</v>
      </c>
      <c r="S58" s="10">
        <f t="shared" ref="S58:S118" si="35">+P58/8</f>
        <v>20.833333333333332</v>
      </c>
      <c r="T58" s="9">
        <v>44</v>
      </c>
      <c r="U58" s="9">
        <f t="shared" ref="U58:U118" si="36">+S58*T58</f>
        <v>916.66666666666663</v>
      </c>
      <c r="V58" s="9">
        <v>0</v>
      </c>
      <c r="W58" s="16">
        <f t="shared" si="16"/>
        <v>9066.6666666666661</v>
      </c>
      <c r="X58" s="49">
        <v>0</v>
      </c>
      <c r="Y58" s="11">
        <f t="shared" ref="Y58:Y118" si="37">R58*X58</f>
        <v>0</v>
      </c>
      <c r="Z58" s="38">
        <v>0</v>
      </c>
      <c r="AA58" s="11">
        <f t="shared" ref="AA58:AA118" si="38">P58*Z58</f>
        <v>0</v>
      </c>
      <c r="AB58" s="11">
        <v>0</v>
      </c>
      <c r="AC58" s="11">
        <f t="shared" si="24"/>
        <v>0</v>
      </c>
      <c r="AD58" s="12">
        <f t="shared" si="25"/>
        <v>0</v>
      </c>
      <c r="AE58" s="4">
        <f t="shared" si="26"/>
        <v>9066.6666666666661</v>
      </c>
      <c r="AF58" s="3">
        <f t="shared" si="0"/>
        <v>5384.6153846153848</v>
      </c>
      <c r="AG58" s="3">
        <f t="shared" si="10"/>
        <v>592.30769230769238</v>
      </c>
      <c r="AH58" s="1">
        <v>1727.6666666666699</v>
      </c>
      <c r="AI58" s="1">
        <f t="shared" si="11"/>
        <v>80960.30769230763</v>
      </c>
      <c r="AJ58" s="1">
        <f t="shared" si="12"/>
        <v>495.17179487179391</v>
      </c>
      <c r="AK58" s="3">
        <f t="shared" si="13"/>
        <v>4.5333333333333332</v>
      </c>
      <c r="AL58" s="4">
        <f t="shared" si="27"/>
        <v>7974.6538461538448</v>
      </c>
      <c r="AM58" s="3">
        <v>0</v>
      </c>
      <c r="AN58" s="4">
        <f t="shared" si="28"/>
        <v>7974.6538461538448</v>
      </c>
      <c r="AO58" s="1">
        <f t="shared" si="29"/>
        <v>1009.6153846153846</v>
      </c>
      <c r="AP58" s="41">
        <v>0</v>
      </c>
      <c r="AQ58" s="54">
        <f t="shared" si="30"/>
        <v>10076.282051282051</v>
      </c>
    </row>
    <row r="59" spans="1:43" x14ac:dyDescent="0.35">
      <c r="A59" s="26" t="s">
        <v>196</v>
      </c>
      <c r="B59" s="44" t="s">
        <v>439</v>
      </c>
      <c r="C59" s="58" t="s">
        <v>279</v>
      </c>
      <c r="D59" s="63" t="s">
        <v>507</v>
      </c>
      <c r="E59" s="67" t="s">
        <v>228</v>
      </c>
      <c r="F59" s="68" t="s">
        <v>62</v>
      </c>
      <c r="G59" s="70" t="s">
        <v>526</v>
      </c>
      <c r="H59" s="72">
        <v>4000</v>
      </c>
      <c r="I59" s="72">
        <v>3000</v>
      </c>
      <c r="J59" s="9">
        <v>0</v>
      </c>
      <c r="K59" s="75">
        <v>1.05</v>
      </c>
      <c r="L59" s="9">
        <f t="shared" si="23"/>
        <v>3150</v>
      </c>
      <c r="M59" s="9"/>
      <c r="N59" s="9">
        <f t="shared" si="31"/>
        <v>30</v>
      </c>
      <c r="O59" s="9">
        <f t="shared" si="32"/>
        <v>0</v>
      </c>
      <c r="P59" s="10">
        <f t="shared" si="33"/>
        <v>133.33333333333334</v>
      </c>
      <c r="Q59" s="10">
        <f t="shared" si="34"/>
        <v>105</v>
      </c>
      <c r="R59" s="10">
        <f t="shared" si="5"/>
        <v>238.33333333333334</v>
      </c>
      <c r="S59" s="10">
        <f t="shared" si="35"/>
        <v>16.666666666666668</v>
      </c>
      <c r="T59" s="9">
        <v>28</v>
      </c>
      <c r="U59" s="9">
        <f t="shared" si="36"/>
        <v>466.66666666666669</v>
      </c>
      <c r="V59" s="9">
        <v>0</v>
      </c>
      <c r="W59" s="16">
        <f t="shared" si="16"/>
        <v>7616.666666666667</v>
      </c>
      <c r="X59" s="49">
        <v>0</v>
      </c>
      <c r="Y59" s="11">
        <f t="shared" si="37"/>
        <v>0</v>
      </c>
      <c r="Z59" s="38">
        <v>0</v>
      </c>
      <c r="AA59" s="11">
        <f t="shared" si="38"/>
        <v>0</v>
      </c>
      <c r="AB59" s="11">
        <v>0</v>
      </c>
      <c r="AC59" s="11">
        <f t="shared" si="24"/>
        <v>0</v>
      </c>
      <c r="AD59" s="12">
        <f t="shared" si="25"/>
        <v>0</v>
      </c>
      <c r="AE59" s="4">
        <f t="shared" si="26"/>
        <v>7616.666666666667</v>
      </c>
      <c r="AF59" s="3">
        <f t="shared" si="0"/>
        <v>5384.6153846153848</v>
      </c>
      <c r="AG59" s="3">
        <f t="shared" si="10"/>
        <v>592.30769230769238</v>
      </c>
      <c r="AH59" s="1">
        <v>1728.6666666666699</v>
      </c>
      <c r="AI59" s="1">
        <f t="shared" si="11"/>
        <v>63548.307692307659</v>
      </c>
      <c r="AJ59" s="1">
        <f t="shared" si="12"/>
        <v>231.85384615384569</v>
      </c>
      <c r="AK59" s="3">
        <f t="shared" si="13"/>
        <v>3.8083333333333336</v>
      </c>
      <c r="AL59" s="4">
        <f t="shared" si="27"/>
        <v>6788.6967948717956</v>
      </c>
      <c r="AM59" s="3">
        <v>0</v>
      </c>
      <c r="AN59" s="4">
        <f t="shared" si="28"/>
        <v>6788.6967948717956</v>
      </c>
      <c r="AO59" s="1">
        <f t="shared" si="29"/>
        <v>1009.6153846153846</v>
      </c>
      <c r="AP59" s="41">
        <v>5</v>
      </c>
      <c r="AQ59" s="54">
        <f t="shared" si="30"/>
        <v>8626.2820512820508</v>
      </c>
    </row>
    <row r="60" spans="1:43" x14ac:dyDescent="0.35">
      <c r="A60" s="26" t="s">
        <v>196</v>
      </c>
      <c r="B60" s="44" t="s">
        <v>440</v>
      </c>
      <c r="C60" s="58" t="s">
        <v>280</v>
      </c>
      <c r="D60" s="63" t="s">
        <v>507</v>
      </c>
      <c r="E60" s="67" t="s">
        <v>229</v>
      </c>
      <c r="F60" s="68" t="s">
        <v>60</v>
      </c>
      <c r="G60" s="70" t="s">
        <v>526</v>
      </c>
      <c r="H60" s="72">
        <v>4000</v>
      </c>
      <c r="I60" s="72">
        <v>3000</v>
      </c>
      <c r="J60" s="9">
        <v>0</v>
      </c>
      <c r="K60" s="75">
        <v>1.05</v>
      </c>
      <c r="L60" s="9">
        <f t="shared" si="23"/>
        <v>3150</v>
      </c>
      <c r="M60" s="9"/>
      <c r="N60" s="9">
        <f t="shared" si="31"/>
        <v>30</v>
      </c>
      <c r="O60" s="9">
        <f t="shared" si="32"/>
        <v>0</v>
      </c>
      <c r="P60" s="10">
        <f t="shared" si="33"/>
        <v>133.33333333333334</v>
      </c>
      <c r="Q60" s="10">
        <f t="shared" si="34"/>
        <v>105</v>
      </c>
      <c r="R60" s="10">
        <f t="shared" si="5"/>
        <v>238.33333333333334</v>
      </c>
      <c r="S60" s="10">
        <f t="shared" si="35"/>
        <v>16.666666666666668</v>
      </c>
      <c r="T60" s="9">
        <v>12</v>
      </c>
      <c r="U60" s="9">
        <f t="shared" si="36"/>
        <v>200</v>
      </c>
      <c r="V60" s="9">
        <v>0</v>
      </c>
      <c r="W60" s="16">
        <f t="shared" si="16"/>
        <v>7350</v>
      </c>
      <c r="X60" s="49">
        <v>0</v>
      </c>
      <c r="Y60" s="11">
        <f t="shared" si="37"/>
        <v>0</v>
      </c>
      <c r="Z60" s="38">
        <v>2</v>
      </c>
      <c r="AA60" s="11">
        <f t="shared" si="38"/>
        <v>266.66666666666669</v>
      </c>
      <c r="AB60" s="11">
        <v>0</v>
      </c>
      <c r="AC60" s="11">
        <f t="shared" si="24"/>
        <v>0</v>
      </c>
      <c r="AD60" s="12">
        <f t="shared" si="25"/>
        <v>266.66666666666669</v>
      </c>
      <c r="AE60" s="4">
        <f t="shared" si="26"/>
        <v>7083.333333333333</v>
      </c>
      <c r="AF60" s="3">
        <f t="shared" si="0"/>
        <v>5384.6153846153848</v>
      </c>
      <c r="AG60" s="3">
        <f t="shared" si="10"/>
        <v>592.30769230769238</v>
      </c>
      <c r="AH60" s="1">
        <v>1729.6666666666699</v>
      </c>
      <c r="AI60" s="1">
        <f t="shared" si="11"/>
        <v>57136.307692307651</v>
      </c>
      <c r="AJ60" s="1">
        <f t="shared" si="12"/>
        <v>151.70384615384566</v>
      </c>
      <c r="AK60" s="3">
        <f t="shared" si="13"/>
        <v>3.5416666666666665</v>
      </c>
      <c r="AL60" s="4">
        <f t="shared" si="27"/>
        <v>6335.7801282051278</v>
      </c>
      <c r="AM60" s="3">
        <v>0</v>
      </c>
      <c r="AN60" s="4">
        <f t="shared" si="28"/>
        <v>6335.7801282051278</v>
      </c>
      <c r="AO60" s="1">
        <f t="shared" si="29"/>
        <v>1009.6153846153846</v>
      </c>
      <c r="AP60" s="41">
        <v>6</v>
      </c>
      <c r="AQ60" s="54">
        <f t="shared" si="30"/>
        <v>8092.9487179487178</v>
      </c>
    </row>
    <row r="61" spans="1:43" x14ac:dyDescent="0.35">
      <c r="A61" s="27" t="s">
        <v>196</v>
      </c>
      <c r="B61" s="44" t="s">
        <v>441</v>
      </c>
      <c r="C61" s="58" t="s">
        <v>281</v>
      </c>
      <c r="D61" s="63" t="s">
        <v>507</v>
      </c>
      <c r="E61" s="67" t="s">
        <v>230</v>
      </c>
      <c r="F61" s="68" t="s">
        <v>58</v>
      </c>
      <c r="G61" s="70" t="s">
        <v>526</v>
      </c>
      <c r="H61" s="72">
        <v>4000</v>
      </c>
      <c r="I61" s="72">
        <v>3000</v>
      </c>
      <c r="J61" s="9">
        <v>0</v>
      </c>
      <c r="K61" s="75">
        <v>1.05</v>
      </c>
      <c r="L61" s="9">
        <f t="shared" si="23"/>
        <v>3150</v>
      </c>
      <c r="M61" s="9"/>
      <c r="N61" s="9">
        <f t="shared" si="31"/>
        <v>30</v>
      </c>
      <c r="O61" s="9">
        <f t="shared" si="32"/>
        <v>0</v>
      </c>
      <c r="P61" s="10">
        <f t="shared" si="33"/>
        <v>133.33333333333334</v>
      </c>
      <c r="Q61" s="10">
        <f t="shared" si="34"/>
        <v>105</v>
      </c>
      <c r="R61" s="10">
        <f t="shared" si="5"/>
        <v>238.33333333333334</v>
      </c>
      <c r="S61" s="10">
        <f t="shared" si="35"/>
        <v>16.666666666666668</v>
      </c>
      <c r="T61" s="9">
        <v>44</v>
      </c>
      <c r="U61" s="9">
        <f t="shared" si="36"/>
        <v>733.33333333333337</v>
      </c>
      <c r="V61" s="9">
        <v>0</v>
      </c>
      <c r="W61" s="16">
        <f t="shared" si="16"/>
        <v>7883.333333333333</v>
      </c>
      <c r="X61" s="49">
        <v>0</v>
      </c>
      <c r="Y61" s="11">
        <f t="shared" si="37"/>
        <v>0</v>
      </c>
      <c r="Z61" s="38">
        <v>0</v>
      </c>
      <c r="AA61" s="11">
        <f t="shared" si="38"/>
        <v>0</v>
      </c>
      <c r="AB61" s="11">
        <v>0</v>
      </c>
      <c r="AC61" s="11">
        <f t="shared" si="24"/>
        <v>0</v>
      </c>
      <c r="AD61" s="12">
        <f t="shared" si="25"/>
        <v>0</v>
      </c>
      <c r="AE61" s="4">
        <f t="shared" si="26"/>
        <v>7883.333333333333</v>
      </c>
      <c r="AF61" s="3">
        <f t="shared" ref="AF61:AF120" si="39">7000/1.3</f>
        <v>5384.6153846153848</v>
      </c>
      <c r="AG61" s="3">
        <f t="shared" si="10"/>
        <v>592.30769230769238</v>
      </c>
      <c r="AH61" s="1">
        <v>1730.6666666666699</v>
      </c>
      <c r="AI61" s="1">
        <f t="shared" si="11"/>
        <v>66724.307692307659</v>
      </c>
      <c r="AJ61" s="1">
        <f t="shared" si="12"/>
        <v>271.55384615384577</v>
      </c>
      <c r="AK61" s="3">
        <f t="shared" si="13"/>
        <v>3.9416666666666664</v>
      </c>
      <c r="AL61" s="4">
        <f t="shared" si="27"/>
        <v>7015.5301282051287</v>
      </c>
      <c r="AM61" s="3">
        <v>0</v>
      </c>
      <c r="AN61" s="4">
        <f t="shared" si="28"/>
        <v>7015.5301282051287</v>
      </c>
      <c r="AO61" s="1">
        <f t="shared" si="29"/>
        <v>1009.6153846153846</v>
      </c>
      <c r="AP61" s="41">
        <v>11</v>
      </c>
      <c r="AQ61" s="54">
        <f t="shared" si="30"/>
        <v>8892.9487179487169</v>
      </c>
    </row>
    <row r="62" spans="1:43" x14ac:dyDescent="0.35">
      <c r="A62" s="27" t="s">
        <v>196</v>
      </c>
      <c r="B62" s="44" t="s">
        <v>442</v>
      </c>
      <c r="C62" s="62" t="s">
        <v>282</v>
      </c>
      <c r="D62" s="63" t="s">
        <v>507</v>
      </c>
      <c r="E62" s="67" t="s">
        <v>231</v>
      </c>
      <c r="F62" s="68" t="s">
        <v>61</v>
      </c>
      <c r="G62" s="70" t="s">
        <v>526</v>
      </c>
      <c r="H62" s="72">
        <v>4000</v>
      </c>
      <c r="I62" s="72">
        <v>3000</v>
      </c>
      <c r="J62" s="9">
        <v>0</v>
      </c>
      <c r="K62" s="75">
        <v>1.05</v>
      </c>
      <c r="L62" s="9">
        <f t="shared" ref="L62" si="40">+I62*K62</f>
        <v>3150</v>
      </c>
      <c r="M62" s="9"/>
      <c r="N62" s="9">
        <f t="shared" si="31"/>
        <v>30</v>
      </c>
      <c r="O62" s="9">
        <f t="shared" si="32"/>
        <v>0</v>
      </c>
      <c r="P62" s="10">
        <f t="shared" si="33"/>
        <v>133.33333333333334</v>
      </c>
      <c r="Q62" s="10">
        <f t="shared" si="34"/>
        <v>105</v>
      </c>
      <c r="R62" s="10">
        <f t="shared" ref="R62:R119" si="41">Q62+P62</f>
        <v>238.33333333333334</v>
      </c>
      <c r="S62" s="10">
        <f t="shared" si="35"/>
        <v>16.666666666666668</v>
      </c>
      <c r="T62" s="9">
        <v>44</v>
      </c>
      <c r="U62" s="9">
        <f t="shared" si="36"/>
        <v>733.33333333333337</v>
      </c>
      <c r="V62" s="9">
        <v>0</v>
      </c>
      <c r="W62" s="16">
        <f t="shared" ref="W62:W65" si="42">H62+L62+U62+V62+J62</f>
        <v>7883.333333333333</v>
      </c>
      <c r="X62" s="49">
        <v>0</v>
      </c>
      <c r="Y62" s="11">
        <f t="shared" si="37"/>
        <v>0</v>
      </c>
      <c r="Z62" s="38">
        <v>0</v>
      </c>
      <c r="AA62" s="11">
        <f t="shared" si="38"/>
        <v>0</v>
      </c>
      <c r="AB62" s="11">
        <v>0</v>
      </c>
      <c r="AC62" s="11">
        <f t="shared" ref="AC62" si="43">Q62*AB62</f>
        <v>0</v>
      </c>
      <c r="AD62" s="12">
        <f t="shared" ref="AD62" si="44">Y62+AA62+AC62</f>
        <v>0</v>
      </c>
      <c r="AE62" s="4">
        <f t="shared" ref="AE62" si="45">W62-AD62</f>
        <v>7883.333333333333</v>
      </c>
      <c r="AF62" s="3">
        <f t="shared" si="39"/>
        <v>5384.6153846153848</v>
      </c>
      <c r="AG62" s="3">
        <f t="shared" ref="AG62:AG124" si="46">+AF62*0.11</f>
        <v>592.30769230769238</v>
      </c>
      <c r="AH62" s="1">
        <v>1731.6666666666699</v>
      </c>
      <c r="AI62" s="1">
        <f t="shared" ref="AI62:AI124" si="47">(AE62-AG62-AH62)*12</f>
        <v>66712.307692307659</v>
      </c>
      <c r="AJ62" s="1">
        <f t="shared" ref="AJ62:AJ124" si="48">IF(AND(AI62&gt;40000,AI62&lt;=55000),(AI62-40000)*10%,
IF(AND(AI62&gt;55000,AI62&lt;=70000),(AI62-55000)*15%+15000*10%,
IF(AND(AI62&gt;70000,AI62&lt;=200000),(AI62-70000)*20%+15000*10%+15000*15%,
IF(AND(AI62&gt;200000,AI62&lt;=400000),(AI62-200000)*22.5%+15000*10%+15000*15%+130000*20%,
IF(AND(AI62&gt;400000,AI62&lt;=600000),(AI62-400000)*25%+15000*10%+15000*15%+130000*20%+200000*22.5%,
IF(AND(AI62&gt;600000,AI62&lt;=700000),(AI62-400000)*25%+55000*10%+15000*15%+130000*20%+200000*22.5%,
IF(AND(AI62&gt;700000,AI62&lt;=800000),(AI62-400000)*25%+70000*15%+130000*20%+200000*22.5%,
IF(AND(AI62&gt;800000,AI62&lt;=900000),(AI62-400000)*25%+200000*20%+200000*22.5%,
IF(AND(AI62&gt;900000,AI62&lt;=1200000),(AI62-400000)*25%+400000*22.5%,
IF(AI62&gt;1200000,(AI62-1200000)*27.5%+1200000*25%))))))))))/12</f>
        <v>271.40384615384573</v>
      </c>
      <c r="AK62" s="3">
        <f t="shared" ref="AK62:AK124" si="49">+AE62*0.0005</f>
        <v>3.9416666666666664</v>
      </c>
      <c r="AL62" s="4">
        <f t="shared" ref="AL62" si="50">+AE62-AG62-AJ62-AK62</f>
        <v>7015.6801282051283</v>
      </c>
      <c r="AM62" s="3">
        <v>0</v>
      </c>
      <c r="AN62" s="4">
        <f t="shared" ref="AN62" si="51">+AL62-AM62</f>
        <v>7015.6801282051283</v>
      </c>
      <c r="AO62" s="1">
        <f t="shared" ref="AO62" si="52">+AF62*0.1875</f>
        <v>1009.6153846153846</v>
      </c>
      <c r="AP62" s="41">
        <v>11</v>
      </c>
      <c r="AQ62" s="54">
        <f t="shared" si="30"/>
        <v>8892.9487179487169</v>
      </c>
    </row>
    <row r="63" spans="1:43" x14ac:dyDescent="0.35">
      <c r="A63" s="27" t="s">
        <v>196</v>
      </c>
      <c r="B63" s="44" t="s">
        <v>443</v>
      </c>
      <c r="C63" s="62" t="s">
        <v>318</v>
      </c>
      <c r="D63" s="63" t="s">
        <v>507</v>
      </c>
      <c r="E63" s="66" t="s">
        <v>314</v>
      </c>
      <c r="F63" s="68">
        <v>30112102104355</v>
      </c>
      <c r="G63" s="70" t="s">
        <v>526</v>
      </c>
      <c r="H63" s="72">
        <v>4000</v>
      </c>
      <c r="I63" s="72">
        <v>3000</v>
      </c>
      <c r="J63" s="9">
        <v>0</v>
      </c>
      <c r="K63" s="75">
        <v>1.05</v>
      </c>
      <c r="L63" s="9">
        <f t="shared" ref="L63:L65" si="53">+I63*K63</f>
        <v>3150</v>
      </c>
      <c r="M63" s="9"/>
      <c r="N63" s="9">
        <f t="shared" si="31"/>
        <v>30</v>
      </c>
      <c r="O63" s="9">
        <f t="shared" si="32"/>
        <v>0</v>
      </c>
      <c r="P63" s="10">
        <f t="shared" si="33"/>
        <v>133.33333333333334</v>
      </c>
      <c r="Q63" s="10">
        <f t="shared" si="34"/>
        <v>105</v>
      </c>
      <c r="R63" s="10">
        <f t="shared" si="41"/>
        <v>238.33333333333334</v>
      </c>
      <c r="S63" s="10">
        <f t="shared" si="35"/>
        <v>16.666666666666668</v>
      </c>
      <c r="T63" s="9">
        <v>44</v>
      </c>
      <c r="U63" s="9">
        <f t="shared" si="36"/>
        <v>733.33333333333337</v>
      </c>
      <c r="V63" s="9">
        <v>0</v>
      </c>
      <c r="W63" s="16">
        <f t="shared" si="42"/>
        <v>7883.333333333333</v>
      </c>
      <c r="X63" s="49">
        <v>0</v>
      </c>
      <c r="Y63" s="11">
        <f t="shared" si="37"/>
        <v>0</v>
      </c>
      <c r="Z63" s="38">
        <v>4</v>
      </c>
      <c r="AA63" s="11">
        <f t="shared" si="38"/>
        <v>533.33333333333337</v>
      </c>
      <c r="AB63" s="11">
        <v>0</v>
      </c>
      <c r="AC63" s="11">
        <f t="shared" ref="AC63:AC65" si="54">Q63*AB63</f>
        <v>0</v>
      </c>
      <c r="AD63" s="12">
        <f t="shared" ref="AD63:AD65" si="55">Y63+AA63+AC63</f>
        <v>533.33333333333337</v>
      </c>
      <c r="AE63" s="4">
        <f t="shared" ref="AE63:AE65" si="56">W63-AD63</f>
        <v>7350</v>
      </c>
      <c r="AF63" s="3">
        <f t="shared" si="39"/>
        <v>5384.6153846153848</v>
      </c>
      <c r="AG63" s="3">
        <f t="shared" si="46"/>
        <v>592.30769230769238</v>
      </c>
      <c r="AH63" s="1">
        <v>1732.6666666666699</v>
      </c>
      <c r="AI63" s="1">
        <f t="shared" si="47"/>
        <v>60300.307692307659</v>
      </c>
      <c r="AJ63" s="1">
        <f t="shared" si="48"/>
        <v>191.25384615384573</v>
      </c>
      <c r="AK63" s="3">
        <f t="shared" si="49"/>
        <v>3.6750000000000003</v>
      </c>
      <c r="AL63" s="4">
        <f t="shared" ref="AL63:AL65" si="57">+AE63-AG63-AJ63-AK63</f>
        <v>6562.7634615384613</v>
      </c>
      <c r="AM63" s="3">
        <v>0</v>
      </c>
      <c r="AN63" s="4">
        <f t="shared" ref="AN63:AN65" si="58">+AL63-AM63</f>
        <v>6562.7634615384613</v>
      </c>
      <c r="AO63" s="1">
        <f t="shared" ref="AO63:AO65" si="59">+AF63*0.1875</f>
        <v>1009.6153846153846</v>
      </c>
      <c r="AP63" s="41">
        <v>12</v>
      </c>
      <c r="AQ63" s="54">
        <f t="shared" si="30"/>
        <v>8359.6153846153848</v>
      </c>
    </row>
    <row r="64" spans="1:43" x14ac:dyDescent="0.35">
      <c r="A64" s="26" t="s">
        <v>196</v>
      </c>
      <c r="B64" s="44" t="s">
        <v>444</v>
      </c>
      <c r="C64" s="62" t="s">
        <v>283</v>
      </c>
      <c r="D64" s="63" t="s">
        <v>507</v>
      </c>
      <c r="E64" s="64" t="s">
        <v>232</v>
      </c>
      <c r="F64" s="68" t="s">
        <v>63</v>
      </c>
      <c r="G64" s="70" t="s">
        <v>526</v>
      </c>
      <c r="H64" s="72">
        <v>4000</v>
      </c>
      <c r="I64" s="72">
        <v>3000</v>
      </c>
      <c r="J64" s="9">
        <v>0</v>
      </c>
      <c r="K64" s="75">
        <v>1.05</v>
      </c>
      <c r="L64" s="9">
        <f t="shared" si="53"/>
        <v>3150</v>
      </c>
      <c r="M64" s="9"/>
      <c r="N64" s="9">
        <f t="shared" si="31"/>
        <v>30</v>
      </c>
      <c r="O64" s="9">
        <f t="shared" si="32"/>
        <v>0</v>
      </c>
      <c r="P64" s="10">
        <f t="shared" si="33"/>
        <v>133.33333333333334</v>
      </c>
      <c r="Q64" s="10">
        <f t="shared" si="34"/>
        <v>105</v>
      </c>
      <c r="R64" s="10">
        <f t="shared" si="41"/>
        <v>238.33333333333334</v>
      </c>
      <c r="S64" s="10">
        <f t="shared" si="35"/>
        <v>16.666666666666668</v>
      </c>
      <c r="T64" s="9">
        <v>44</v>
      </c>
      <c r="U64" s="9">
        <f t="shared" si="36"/>
        <v>733.33333333333337</v>
      </c>
      <c r="V64" s="9">
        <v>0</v>
      </c>
      <c r="W64" s="16">
        <f t="shared" si="42"/>
        <v>7883.333333333333</v>
      </c>
      <c r="X64" s="49">
        <v>0</v>
      </c>
      <c r="Y64" s="11">
        <f t="shared" si="37"/>
        <v>0</v>
      </c>
      <c r="Z64" s="38">
        <v>3</v>
      </c>
      <c r="AA64" s="11">
        <f t="shared" si="38"/>
        <v>400</v>
      </c>
      <c r="AB64" s="11">
        <v>0</v>
      </c>
      <c r="AC64" s="11">
        <f t="shared" si="54"/>
        <v>0</v>
      </c>
      <c r="AD64" s="12">
        <f t="shared" si="55"/>
        <v>400</v>
      </c>
      <c r="AE64" s="4">
        <f t="shared" si="56"/>
        <v>7483.333333333333</v>
      </c>
      <c r="AF64" s="3">
        <f t="shared" si="39"/>
        <v>5384.6153846153848</v>
      </c>
      <c r="AG64" s="3">
        <f t="shared" si="46"/>
        <v>592.30769230769238</v>
      </c>
      <c r="AH64" s="1">
        <v>1733.6666666666699</v>
      </c>
      <c r="AI64" s="1">
        <f t="shared" si="47"/>
        <v>61888.307692307651</v>
      </c>
      <c r="AJ64" s="1">
        <f t="shared" si="48"/>
        <v>211.10384615384564</v>
      </c>
      <c r="AK64" s="3">
        <f t="shared" si="49"/>
        <v>3.7416666666666667</v>
      </c>
      <c r="AL64" s="4">
        <f t="shared" si="57"/>
        <v>6676.1801282051283</v>
      </c>
      <c r="AM64" s="3">
        <v>0</v>
      </c>
      <c r="AN64" s="4">
        <f t="shared" si="58"/>
        <v>6676.1801282051283</v>
      </c>
      <c r="AO64" s="1">
        <f t="shared" si="59"/>
        <v>1009.6153846153846</v>
      </c>
      <c r="AP64" s="41">
        <v>0</v>
      </c>
      <c r="AQ64" s="54">
        <f t="shared" si="30"/>
        <v>8492.9487179487169</v>
      </c>
    </row>
    <row r="65" spans="1:43" x14ac:dyDescent="0.35">
      <c r="A65" s="27" t="s">
        <v>196</v>
      </c>
      <c r="B65" s="44" t="s">
        <v>445</v>
      </c>
      <c r="C65" s="62" t="s">
        <v>575</v>
      </c>
      <c r="D65" s="63" t="s">
        <v>507</v>
      </c>
      <c r="E65" s="64" t="s">
        <v>684</v>
      </c>
      <c r="F65" s="68">
        <v>29806282101126</v>
      </c>
      <c r="G65" s="70" t="s">
        <v>526</v>
      </c>
      <c r="H65" s="72">
        <v>4000</v>
      </c>
      <c r="I65" s="72">
        <v>3000</v>
      </c>
      <c r="J65" s="9">
        <v>0</v>
      </c>
      <c r="K65" s="75">
        <v>1.05</v>
      </c>
      <c r="L65" s="9">
        <f t="shared" si="53"/>
        <v>3150</v>
      </c>
      <c r="M65" s="9"/>
      <c r="N65" s="9">
        <f t="shared" si="31"/>
        <v>30</v>
      </c>
      <c r="O65" s="9">
        <f t="shared" si="32"/>
        <v>0</v>
      </c>
      <c r="P65" s="10">
        <f t="shared" si="33"/>
        <v>133.33333333333334</v>
      </c>
      <c r="Q65" s="10">
        <f t="shared" si="34"/>
        <v>105</v>
      </c>
      <c r="R65" s="10">
        <f t="shared" si="41"/>
        <v>238.33333333333334</v>
      </c>
      <c r="S65" s="10">
        <f t="shared" si="35"/>
        <v>16.666666666666668</v>
      </c>
      <c r="T65" s="9">
        <v>28</v>
      </c>
      <c r="U65" s="9">
        <f t="shared" si="36"/>
        <v>466.66666666666669</v>
      </c>
      <c r="V65" s="9">
        <v>0</v>
      </c>
      <c r="W65" s="16">
        <f t="shared" si="42"/>
        <v>7616.666666666667</v>
      </c>
      <c r="X65" s="49">
        <v>0</v>
      </c>
      <c r="Y65" s="11">
        <f t="shared" si="37"/>
        <v>0</v>
      </c>
      <c r="Z65" s="38">
        <v>2</v>
      </c>
      <c r="AA65" s="11">
        <f t="shared" si="38"/>
        <v>266.66666666666669</v>
      </c>
      <c r="AB65" s="11">
        <v>0</v>
      </c>
      <c r="AC65" s="11">
        <f t="shared" si="54"/>
        <v>0</v>
      </c>
      <c r="AD65" s="12">
        <f t="shared" si="55"/>
        <v>266.66666666666669</v>
      </c>
      <c r="AE65" s="4">
        <f t="shared" si="56"/>
        <v>7350</v>
      </c>
      <c r="AF65" s="3">
        <f t="shared" si="39"/>
        <v>5384.6153846153848</v>
      </c>
      <c r="AG65" s="3">
        <f t="shared" si="46"/>
        <v>592.30769230769238</v>
      </c>
      <c r="AH65" s="1">
        <v>1734.6666666666699</v>
      </c>
      <c r="AI65" s="1">
        <f t="shared" si="47"/>
        <v>60276.307692307659</v>
      </c>
      <c r="AJ65" s="1">
        <f t="shared" si="48"/>
        <v>190.95384615384572</v>
      </c>
      <c r="AK65" s="3">
        <f t="shared" si="49"/>
        <v>3.6750000000000003</v>
      </c>
      <c r="AL65" s="4">
        <f t="shared" si="57"/>
        <v>6563.0634615384615</v>
      </c>
      <c r="AM65" s="3">
        <v>0</v>
      </c>
      <c r="AN65" s="4">
        <f t="shared" si="58"/>
        <v>6563.0634615384615</v>
      </c>
      <c r="AO65" s="1">
        <f t="shared" si="59"/>
        <v>1009.6153846153846</v>
      </c>
      <c r="AP65" s="41">
        <v>18</v>
      </c>
      <c r="AQ65" s="54">
        <f t="shared" si="30"/>
        <v>8359.6153846153848</v>
      </c>
    </row>
    <row r="66" spans="1:43" x14ac:dyDescent="0.35">
      <c r="A66" s="27" t="s">
        <v>196</v>
      </c>
      <c r="B66" s="44" t="s">
        <v>446</v>
      </c>
      <c r="C66" s="62" t="s">
        <v>574</v>
      </c>
      <c r="D66" s="63" t="s">
        <v>507</v>
      </c>
      <c r="E66" s="64" t="s">
        <v>685</v>
      </c>
      <c r="F66" s="68">
        <v>29207112102763</v>
      </c>
      <c r="G66" s="70" t="s">
        <v>526</v>
      </c>
      <c r="H66" s="72">
        <v>4000</v>
      </c>
      <c r="I66" s="72">
        <v>3000</v>
      </c>
      <c r="J66" s="9">
        <v>0</v>
      </c>
      <c r="K66" s="75">
        <v>1.05</v>
      </c>
      <c r="L66" s="9">
        <f t="shared" ref="L66" si="60">+I66*K66</f>
        <v>3150</v>
      </c>
      <c r="M66" s="9"/>
      <c r="N66" s="9">
        <f t="shared" si="31"/>
        <v>30</v>
      </c>
      <c r="O66" s="9">
        <f t="shared" si="32"/>
        <v>0</v>
      </c>
      <c r="P66" s="10">
        <f t="shared" si="33"/>
        <v>133.33333333333334</v>
      </c>
      <c r="Q66" s="10">
        <f t="shared" si="34"/>
        <v>105</v>
      </c>
      <c r="R66" s="10">
        <f t="shared" si="41"/>
        <v>238.33333333333334</v>
      </c>
      <c r="S66" s="10">
        <f t="shared" si="35"/>
        <v>16.666666666666668</v>
      </c>
      <c r="T66" s="9">
        <v>28</v>
      </c>
      <c r="U66" s="9">
        <f t="shared" si="36"/>
        <v>466.66666666666669</v>
      </c>
      <c r="V66" s="9">
        <v>0</v>
      </c>
      <c r="W66" s="16">
        <f t="shared" ref="W66" si="61">H66+L66+U66+V66+J66</f>
        <v>7616.666666666667</v>
      </c>
      <c r="X66" s="49">
        <v>0</v>
      </c>
      <c r="Y66" s="11">
        <f t="shared" si="37"/>
        <v>0</v>
      </c>
      <c r="Z66" s="38">
        <v>1</v>
      </c>
      <c r="AA66" s="11">
        <f t="shared" si="38"/>
        <v>133.33333333333334</v>
      </c>
      <c r="AB66" s="11">
        <v>0</v>
      </c>
      <c r="AC66" s="11">
        <f t="shared" ref="AC66" si="62">Q66*AB66</f>
        <v>0</v>
      </c>
      <c r="AD66" s="12">
        <f t="shared" ref="AD66" si="63">Y66+AA66+AC66</f>
        <v>133.33333333333334</v>
      </c>
      <c r="AE66" s="4">
        <f t="shared" ref="AE66" si="64">W66-AD66</f>
        <v>7483.3333333333339</v>
      </c>
      <c r="AF66" s="3">
        <f t="shared" si="39"/>
        <v>5384.6153846153848</v>
      </c>
      <c r="AG66" s="3">
        <f t="shared" si="46"/>
        <v>592.30769230769238</v>
      </c>
      <c r="AH66" s="1">
        <v>1735.6666666666699</v>
      </c>
      <c r="AI66" s="1">
        <f t="shared" si="47"/>
        <v>61864.307692307659</v>
      </c>
      <c r="AJ66" s="1">
        <f t="shared" si="48"/>
        <v>210.80384615384574</v>
      </c>
      <c r="AK66" s="3">
        <f t="shared" si="49"/>
        <v>3.7416666666666671</v>
      </c>
      <c r="AL66" s="4">
        <f t="shared" ref="AL66" si="65">+AE66-AG66-AJ66-AK66</f>
        <v>6676.4801282051294</v>
      </c>
      <c r="AM66" s="3">
        <v>0</v>
      </c>
      <c r="AN66" s="4">
        <f t="shared" ref="AN66" si="66">+AL66-AM66</f>
        <v>6676.4801282051294</v>
      </c>
      <c r="AO66" s="1">
        <f t="shared" ref="AO66" si="67">+AF66*0.1875</f>
        <v>1009.6153846153846</v>
      </c>
      <c r="AP66" s="41">
        <v>18</v>
      </c>
      <c r="AQ66" s="54">
        <f t="shared" ref="AQ66" si="68">AE66+AO66</f>
        <v>8492.9487179487187</v>
      </c>
    </row>
    <row r="67" spans="1:43" x14ac:dyDescent="0.35">
      <c r="A67" s="27" t="s">
        <v>196</v>
      </c>
      <c r="B67" s="44" t="s">
        <v>516</v>
      </c>
      <c r="C67" s="61" t="s">
        <v>284</v>
      </c>
      <c r="D67" s="63" t="s">
        <v>507</v>
      </c>
      <c r="E67" s="64" t="s">
        <v>233</v>
      </c>
      <c r="F67" s="69" t="s">
        <v>234</v>
      </c>
      <c r="G67" s="70" t="s">
        <v>526</v>
      </c>
      <c r="H67" s="72">
        <v>4000</v>
      </c>
      <c r="I67" s="72">
        <v>3000</v>
      </c>
      <c r="J67" s="9">
        <v>0</v>
      </c>
      <c r="K67" s="75">
        <v>1.05</v>
      </c>
      <c r="L67" s="9">
        <f t="shared" ref="L67:L116" si="69">+I67*K67</f>
        <v>3150</v>
      </c>
      <c r="M67" s="9"/>
      <c r="N67" s="9">
        <f t="shared" si="31"/>
        <v>30</v>
      </c>
      <c r="O67" s="9">
        <f t="shared" si="32"/>
        <v>0</v>
      </c>
      <c r="P67" s="10">
        <f t="shared" si="33"/>
        <v>133.33333333333334</v>
      </c>
      <c r="Q67" s="10">
        <f t="shared" si="34"/>
        <v>105</v>
      </c>
      <c r="R67" s="10">
        <f t="shared" si="41"/>
        <v>238.33333333333334</v>
      </c>
      <c r="S67" s="10">
        <f t="shared" si="35"/>
        <v>16.666666666666668</v>
      </c>
      <c r="T67" s="9">
        <v>28</v>
      </c>
      <c r="U67" s="9">
        <f t="shared" si="36"/>
        <v>466.66666666666669</v>
      </c>
      <c r="V67" s="9">
        <v>0</v>
      </c>
      <c r="W67" s="16">
        <f t="shared" ref="W67:W116" si="70">H67+L67+U67+V67+J67</f>
        <v>7616.666666666667</v>
      </c>
      <c r="X67" s="49">
        <v>0</v>
      </c>
      <c r="Y67" s="11">
        <f t="shared" si="37"/>
        <v>0</v>
      </c>
      <c r="Z67" s="38">
        <v>2</v>
      </c>
      <c r="AA67" s="11">
        <f t="shared" si="38"/>
        <v>266.66666666666669</v>
      </c>
      <c r="AB67" s="11">
        <v>0</v>
      </c>
      <c r="AC67" s="11">
        <f t="shared" ref="AC67:AC116" si="71">Q67*AB67</f>
        <v>0</v>
      </c>
      <c r="AD67" s="12">
        <f t="shared" ref="AD67:AD116" si="72">Y67+AA67+AC67</f>
        <v>266.66666666666669</v>
      </c>
      <c r="AE67" s="4">
        <f t="shared" ref="AE67:AE116" si="73">W67-AD67</f>
        <v>7350</v>
      </c>
      <c r="AF67" s="3">
        <f t="shared" si="39"/>
        <v>5384.6153846153848</v>
      </c>
      <c r="AG67" s="3">
        <f t="shared" si="46"/>
        <v>592.30769230769238</v>
      </c>
      <c r="AH67" s="1">
        <v>1736.6666666666699</v>
      </c>
      <c r="AI67" s="1">
        <f t="shared" si="47"/>
        <v>60252.307692307659</v>
      </c>
      <c r="AJ67" s="1">
        <f t="shared" si="48"/>
        <v>190.65384615384573</v>
      </c>
      <c r="AK67" s="3">
        <f t="shared" si="49"/>
        <v>3.6750000000000003</v>
      </c>
      <c r="AL67" s="4">
        <f t="shared" ref="AL67:AL116" si="74">+AE67-AG67-AJ67-AK67</f>
        <v>6563.3634615384617</v>
      </c>
      <c r="AM67" s="3">
        <v>0</v>
      </c>
      <c r="AN67" s="4">
        <f t="shared" ref="AN67:AN116" si="75">+AL67-AM67</f>
        <v>6563.3634615384617</v>
      </c>
      <c r="AO67" s="1">
        <f t="shared" ref="AO67:AO116" si="76">+AF67*0.1875</f>
        <v>1009.6153846153846</v>
      </c>
      <c r="AP67" s="41">
        <v>7</v>
      </c>
      <c r="AQ67" s="54">
        <f t="shared" ref="AQ67:AQ116" si="77">AE67+AO67</f>
        <v>8359.6153846153848</v>
      </c>
    </row>
    <row r="68" spans="1:43" x14ac:dyDescent="0.35">
      <c r="A68" s="27" t="s">
        <v>196</v>
      </c>
      <c r="B68" s="44" t="s">
        <v>447</v>
      </c>
      <c r="C68" s="61" t="s">
        <v>543</v>
      </c>
      <c r="D68" s="63" t="s">
        <v>507</v>
      </c>
      <c r="E68" s="64" t="s">
        <v>686</v>
      </c>
      <c r="F68" s="69">
        <v>30207231404277</v>
      </c>
      <c r="G68" s="70" t="s">
        <v>526</v>
      </c>
      <c r="H68" s="72">
        <v>4000</v>
      </c>
      <c r="I68" s="72">
        <v>3000</v>
      </c>
      <c r="J68" s="9">
        <v>0</v>
      </c>
      <c r="K68" s="75">
        <v>1.05</v>
      </c>
      <c r="L68" s="9">
        <f t="shared" si="69"/>
        <v>3150</v>
      </c>
      <c r="M68" s="9"/>
      <c r="N68" s="9">
        <f t="shared" si="31"/>
        <v>30</v>
      </c>
      <c r="O68" s="9">
        <f t="shared" si="32"/>
        <v>0</v>
      </c>
      <c r="P68" s="10">
        <f t="shared" si="33"/>
        <v>133.33333333333334</v>
      </c>
      <c r="Q68" s="10">
        <f t="shared" si="34"/>
        <v>105</v>
      </c>
      <c r="R68" s="10">
        <f t="shared" si="41"/>
        <v>238.33333333333334</v>
      </c>
      <c r="S68" s="10">
        <f t="shared" si="35"/>
        <v>16.666666666666668</v>
      </c>
      <c r="T68" s="9">
        <v>28</v>
      </c>
      <c r="U68" s="9">
        <f t="shared" si="36"/>
        <v>466.66666666666669</v>
      </c>
      <c r="V68" s="9">
        <v>0</v>
      </c>
      <c r="W68" s="16">
        <f t="shared" si="70"/>
        <v>7616.666666666667</v>
      </c>
      <c r="X68" s="49">
        <v>0</v>
      </c>
      <c r="Y68" s="11">
        <f t="shared" si="37"/>
        <v>0</v>
      </c>
      <c r="Z68" s="38">
        <v>0</v>
      </c>
      <c r="AA68" s="11">
        <f t="shared" si="38"/>
        <v>0</v>
      </c>
      <c r="AB68" s="11">
        <v>0</v>
      </c>
      <c r="AC68" s="11">
        <f t="shared" si="71"/>
        <v>0</v>
      </c>
      <c r="AD68" s="12">
        <f t="shared" si="72"/>
        <v>0</v>
      </c>
      <c r="AE68" s="4">
        <f t="shared" si="73"/>
        <v>7616.666666666667</v>
      </c>
      <c r="AF68" s="3">
        <f t="shared" si="39"/>
        <v>5384.6153846153848</v>
      </c>
      <c r="AG68" s="3">
        <f t="shared" si="46"/>
        <v>592.30769230769238</v>
      </c>
      <c r="AH68" s="1">
        <v>1737.6666666666699</v>
      </c>
      <c r="AI68" s="1">
        <f t="shared" si="47"/>
        <v>63440.307692307659</v>
      </c>
      <c r="AJ68" s="1">
        <f t="shared" si="48"/>
        <v>230.50384615384573</v>
      </c>
      <c r="AK68" s="3">
        <f t="shared" si="49"/>
        <v>3.8083333333333336</v>
      </c>
      <c r="AL68" s="4">
        <f t="shared" si="74"/>
        <v>6790.0467948717951</v>
      </c>
      <c r="AM68" s="3">
        <v>0</v>
      </c>
      <c r="AN68" s="4">
        <f t="shared" si="75"/>
        <v>6790.0467948717951</v>
      </c>
      <c r="AO68" s="1">
        <f t="shared" si="76"/>
        <v>1009.6153846153846</v>
      </c>
      <c r="AP68" s="41">
        <v>19</v>
      </c>
      <c r="AQ68" s="54">
        <f t="shared" si="77"/>
        <v>8626.2820512820508</v>
      </c>
    </row>
    <row r="69" spans="1:43" x14ac:dyDescent="0.35">
      <c r="A69" s="27" t="s">
        <v>196</v>
      </c>
      <c r="B69" s="44" t="s">
        <v>448</v>
      </c>
      <c r="C69" s="61" t="s">
        <v>532</v>
      </c>
      <c r="D69" s="63" t="s">
        <v>507</v>
      </c>
      <c r="E69" s="64" t="s">
        <v>687</v>
      </c>
      <c r="F69" s="69">
        <v>30002282102746</v>
      </c>
      <c r="G69" s="70" t="s">
        <v>526</v>
      </c>
      <c r="H69" s="72">
        <v>4000</v>
      </c>
      <c r="I69" s="72">
        <v>3000</v>
      </c>
      <c r="J69" s="9">
        <v>0</v>
      </c>
      <c r="K69" s="75">
        <v>1.05</v>
      </c>
      <c r="L69" s="9">
        <f t="shared" si="69"/>
        <v>3150</v>
      </c>
      <c r="M69" s="9"/>
      <c r="N69" s="9">
        <f t="shared" si="31"/>
        <v>30</v>
      </c>
      <c r="O69" s="9">
        <f t="shared" si="32"/>
        <v>0</v>
      </c>
      <c r="P69" s="10">
        <f t="shared" si="33"/>
        <v>133.33333333333334</v>
      </c>
      <c r="Q69" s="10">
        <f t="shared" si="34"/>
        <v>105</v>
      </c>
      <c r="R69" s="10">
        <f t="shared" si="41"/>
        <v>238.33333333333334</v>
      </c>
      <c r="S69" s="10">
        <f t="shared" si="35"/>
        <v>16.666666666666668</v>
      </c>
      <c r="T69" s="9">
        <v>12</v>
      </c>
      <c r="U69" s="9">
        <f t="shared" si="36"/>
        <v>200</v>
      </c>
      <c r="V69" s="9">
        <v>0</v>
      </c>
      <c r="W69" s="16">
        <f t="shared" si="70"/>
        <v>7350</v>
      </c>
      <c r="X69" s="49">
        <v>0</v>
      </c>
      <c r="Y69" s="11">
        <f t="shared" si="37"/>
        <v>0</v>
      </c>
      <c r="Z69" s="38">
        <v>0</v>
      </c>
      <c r="AA69" s="11">
        <f t="shared" si="38"/>
        <v>0</v>
      </c>
      <c r="AB69" s="11">
        <v>0</v>
      </c>
      <c r="AC69" s="11">
        <f t="shared" si="71"/>
        <v>0</v>
      </c>
      <c r="AD69" s="12">
        <f t="shared" si="72"/>
        <v>0</v>
      </c>
      <c r="AE69" s="4">
        <f t="shared" si="73"/>
        <v>7350</v>
      </c>
      <c r="AF69" s="3">
        <f t="shared" si="39"/>
        <v>5384.6153846153848</v>
      </c>
      <c r="AG69" s="3">
        <f t="shared" si="46"/>
        <v>592.30769230769238</v>
      </c>
      <c r="AH69" s="1">
        <v>1738.6666666666699</v>
      </c>
      <c r="AI69" s="1">
        <f t="shared" si="47"/>
        <v>60228.307692307659</v>
      </c>
      <c r="AJ69" s="1">
        <f t="shared" si="48"/>
        <v>190.35384615384575</v>
      </c>
      <c r="AK69" s="3">
        <f t="shared" si="49"/>
        <v>3.6750000000000003</v>
      </c>
      <c r="AL69" s="4">
        <f t="shared" si="74"/>
        <v>6563.6634615384619</v>
      </c>
      <c r="AM69" s="3">
        <v>0</v>
      </c>
      <c r="AN69" s="4">
        <f t="shared" si="75"/>
        <v>6563.6634615384619</v>
      </c>
      <c r="AO69" s="1">
        <f t="shared" si="76"/>
        <v>1009.6153846153846</v>
      </c>
      <c r="AP69" s="41">
        <v>17</v>
      </c>
      <c r="AQ69" s="54">
        <f t="shared" si="77"/>
        <v>8359.6153846153848</v>
      </c>
    </row>
    <row r="70" spans="1:43" x14ac:dyDescent="0.35">
      <c r="A70" s="27" t="s">
        <v>196</v>
      </c>
      <c r="B70" s="44" t="s">
        <v>449</v>
      </c>
      <c r="C70" s="61" t="s">
        <v>285</v>
      </c>
      <c r="D70" s="63" t="s">
        <v>507</v>
      </c>
      <c r="E70" s="64" t="s">
        <v>235</v>
      </c>
      <c r="F70" s="69" t="s">
        <v>54</v>
      </c>
      <c r="G70" s="70" t="s">
        <v>526</v>
      </c>
      <c r="H70" s="72">
        <v>4000</v>
      </c>
      <c r="I70" s="72">
        <v>3000</v>
      </c>
      <c r="J70" s="9">
        <v>0</v>
      </c>
      <c r="K70" s="75">
        <v>1.05</v>
      </c>
      <c r="L70" s="9">
        <f t="shared" ref="L70:L94" si="78">+I70*K70</f>
        <v>3150</v>
      </c>
      <c r="M70" s="9"/>
      <c r="N70" s="9">
        <f t="shared" si="31"/>
        <v>30</v>
      </c>
      <c r="O70" s="9">
        <f t="shared" si="32"/>
        <v>0</v>
      </c>
      <c r="P70" s="10">
        <f t="shared" si="33"/>
        <v>133.33333333333334</v>
      </c>
      <c r="Q70" s="10">
        <f t="shared" si="34"/>
        <v>105</v>
      </c>
      <c r="R70" s="10">
        <f t="shared" si="41"/>
        <v>238.33333333333334</v>
      </c>
      <c r="S70" s="10">
        <f t="shared" si="35"/>
        <v>16.666666666666668</v>
      </c>
      <c r="T70" s="9">
        <v>28</v>
      </c>
      <c r="U70" s="9">
        <f t="shared" si="36"/>
        <v>466.66666666666669</v>
      </c>
      <c r="V70" s="9">
        <v>0</v>
      </c>
      <c r="W70" s="16">
        <f t="shared" ref="W70:W94" si="79">H70+L70+U70+V70+J70</f>
        <v>7616.666666666667</v>
      </c>
      <c r="X70" s="49">
        <v>0</v>
      </c>
      <c r="Y70" s="11">
        <f t="shared" si="37"/>
        <v>0</v>
      </c>
      <c r="Z70" s="38">
        <v>4</v>
      </c>
      <c r="AA70" s="11">
        <f t="shared" si="38"/>
        <v>533.33333333333337</v>
      </c>
      <c r="AB70" s="11">
        <v>0</v>
      </c>
      <c r="AC70" s="11">
        <f t="shared" ref="AC70:AC94" si="80">Q70*AB70</f>
        <v>0</v>
      </c>
      <c r="AD70" s="12">
        <f t="shared" ref="AD70:AD94" si="81">Y70+AA70+AC70</f>
        <v>533.33333333333337</v>
      </c>
      <c r="AE70" s="4">
        <f t="shared" ref="AE70:AE94" si="82">W70-AD70</f>
        <v>7083.3333333333339</v>
      </c>
      <c r="AF70" s="3">
        <f t="shared" si="39"/>
        <v>5384.6153846153848</v>
      </c>
      <c r="AG70" s="3">
        <f t="shared" si="46"/>
        <v>592.30769230769238</v>
      </c>
      <c r="AH70" s="1">
        <v>1739.6666666666699</v>
      </c>
      <c r="AI70" s="1">
        <f t="shared" si="47"/>
        <v>57016.307692307659</v>
      </c>
      <c r="AJ70" s="1">
        <f t="shared" si="48"/>
        <v>150.20384615384572</v>
      </c>
      <c r="AK70" s="3">
        <f t="shared" si="49"/>
        <v>3.541666666666667</v>
      </c>
      <c r="AL70" s="4">
        <f t="shared" ref="AL70:AL94" si="83">+AE70-AG70-AJ70-AK70</f>
        <v>6337.2801282051287</v>
      </c>
      <c r="AM70" s="3">
        <v>0</v>
      </c>
      <c r="AN70" s="4">
        <f t="shared" ref="AN70:AN94" si="84">+AL70-AM70</f>
        <v>6337.2801282051287</v>
      </c>
      <c r="AO70" s="1">
        <f t="shared" ref="AO70:AO94" si="85">+AF70*0.1875</f>
        <v>1009.6153846153846</v>
      </c>
      <c r="AP70" s="41">
        <v>10</v>
      </c>
      <c r="AQ70" s="54">
        <f t="shared" ref="AQ70:AQ94" si="86">AE70+AO70</f>
        <v>8092.9487179487187</v>
      </c>
    </row>
    <row r="71" spans="1:43" x14ac:dyDescent="0.35">
      <c r="A71" s="27" t="s">
        <v>196</v>
      </c>
      <c r="B71" s="44" t="s">
        <v>450</v>
      </c>
      <c r="C71" s="61" t="s">
        <v>328</v>
      </c>
      <c r="D71" s="63" t="s">
        <v>507</v>
      </c>
      <c r="E71" s="64" t="s">
        <v>236</v>
      </c>
      <c r="F71" s="69" t="s">
        <v>49</v>
      </c>
      <c r="G71" s="70" t="s">
        <v>526</v>
      </c>
      <c r="H71" s="72">
        <v>4000</v>
      </c>
      <c r="I71" s="72">
        <v>3000</v>
      </c>
      <c r="J71" s="9">
        <v>0</v>
      </c>
      <c r="K71" s="75">
        <v>1.05</v>
      </c>
      <c r="L71" s="9">
        <f t="shared" si="78"/>
        <v>3150</v>
      </c>
      <c r="M71" s="9"/>
      <c r="N71" s="9">
        <f t="shared" si="31"/>
        <v>30</v>
      </c>
      <c r="O71" s="9">
        <f t="shared" si="32"/>
        <v>0</v>
      </c>
      <c r="P71" s="10">
        <f t="shared" si="33"/>
        <v>133.33333333333334</v>
      </c>
      <c r="Q71" s="10">
        <f t="shared" si="34"/>
        <v>105</v>
      </c>
      <c r="R71" s="10">
        <f t="shared" si="41"/>
        <v>238.33333333333334</v>
      </c>
      <c r="S71" s="10">
        <f t="shared" si="35"/>
        <v>16.666666666666668</v>
      </c>
      <c r="T71" s="9">
        <v>12</v>
      </c>
      <c r="U71" s="9">
        <f t="shared" si="36"/>
        <v>200</v>
      </c>
      <c r="V71" s="9">
        <v>0</v>
      </c>
      <c r="W71" s="16">
        <f t="shared" si="79"/>
        <v>7350</v>
      </c>
      <c r="X71" s="49">
        <v>0</v>
      </c>
      <c r="Y71" s="11">
        <f t="shared" si="37"/>
        <v>0</v>
      </c>
      <c r="Z71" s="38">
        <v>0</v>
      </c>
      <c r="AA71" s="11">
        <f t="shared" si="38"/>
        <v>0</v>
      </c>
      <c r="AB71" s="11">
        <v>0</v>
      </c>
      <c r="AC71" s="11">
        <f t="shared" si="80"/>
        <v>0</v>
      </c>
      <c r="AD71" s="12">
        <f t="shared" si="81"/>
        <v>0</v>
      </c>
      <c r="AE71" s="4">
        <f t="shared" si="82"/>
        <v>7350</v>
      </c>
      <c r="AF71" s="3">
        <f t="shared" si="39"/>
        <v>5384.6153846153848</v>
      </c>
      <c r="AG71" s="3">
        <f t="shared" si="46"/>
        <v>592.30769230769238</v>
      </c>
      <c r="AH71" s="1">
        <v>1740.6666666666699</v>
      </c>
      <c r="AI71" s="1">
        <f t="shared" si="47"/>
        <v>60204.307692307659</v>
      </c>
      <c r="AJ71" s="1">
        <f t="shared" si="48"/>
        <v>190.05384615384574</v>
      </c>
      <c r="AK71" s="3">
        <f t="shared" si="49"/>
        <v>3.6750000000000003</v>
      </c>
      <c r="AL71" s="4">
        <f t="shared" si="83"/>
        <v>6563.9634615384621</v>
      </c>
      <c r="AM71" s="3">
        <v>0</v>
      </c>
      <c r="AN71" s="4">
        <f t="shared" si="84"/>
        <v>6563.9634615384621</v>
      </c>
      <c r="AO71" s="1">
        <f t="shared" si="85"/>
        <v>1009.6153846153846</v>
      </c>
      <c r="AP71" s="41">
        <v>15</v>
      </c>
      <c r="AQ71" s="54">
        <f t="shared" si="86"/>
        <v>8359.6153846153848</v>
      </c>
    </row>
    <row r="72" spans="1:43" x14ac:dyDescent="0.35">
      <c r="A72" s="27" t="s">
        <v>196</v>
      </c>
      <c r="B72" s="44" t="s">
        <v>451</v>
      </c>
      <c r="C72" s="61" t="s">
        <v>530</v>
      </c>
      <c r="D72" s="63" t="s">
        <v>507</v>
      </c>
      <c r="E72" s="64" t="s">
        <v>688</v>
      </c>
      <c r="F72" s="69">
        <v>29912022100112</v>
      </c>
      <c r="G72" s="70" t="s">
        <v>28</v>
      </c>
      <c r="H72" s="72">
        <v>4000</v>
      </c>
      <c r="I72" s="72">
        <v>3000</v>
      </c>
      <c r="J72" s="9">
        <v>0</v>
      </c>
      <c r="K72" s="75">
        <v>1.05</v>
      </c>
      <c r="L72" s="9">
        <f t="shared" ref="L72:L91" si="87">+I72*K72</f>
        <v>3150</v>
      </c>
      <c r="M72" s="9"/>
      <c r="N72" s="9">
        <f t="shared" si="31"/>
        <v>30</v>
      </c>
      <c r="O72" s="9">
        <f t="shared" si="32"/>
        <v>0</v>
      </c>
      <c r="P72" s="10">
        <f t="shared" si="33"/>
        <v>133.33333333333334</v>
      </c>
      <c r="Q72" s="10">
        <f t="shared" si="34"/>
        <v>105</v>
      </c>
      <c r="R72" s="10">
        <f t="shared" si="41"/>
        <v>238.33333333333334</v>
      </c>
      <c r="S72" s="10">
        <f t="shared" si="35"/>
        <v>16.666666666666668</v>
      </c>
      <c r="T72" s="9">
        <v>12</v>
      </c>
      <c r="U72" s="9">
        <f t="shared" si="36"/>
        <v>200</v>
      </c>
      <c r="V72" s="9">
        <v>0</v>
      </c>
      <c r="W72" s="16">
        <f t="shared" ref="W72:W91" si="88">H72+L72+U72+V72+J72</f>
        <v>7350</v>
      </c>
      <c r="X72" s="49">
        <v>0</v>
      </c>
      <c r="Y72" s="11">
        <f t="shared" si="37"/>
        <v>0</v>
      </c>
      <c r="Z72" s="38">
        <v>0</v>
      </c>
      <c r="AA72" s="11">
        <f t="shared" si="38"/>
        <v>0</v>
      </c>
      <c r="AB72" s="11">
        <v>0</v>
      </c>
      <c r="AC72" s="11">
        <f t="shared" ref="AC72:AC91" si="89">Q72*AB72</f>
        <v>0</v>
      </c>
      <c r="AD72" s="12">
        <f t="shared" ref="AD72:AD91" si="90">Y72+AA72+AC72</f>
        <v>0</v>
      </c>
      <c r="AE72" s="4">
        <f t="shared" ref="AE72:AE91" si="91">W72-AD72</f>
        <v>7350</v>
      </c>
      <c r="AF72" s="3">
        <f t="shared" si="39"/>
        <v>5384.6153846153848</v>
      </c>
      <c r="AG72" s="3">
        <f t="shared" si="46"/>
        <v>592.30769230769238</v>
      </c>
      <c r="AH72" s="1">
        <v>1741.6666666666699</v>
      </c>
      <c r="AI72" s="1">
        <f t="shared" si="47"/>
        <v>60192.307692307659</v>
      </c>
      <c r="AJ72" s="1">
        <f t="shared" si="48"/>
        <v>189.90384615384573</v>
      </c>
      <c r="AK72" s="3">
        <f t="shared" si="49"/>
        <v>3.6750000000000003</v>
      </c>
      <c r="AL72" s="4">
        <f t="shared" ref="AL72:AL91" si="92">+AE72-AG72-AJ72-AK72</f>
        <v>6564.1134615384617</v>
      </c>
      <c r="AM72" s="3">
        <v>0</v>
      </c>
      <c r="AN72" s="4">
        <f t="shared" ref="AN72:AN91" si="93">+AL72-AM72</f>
        <v>6564.1134615384617</v>
      </c>
      <c r="AO72" s="1">
        <f t="shared" ref="AO72:AO91" si="94">+AF72*0.1875</f>
        <v>1009.6153846153846</v>
      </c>
      <c r="AP72" s="41">
        <v>12</v>
      </c>
      <c r="AQ72" s="54">
        <f t="shared" ref="AQ72:AQ91" si="95">AE72+AO72</f>
        <v>8359.6153846153848</v>
      </c>
    </row>
    <row r="73" spans="1:43" x14ac:dyDescent="0.35">
      <c r="A73" s="27" t="s">
        <v>196</v>
      </c>
      <c r="B73" s="44" t="s">
        <v>723</v>
      </c>
      <c r="C73" s="61" t="s">
        <v>487</v>
      </c>
      <c r="D73" s="63" t="s">
        <v>507</v>
      </c>
      <c r="E73" s="64" t="s">
        <v>466</v>
      </c>
      <c r="F73" s="69">
        <v>30101282103244</v>
      </c>
      <c r="G73" s="70" t="s">
        <v>526</v>
      </c>
      <c r="H73" s="72">
        <v>4000</v>
      </c>
      <c r="I73" s="72">
        <v>3000</v>
      </c>
      <c r="J73" s="9">
        <v>0</v>
      </c>
      <c r="K73" s="75">
        <v>1.05</v>
      </c>
      <c r="L73" s="9">
        <f t="shared" si="87"/>
        <v>3150</v>
      </c>
      <c r="M73" s="9"/>
      <c r="N73" s="9">
        <f t="shared" si="31"/>
        <v>30</v>
      </c>
      <c r="O73" s="9">
        <f t="shared" si="32"/>
        <v>0</v>
      </c>
      <c r="P73" s="10">
        <f t="shared" si="33"/>
        <v>133.33333333333334</v>
      </c>
      <c r="Q73" s="10">
        <f t="shared" si="34"/>
        <v>105</v>
      </c>
      <c r="R73" s="10">
        <f t="shared" si="41"/>
        <v>238.33333333333334</v>
      </c>
      <c r="S73" s="10">
        <f t="shared" si="35"/>
        <v>16.666666666666668</v>
      </c>
      <c r="T73" s="9">
        <v>12</v>
      </c>
      <c r="U73" s="9">
        <f t="shared" si="36"/>
        <v>200</v>
      </c>
      <c r="V73" s="9">
        <v>0</v>
      </c>
      <c r="W73" s="16">
        <f t="shared" si="88"/>
        <v>7350</v>
      </c>
      <c r="X73" s="49">
        <v>0</v>
      </c>
      <c r="Y73" s="11">
        <f t="shared" si="37"/>
        <v>0</v>
      </c>
      <c r="Z73" s="38">
        <v>2</v>
      </c>
      <c r="AA73" s="11">
        <f t="shared" si="38"/>
        <v>266.66666666666669</v>
      </c>
      <c r="AB73" s="11">
        <v>0</v>
      </c>
      <c r="AC73" s="11">
        <f t="shared" si="89"/>
        <v>0</v>
      </c>
      <c r="AD73" s="12">
        <f t="shared" si="90"/>
        <v>266.66666666666669</v>
      </c>
      <c r="AE73" s="4">
        <f t="shared" si="91"/>
        <v>7083.333333333333</v>
      </c>
      <c r="AF73" s="3">
        <f t="shared" si="39"/>
        <v>5384.6153846153848</v>
      </c>
      <c r="AG73" s="3">
        <f t="shared" si="46"/>
        <v>592.30769230769238</v>
      </c>
      <c r="AH73" s="1">
        <v>1742.6666666666699</v>
      </c>
      <c r="AI73" s="1">
        <f t="shared" si="47"/>
        <v>56980.307692307651</v>
      </c>
      <c r="AJ73" s="1">
        <f t="shared" si="48"/>
        <v>149.75384615384564</v>
      </c>
      <c r="AK73" s="3">
        <f t="shared" si="49"/>
        <v>3.5416666666666665</v>
      </c>
      <c r="AL73" s="4">
        <f t="shared" si="92"/>
        <v>6337.7301282051276</v>
      </c>
      <c r="AM73" s="3">
        <v>0</v>
      </c>
      <c r="AN73" s="4">
        <f t="shared" si="93"/>
        <v>6337.7301282051276</v>
      </c>
      <c r="AO73" s="1">
        <f t="shared" si="94"/>
        <v>1009.6153846153846</v>
      </c>
      <c r="AP73" s="41">
        <v>7</v>
      </c>
      <c r="AQ73" s="54">
        <f t="shared" si="95"/>
        <v>8092.9487179487178</v>
      </c>
    </row>
    <row r="74" spans="1:43" x14ac:dyDescent="0.35">
      <c r="A74" s="27" t="s">
        <v>196</v>
      </c>
      <c r="B74" s="44" t="s">
        <v>471</v>
      </c>
      <c r="C74" s="61" t="s">
        <v>535</v>
      </c>
      <c r="D74" s="63" t="s">
        <v>507</v>
      </c>
      <c r="E74" s="64" t="s">
        <v>689</v>
      </c>
      <c r="F74" s="69">
        <v>30104030102228</v>
      </c>
      <c r="G74" s="70" t="s">
        <v>526</v>
      </c>
      <c r="H74" s="72">
        <v>4000</v>
      </c>
      <c r="I74" s="72">
        <v>3000</v>
      </c>
      <c r="J74" s="9">
        <v>0</v>
      </c>
      <c r="K74" s="75">
        <v>1.05</v>
      </c>
      <c r="L74" s="9">
        <f t="shared" si="87"/>
        <v>3150</v>
      </c>
      <c r="M74" s="9"/>
      <c r="N74" s="9">
        <f t="shared" si="31"/>
        <v>30</v>
      </c>
      <c r="O74" s="9">
        <f t="shared" si="32"/>
        <v>0</v>
      </c>
      <c r="P74" s="10">
        <f t="shared" si="33"/>
        <v>133.33333333333334</v>
      </c>
      <c r="Q74" s="10">
        <f t="shared" si="34"/>
        <v>105</v>
      </c>
      <c r="R74" s="10">
        <f t="shared" si="41"/>
        <v>238.33333333333334</v>
      </c>
      <c r="S74" s="10">
        <f t="shared" si="35"/>
        <v>16.666666666666668</v>
      </c>
      <c r="T74" s="9">
        <v>28</v>
      </c>
      <c r="U74" s="9">
        <f t="shared" si="36"/>
        <v>466.66666666666669</v>
      </c>
      <c r="V74" s="9">
        <v>0</v>
      </c>
      <c r="W74" s="16">
        <f t="shared" si="88"/>
        <v>7616.666666666667</v>
      </c>
      <c r="X74" s="49">
        <v>0</v>
      </c>
      <c r="Y74" s="11">
        <f t="shared" si="37"/>
        <v>0</v>
      </c>
      <c r="Z74" s="38">
        <v>0</v>
      </c>
      <c r="AA74" s="11">
        <f t="shared" si="38"/>
        <v>0</v>
      </c>
      <c r="AB74" s="11">
        <v>0</v>
      </c>
      <c r="AC74" s="11">
        <f t="shared" si="89"/>
        <v>0</v>
      </c>
      <c r="AD74" s="12">
        <f t="shared" si="90"/>
        <v>0</v>
      </c>
      <c r="AE74" s="4">
        <f t="shared" si="91"/>
        <v>7616.666666666667</v>
      </c>
      <c r="AF74" s="3">
        <f t="shared" si="39"/>
        <v>5384.6153846153848</v>
      </c>
      <c r="AG74" s="3">
        <f t="shared" si="46"/>
        <v>592.30769230769238</v>
      </c>
      <c r="AH74" s="1">
        <v>1743.6666666666699</v>
      </c>
      <c r="AI74" s="1">
        <f t="shared" si="47"/>
        <v>63368.307692307659</v>
      </c>
      <c r="AJ74" s="1">
        <f t="shared" si="48"/>
        <v>229.60384615384569</v>
      </c>
      <c r="AK74" s="3">
        <f t="shared" si="49"/>
        <v>3.8083333333333336</v>
      </c>
      <c r="AL74" s="4">
        <f t="shared" si="92"/>
        <v>6790.9467948717956</v>
      </c>
      <c r="AM74" s="3">
        <v>0</v>
      </c>
      <c r="AN74" s="4">
        <f t="shared" si="93"/>
        <v>6790.9467948717956</v>
      </c>
      <c r="AO74" s="1">
        <f t="shared" si="94"/>
        <v>1009.6153846153846</v>
      </c>
      <c r="AP74" s="41">
        <v>17</v>
      </c>
      <c r="AQ74" s="54">
        <f t="shared" si="95"/>
        <v>8626.2820512820508</v>
      </c>
    </row>
    <row r="75" spans="1:43" x14ac:dyDescent="0.35">
      <c r="A75" s="27" t="s">
        <v>196</v>
      </c>
      <c r="B75" s="44" t="s">
        <v>472</v>
      </c>
      <c r="C75" s="61" t="s">
        <v>573</v>
      </c>
      <c r="D75" s="63" t="s">
        <v>507</v>
      </c>
      <c r="E75" s="64" t="s">
        <v>690</v>
      </c>
      <c r="F75" s="69">
        <v>30003031602169</v>
      </c>
      <c r="G75" s="70" t="s">
        <v>526</v>
      </c>
      <c r="H75" s="72">
        <v>4000</v>
      </c>
      <c r="I75" s="72">
        <v>3000</v>
      </c>
      <c r="J75" s="9">
        <v>0</v>
      </c>
      <c r="K75" s="75">
        <v>1.05</v>
      </c>
      <c r="L75" s="9">
        <f t="shared" si="87"/>
        <v>3150</v>
      </c>
      <c r="M75" s="9"/>
      <c r="N75" s="9">
        <f t="shared" si="31"/>
        <v>30</v>
      </c>
      <c r="O75" s="9">
        <f t="shared" si="32"/>
        <v>0</v>
      </c>
      <c r="P75" s="10">
        <f t="shared" si="33"/>
        <v>133.33333333333334</v>
      </c>
      <c r="Q75" s="10">
        <f t="shared" si="34"/>
        <v>105</v>
      </c>
      <c r="R75" s="10">
        <f t="shared" si="41"/>
        <v>238.33333333333334</v>
      </c>
      <c r="S75" s="10">
        <f t="shared" si="35"/>
        <v>16.666666666666668</v>
      </c>
      <c r="T75" s="9">
        <v>28</v>
      </c>
      <c r="U75" s="9">
        <f t="shared" si="36"/>
        <v>466.66666666666669</v>
      </c>
      <c r="V75" s="9">
        <v>0</v>
      </c>
      <c r="W75" s="16">
        <f t="shared" si="88"/>
        <v>7616.666666666667</v>
      </c>
      <c r="X75" s="49">
        <v>0</v>
      </c>
      <c r="Y75" s="11">
        <f t="shared" si="37"/>
        <v>0</v>
      </c>
      <c r="Z75" s="38">
        <v>1</v>
      </c>
      <c r="AA75" s="11">
        <f t="shared" si="38"/>
        <v>133.33333333333334</v>
      </c>
      <c r="AB75" s="11">
        <v>0</v>
      </c>
      <c r="AC75" s="11">
        <f t="shared" si="89"/>
        <v>0</v>
      </c>
      <c r="AD75" s="12">
        <f t="shared" si="90"/>
        <v>133.33333333333334</v>
      </c>
      <c r="AE75" s="4">
        <f t="shared" si="91"/>
        <v>7483.3333333333339</v>
      </c>
      <c r="AF75" s="3">
        <f t="shared" si="39"/>
        <v>5384.6153846153848</v>
      </c>
      <c r="AG75" s="3">
        <f t="shared" si="46"/>
        <v>592.30769230769238</v>
      </c>
      <c r="AH75" s="1">
        <v>1744.6666666666699</v>
      </c>
      <c r="AI75" s="1">
        <f t="shared" si="47"/>
        <v>61756.307692307659</v>
      </c>
      <c r="AJ75" s="1">
        <f t="shared" si="48"/>
        <v>209.45384615384572</v>
      </c>
      <c r="AK75" s="3">
        <f t="shared" si="49"/>
        <v>3.7416666666666671</v>
      </c>
      <c r="AL75" s="4">
        <f t="shared" si="92"/>
        <v>6677.8301282051289</v>
      </c>
      <c r="AM75" s="3">
        <v>0</v>
      </c>
      <c r="AN75" s="4">
        <f t="shared" si="93"/>
        <v>6677.8301282051289</v>
      </c>
      <c r="AO75" s="1">
        <f t="shared" si="94"/>
        <v>1009.6153846153846</v>
      </c>
      <c r="AP75" s="41">
        <v>18</v>
      </c>
      <c r="AQ75" s="54">
        <f t="shared" si="95"/>
        <v>8492.9487179487187</v>
      </c>
    </row>
    <row r="76" spans="1:43" x14ac:dyDescent="0.35">
      <c r="A76" s="27" t="s">
        <v>196</v>
      </c>
      <c r="B76" s="44" t="s">
        <v>473</v>
      </c>
      <c r="C76" s="61" t="s">
        <v>559</v>
      </c>
      <c r="D76" s="63" t="s">
        <v>507</v>
      </c>
      <c r="E76" s="64" t="s">
        <v>691</v>
      </c>
      <c r="F76" s="69">
        <v>30309020102506</v>
      </c>
      <c r="G76" s="70" t="s">
        <v>526</v>
      </c>
      <c r="H76" s="72">
        <v>4000</v>
      </c>
      <c r="I76" s="72">
        <v>3000</v>
      </c>
      <c r="J76" s="9">
        <v>0</v>
      </c>
      <c r="K76" s="75">
        <v>1.05</v>
      </c>
      <c r="L76" s="9">
        <f t="shared" si="87"/>
        <v>3150</v>
      </c>
      <c r="M76" s="9"/>
      <c r="N76" s="9">
        <f t="shared" si="31"/>
        <v>30</v>
      </c>
      <c r="O76" s="9">
        <f t="shared" si="32"/>
        <v>0</v>
      </c>
      <c r="P76" s="10">
        <f t="shared" si="33"/>
        <v>133.33333333333334</v>
      </c>
      <c r="Q76" s="10">
        <f t="shared" si="34"/>
        <v>105</v>
      </c>
      <c r="R76" s="10">
        <f t="shared" si="41"/>
        <v>238.33333333333334</v>
      </c>
      <c r="S76" s="10">
        <f t="shared" si="35"/>
        <v>16.666666666666668</v>
      </c>
      <c r="T76" s="9">
        <v>12</v>
      </c>
      <c r="U76" s="9">
        <f t="shared" si="36"/>
        <v>200</v>
      </c>
      <c r="V76" s="9">
        <v>0</v>
      </c>
      <c r="W76" s="16">
        <f t="shared" si="88"/>
        <v>7350</v>
      </c>
      <c r="X76" s="49">
        <v>0</v>
      </c>
      <c r="Y76" s="11">
        <f t="shared" si="37"/>
        <v>0</v>
      </c>
      <c r="Z76" s="38">
        <v>2</v>
      </c>
      <c r="AA76" s="11">
        <f t="shared" si="38"/>
        <v>266.66666666666669</v>
      </c>
      <c r="AB76" s="11">
        <v>0</v>
      </c>
      <c r="AC76" s="11">
        <f t="shared" si="89"/>
        <v>0</v>
      </c>
      <c r="AD76" s="12">
        <f t="shared" si="90"/>
        <v>266.66666666666669</v>
      </c>
      <c r="AE76" s="4">
        <f t="shared" si="91"/>
        <v>7083.333333333333</v>
      </c>
      <c r="AF76" s="3">
        <f t="shared" si="39"/>
        <v>5384.6153846153848</v>
      </c>
      <c r="AG76" s="3">
        <f t="shared" si="46"/>
        <v>592.30769230769238</v>
      </c>
      <c r="AH76" s="1">
        <v>1745.6666666666699</v>
      </c>
      <c r="AI76" s="1">
        <f t="shared" si="47"/>
        <v>56944.307692307651</v>
      </c>
      <c r="AJ76" s="1">
        <f t="shared" si="48"/>
        <v>149.30384615384563</v>
      </c>
      <c r="AK76" s="3">
        <f t="shared" si="49"/>
        <v>3.5416666666666665</v>
      </c>
      <c r="AL76" s="4">
        <f t="shared" si="92"/>
        <v>6338.1801282051283</v>
      </c>
      <c r="AM76" s="3">
        <v>0</v>
      </c>
      <c r="AN76" s="4">
        <f t="shared" si="93"/>
        <v>6338.1801282051283</v>
      </c>
      <c r="AO76" s="1">
        <f t="shared" si="94"/>
        <v>1009.6153846153846</v>
      </c>
      <c r="AP76" s="41">
        <v>18</v>
      </c>
      <c r="AQ76" s="54">
        <f t="shared" si="95"/>
        <v>8092.9487179487178</v>
      </c>
    </row>
    <row r="77" spans="1:43" x14ac:dyDescent="0.35">
      <c r="A77" s="27" t="s">
        <v>196</v>
      </c>
      <c r="B77" s="44" t="s">
        <v>474</v>
      </c>
      <c r="C77" s="61" t="s">
        <v>323</v>
      </c>
      <c r="D77" s="63" t="s">
        <v>507</v>
      </c>
      <c r="E77" s="64" t="s">
        <v>315</v>
      </c>
      <c r="F77" s="69">
        <v>30112272100346</v>
      </c>
      <c r="G77" s="70" t="s">
        <v>526</v>
      </c>
      <c r="H77" s="72">
        <v>4000</v>
      </c>
      <c r="I77" s="72">
        <v>3000</v>
      </c>
      <c r="J77" s="9">
        <v>0</v>
      </c>
      <c r="K77" s="75">
        <v>1.05</v>
      </c>
      <c r="L77" s="9">
        <f t="shared" si="87"/>
        <v>3150</v>
      </c>
      <c r="M77" s="9"/>
      <c r="N77" s="9">
        <f t="shared" si="31"/>
        <v>30</v>
      </c>
      <c r="O77" s="9">
        <f t="shared" si="32"/>
        <v>0</v>
      </c>
      <c r="P77" s="10">
        <f t="shared" si="33"/>
        <v>133.33333333333334</v>
      </c>
      <c r="Q77" s="10">
        <f t="shared" si="34"/>
        <v>105</v>
      </c>
      <c r="R77" s="10">
        <f t="shared" si="41"/>
        <v>238.33333333333334</v>
      </c>
      <c r="S77" s="10">
        <f t="shared" si="35"/>
        <v>16.666666666666668</v>
      </c>
      <c r="T77" s="9">
        <v>28</v>
      </c>
      <c r="U77" s="9">
        <f t="shared" si="36"/>
        <v>466.66666666666669</v>
      </c>
      <c r="V77" s="9">
        <v>0</v>
      </c>
      <c r="W77" s="16">
        <f t="shared" si="88"/>
        <v>7616.666666666667</v>
      </c>
      <c r="X77" s="49">
        <v>0</v>
      </c>
      <c r="Y77" s="11">
        <f t="shared" si="37"/>
        <v>0</v>
      </c>
      <c r="Z77" s="38">
        <v>2</v>
      </c>
      <c r="AA77" s="11">
        <f t="shared" si="38"/>
        <v>266.66666666666669</v>
      </c>
      <c r="AB77" s="11">
        <v>0</v>
      </c>
      <c r="AC77" s="11">
        <f t="shared" si="89"/>
        <v>0</v>
      </c>
      <c r="AD77" s="12">
        <f t="shared" si="90"/>
        <v>266.66666666666669</v>
      </c>
      <c r="AE77" s="4">
        <f t="shared" si="91"/>
        <v>7350</v>
      </c>
      <c r="AF77" s="3">
        <f t="shared" si="39"/>
        <v>5384.6153846153848</v>
      </c>
      <c r="AG77" s="3">
        <f t="shared" si="46"/>
        <v>592.30769230769238</v>
      </c>
      <c r="AH77" s="1">
        <v>1746.6666666666699</v>
      </c>
      <c r="AI77" s="1">
        <f t="shared" si="47"/>
        <v>60132.307692307659</v>
      </c>
      <c r="AJ77" s="1">
        <f t="shared" si="48"/>
        <v>189.15384615384573</v>
      </c>
      <c r="AK77" s="3">
        <f t="shared" si="49"/>
        <v>3.6750000000000003</v>
      </c>
      <c r="AL77" s="4">
        <f t="shared" si="92"/>
        <v>6564.8634615384617</v>
      </c>
      <c r="AM77" s="3">
        <v>0</v>
      </c>
      <c r="AN77" s="4">
        <f t="shared" si="93"/>
        <v>6564.8634615384617</v>
      </c>
      <c r="AO77" s="1">
        <f t="shared" si="94"/>
        <v>1009.6153846153846</v>
      </c>
      <c r="AP77" s="41">
        <v>4</v>
      </c>
      <c r="AQ77" s="54">
        <f t="shared" si="95"/>
        <v>8359.6153846153848</v>
      </c>
    </row>
    <row r="78" spans="1:43" x14ac:dyDescent="0.35">
      <c r="A78" s="27" t="s">
        <v>196</v>
      </c>
      <c r="B78" s="44" t="s">
        <v>475</v>
      </c>
      <c r="C78" s="61" t="s">
        <v>287</v>
      </c>
      <c r="D78" s="63" t="s">
        <v>507</v>
      </c>
      <c r="E78" s="64" t="s">
        <v>239</v>
      </c>
      <c r="F78" s="69" t="s">
        <v>38</v>
      </c>
      <c r="G78" s="70" t="s">
        <v>526</v>
      </c>
      <c r="H78" s="72">
        <v>4000</v>
      </c>
      <c r="I78" s="72">
        <v>3000</v>
      </c>
      <c r="J78" s="9">
        <v>0</v>
      </c>
      <c r="K78" s="75">
        <v>1.05</v>
      </c>
      <c r="L78" s="9">
        <f t="shared" si="87"/>
        <v>3150</v>
      </c>
      <c r="M78" s="9"/>
      <c r="N78" s="9">
        <f t="shared" si="31"/>
        <v>30</v>
      </c>
      <c r="O78" s="9">
        <f t="shared" si="32"/>
        <v>0</v>
      </c>
      <c r="P78" s="10">
        <f t="shared" si="33"/>
        <v>133.33333333333334</v>
      </c>
      <c r="Q78" s="10">
        <f t="shared" si="34"/>
        <v>105</v>
      </c>
      <c r="R78" s="10">
        <f t="shared" si="41"/>
        <v>238.33333333333334</v>
      </c>
      <c r="S78" s="10">
        <f t="shared" si="35"/>
        <v>16.666666666666668</v>
      </c>
      <c r="T78" s="9">
        <v>12</v>
      </c>
      <c r="U78" s="9">
        <f t="shared" si="36"/>
        <v>200</v>
      </c>
      <c r="V78" s="9">
        <v>0</v>
      </c>
      <c r="W78" s="16">
        <f t="shared" si="88"/>
        <v>7350</v>
      </c>
      <c r="X78" s="49">
        <v>0</v>
      </c>
      <c r="Y78" s="11">
        <f t="shared" si="37"/>
        <v>0</v>
      </c>
      <c r="Z78" s="38">
        <v>0</v>
      </c>
      <c r="AA78" s="11">
        <f t="shared" si="38"/>
        <v>0</v>
      </c>
      <c r="AB78" s="11">
        <v>0</v>
      </c>
      <c r="AC78" s="11">
        <f t="shared" si="89"/>
        <v>0</v>
      </c>
      <c r="AD78" s="12">
        <f t="shared" si="90"/>
        <v>0</v>
      </c>
      <c r="AE78" s="4">
        <f t="shared" si="91"/>
        <v>7350</v>
      </c>
      <c r="AF78" s="3">
        <f t="shared" si="39"/>
        <v>5384.6153846153848</v>
      </c>
      <c r="AG78" s="3">
        <f t="shared" si="46"/>
        <v>592.30769230769238</v>
      </c>
      <c r="AH78" s="1">
        <v>1748.6666666666699</v>
      </c>
      <c r="AI78" s="1">
        <f t="shared" si="47"/>
        <v>60108.307692307659</v>
      </c>
      <c r="AJ78" s="1">
        <f t="shared" si="48"/>
        <v>188.85384615384575</v>
      </c>
      <c r="AK78" s="3">
        <f t="shared" si="49"/>
        <v>3.6750000000000003</v>
      </c>
      <c r="AL78" s="4">
        <f t="shared" si="92"/>
        <v>6565.1634615384619</v>
      </c>
      <c r="AM78" s="3">
        <v>0</v>
      </c>
      <c r="AN78" s="4">
        <f t="shared" si="93"/>
        <v>6565.1634615384619</v>
      </c>
      <c r="AO78" s="1">
        <f t="shared" si="94"/>
        <v>1009.6153846153846</v>
      </c>
      <c r="AP78" s="41">
        <v>14</v>
      </c>
      <c r="AQ78" s="54">
        <f t="shared" si="95"/>
        <v>8359.6153846153848</v>
      </c>
    </row>
    <row r="79" spans="1:43" x14ac:dyDescent="0.35">
      <c r="A79" s="27" t="s">
        <v>196</v>
      </c>
      <c r="B79" s="44" t="s">
        <v>476</v>
      </c>
      <c r="C79" s="61" t="s">
        <v>491</v>
      </c>
      <c r="D79" s="63" t="s">
        <v>507</v>
      </c>
      <c r="E79" s="64" t="s">
        <v>467</v>
      </c>
      <c r="F79" s="69">
        <v>29907282103944</v>
      </c>
      <c r="G79" s="70" t="s">
        <v>526</v>
      </c>
      <c r="H79" s="72">
        <v>4000</v>
      </c>
      <c r="I79" s="72">
        <v>3000</v>
      </c>
      <c r="J79" s="9">
        <v>0</v>
      </c>
      <c r="K79" s="75">
        <v>1.05</v>
      </c>
      <c r="L79" s="9">
        <f t="shared" si="87"/>
        <v>3150</v>
      </c>
      <c r="M79" s="9"/>
      <c r="N79" s="9">
        <f t="shared" si="31"/>
        <v>30</v>
      </c>
      <c r="O79" s="9">
        <f t="shared" si="32"/>
        <v>0</v>
      </c>
      <c r="P79" s="10">
        <f t="shared" si="33"/>
        <v>133.33333333333334</v>
      </c>
      <c r="Q79" s="10">
        <f t="shared" si="34"/>
        <v>105</v>
      </c>
      <c r="R79" s="10">
        <f t="shared" si="41"/>
        <v>238.33333333333334</v>
      </c>
      <c r="S79" s="10">
        <f t="shared" si="35"/>
        <v>16.666666666666668</v>
      </c>
      <c r="T79" s="9">
        <v>12</v>
      </c>
      <c r="U79" s="9">
        <f t="shared" si="36"/>
        <v>200</v>
      </c>
      <c r="V79" s="9">
        <v>0</v>
      </c>
      <c r="W79" s="16">
        <f t="shared" si="88"/>
        <v>7350</v>
      </c>
      <c r="X79" s="49">
        <v>0</v>
      </c>
      <c r="Y79" s="11">
        <f t="shared" si="37"/>
        <v>0</v>
      </c>
      <c r="Z79" s="38">
        <v>2</v>
      </c>
      <c r="AA79" s="11">
        <f t="shared" si="38"/>
        <v>266.66666666666669</v>
      </c>
      <c r="AB79" s="11">
        <v>0</v>
      </c>
      <c r="AC79" s="11">
        <f t="shared" si="89"/>
        <v>0</v>
      </c>
      <c r="AD79" s="12">
        <f t="shared" si="90"/>
        <v>266.66666666666669</v>
      </c>
      <c r="AE79" s="4">
        <f t="shared" si="91"/>
        <v>7083.333333333333</v>
      </c>
      <c r="AF79" s="3">
        <f t="shared" si="39"/>
        <v>5384.6153846153848</v>
      </c>
      <c r="AG79" s="3">
        <f t="shared" si="46"/>
        <v>592.30769230769238</v>
      </c>
      <c r="AH79" s="1">
        <v>1749.6666666666699</v>
      </c>
      <c r="AI79" s="1">
        <f t="shared" si="47"/>
        <v>56896.307692307651</v>
      </c>
      <c r="AJ79" s="1">
        <f t="shared" si="48"/>
        <v>148.70384615384566</v>
      </c>
      <c r="AK79" s="3">
        <f t="shared" si="49"/>
        <v>3.5416666666666665</v>
      </c>
      <c r="AL79" s="4">
        <f t="shared" si="92"/>
        <v>6338.7801282051278</v>
      </c>
      <c r="AM79" s="3">
        <v>0</v>
      </c>
      <c r="AN79" s="4">
        <f t="shared" si="93"/>
        <v>6338.7801282051278</v>
      </c>
      <c r="AO79" s="1">
        <f t="shared" si="94"/>
        <v>1009.6153846153846</v>
      </c>
      <c r="AP79" s="41">
        <v>15</v>
      </c>
      <c r="AQ79" s="54">
        <f t="shared" si="95"/>
        <v>8092.9487179487178</v>
      </c>
    </row>
    <row r="80" spans="1:43" x14ac:dyDescent="0.35">
      <c r="A80" s="27" t="s">
        <v>196</v>
      </c>
      <c r="B80" s="44" t="s">
        <v>581</v>
      </c>
      <c r="C80" s="61" t="s">
        <v>538</v>
      </c>
      <c r="D80" s="63" t="s">
        <v>507</v>
      </c>
      <c r="E80" s="64" t="s">
        <v>692</v>
      </c>
      <c r="F80" s="69">
        <v>30406050104258</v>
      </c>
      <c r="G80" s="70" t="s">
        <v>526</v>
      </c>
      <c r="H80" s="72">
        <v>4000</v>
      </c>
      <c r="I80" s="72">
        <v>3000</v>
      </c>
      <c r="J80" s="9">
        <v>0</v>
      </c>
      <c r="K80" s="75">
        <v>1.05</v>
      </c>
      <c r="L80" s="9">
        <f t="shared" si="87"/>
        <v>3150</v>
      </c>
      <c r="M80" s="9"/>
      <c r="N80" s="9">
        <f t="shared" si="31"/>
        <v>30</v>
      </c>
      <c r="O80" s="9">
        <f t="shared" si="32"/>
        <v>0</v>
      </c>
      <c r="P80" s="10">
        <f t="shared" si="33"/>
        <v>133.33333333333334</v>
      </c>
      <c r="Q80" s="10">
        <f t="shared" si="34"/>
        <v>105</v>
      </c>
      <c r="R80" s="10">
        <f t="shared" si="41"/>
        <v>238.33333333333334</v>
      </c>
      <c r="S80" s="10">
        <f t="shared" si="35"/>
        <v>16.666666666666668</v>
      </c>
      <c r="T80" s="9">
        <v>28</v>
      </c>
      <c r="U80" s="9">
        <f t="shared" si="36"/>
        <v>466.66666666666669</v>
      </c>
      <c r="V80" s="9">
        <v>0</v>
      </c>
      <c r="W80" s="16">
        <f t="shared" si="88"/>
        <v>7616.666666666667</v>
      </c>
      <c r="X80" s="49">
        <v>0</v>
      </c>
      <c r="Y80" s="11">
        <f t="shared" si="37"/>
        <v>0</v>
      </c>
      <c r="Z80" s="38">
        <v>0</v>
      </c>
      <c r="AA80" s="11">
        <f t="shared" si="38"/>
        <v>0</v>
      </c>
      <c r="AB80" s="11">
        <v>0</v>
      </c>
      <c r="AC80" s="11">
        <f t="shared" si="89"/>
        <v>0</v>
      </c>
      <c r="AD80" s="12">
        <f t="shared" si="90"/>
        <v>0</v>
      </c>
      <c r="AE80" s="4">
        <f t="shared" si="91"/>
        <v>7616.666666666667</v>
      </c>
      <c r="AF80" s="3">
        <f t="shared" si="39"/>
        <v>5384.6153846153848</v>
      </c>
      <c r="AG80" s="3">
        <f t="shared" si="46"/>
        <v>592.30769230769238</v>
      </c>
      <c r="AH80" s="1">
        <v>1750.6666666666699</v>
      </c>
      <c r="AI80" s="1">
        <f t="shared" si="47"/>
        <v>63284.307692307659</v>
      </c>
      <c r="AJ80" s="1">
        <f t="shared" si="48"/>
        <v>228.55384615384574</v>
      </c>
      <c r="AK80" s="3">
        <f t="shared" si="49"/>
        <v>3.8083333333333336</v>
      </c>
      <c r="AL80" s="4">
        <f t="shared" si="92"/>
        <v>6791.9967948717958</v>
      </c>
      <c r="AM80" s="3">
        <v>0</v>
      </c>
      <c r="AN80" s="4">
        <f t="shared" si="93"/>
        <v>6791.9967948717958</v>
      </c>
      <c r="AO80" s="1">
        <f t="shared" si="94"/>
        <v>1009.6153846153846</v>
      </c>
      <c r="AP80" s="41">
        <v>16</v>
      </c>
      <c r="AQ80" s="54">
        <f t="shared" si="95"/>
        <v>8626.2820512820508</v>
      </c>
    </row>
    <row r="81" spans="1:43" x14ac:dyDescent="0.35">
      <c r="A81" s="27" t="s">
        <v>196</v>
      </c>
      <c r="B81" s="44" t="s">
        <v>582</v>
      </c>
      <c r="C81" s="61" t="s">
        <v>301</v>
      </c>
      <c r="D81" s="63" t="s">
        <v>507</v>
      </c>
      <c r="E81" s="64" t="s">
        <v>693</v>
      </c>
      <c r="F81" s="69" t="s">
        <v>48</v>
      </c>
      <c r="G81" s="70" t="s">
        <v>526</v>
      </c>
      <c r="H81" s="72">
        <v>4000</v>
      </c>
      <c r="I81" s="72">
        <v>3000</v>
      </c>
      <c r="J81" s="9">
        <v>0</v>
      </c>
      <c r="K81" s="75">
        <v>1.05</v>
      </c>
      <c r="L81" s="9">
        <f t="shared" si="87"/>
        <v>3150</v>
      </c>
      <c r="M81" s="9"/>
      <c r="N81" s="9">
        <f t="shared" si="31"/>
        <v>30</v>
      </c>
      <c r="O81" s="9">
        <f t="shared" si="32"/>
        <v>0</v>
      </c>
      <c r="P81" s="10">
        <f t="shared" si="33"/>
        <v>133.33333333333334</v>
      </c>
      <c r="Q81" s="10">
        <f t="shared" si="34"/>
        <v>105</v>
      </c>
      <c r="R81" s="10">
        <f t="shared" si="41"/>
        <v>238.33333333333334</v>
      </c>
      <c r="S81" s="10">
        <f t="shared" si="35"/>
        <v>16.666666666666668</v>
      </c>
      <c r="T81" s="9">
        <v>12</v>
      </c>
      <c r="U81" s="9">
        <f t="shared" si="36"/>
        <v>200</v>
      </c>
      <c r="V81" s="9">
        <v>0</v>
      </c>
      <c r="W81" s="16">
        <f t="shared" si="88"/>
        <v>7350</v>
      </c>
      <c r="X81" s="49">
        <v>0</v>
      </c>
      <c r="Y81" s="11">
        <f t="shared" si="37"/>
        <v>0</v>
      </c>
      <c r="Z81" s="38">
        <v>0</v>
      </c>
      <c r="AA81" s="11">
        <f t="shared" si="38"/>
        <v>0</v>
      </c>
      <c r="AB81" s="11">
        <v>0</v>
      </c>
      <c r="AC81" s="11">
        <f t="shared" si="89"/>
        <v>0</v>
      </c>
      <c r="AD81" s="12">
        <f t="shared" si="90"/>
        <v>0</v>
      </c>
      <c r="AE81" s="4">
        <f t="shared" si="91"/>
        <v>7350</v>
      </c>
      <c r="AF81" s="3">
        <f t="shared" si="39"/>
        <v>5384.6153846153848</v>
      </c>
      <c r="AG81" s="3">
        <f t="shared" si="46"/>
        <v>592.30769230769238</v>
      </c>
      <c r="AH81" s="1">
        <v>1751.6666666666699</v>
      </c>
      <c r="AI81" s="1">
        <f t="shared" si="47"/>
        <v>60072.307692307659</v>
      </c>
      <c r="AJ81" s="1">
        <f t="shared" si="48"/>
        <v>188.40384615384573</v>
      </c>
      <c r="AK81" s="3">
        <f t="shared" si="49"/>
        <v>3.6750000000000003</v>
      </c>
      <c r="AL81" s="4">
        <f t="shared" si="92"/>
        <v>6565.6134615384617</v>
      </c>
      <c r="AM81" s="3">
        <v>0</v>
      </c>
      <c r="AN81" s="4">
        <f t="shared" si="93"/>
        <v>6565.6134615384617</v>
      </c>
      <c r="AO81" s="1">
        <f t="shared" si="94"/>
        <v>1009.6153846153846</v>
      </c>
      <c r="AP81" s="41">
        <v>9</v>
      </c>
      <c r="AQ81" s="54">
        <f t="shared" si="95"/>
        <v>8359.6153846153848</v>
      </c>
    </row>
    <row r="82" spans="1:43" x14ac:dyDescent="0.35">
      <c r="A82" s="27" t="s">
        <v>196</v>
      </c>
      <c r="B82" s="44" t="s">
        <v>583</v>
      </c>
      <c r="C82" s="61" t="s">
        <v>548</v>
      </c>
      <c r="D82" s="63" t="s">
        <v>507</v>
      </c>
      <c r="E82" s="64" t="s">
        <v>694</v>
      </c>
      <c r="F82" s="69">
        <v>30609042100217</v>
      </c>
      <c r="G82" s="70" t="s">
        <v>526</v>
      </c>
      <c r="H82" s="72">
        <v>4000</v>
      </c>
      <c r="I82" s="72">
        <v>3000</v>
      </c>
      <c r="J82" s="9">
        <v>0</v>
      </c>
      <c r="K82" s="75">
        <v>1.05</v>
      </c>
      <c r="L82" s="9">
        <f t="shared" ref="L82:L90" si="96">+I82*K82</f>
        <v>3150</v>
      </c>
      <c r="M82" s="9"/>
      <c r="N82" s="9">
        <f t="shared" si="31"/>
        <v>30</v>
      </c>
      <c r="O82" s="9">
        <f t="shared" si="32"/>
        <v>0</v>
      </c>
      <c r="P82" s="10">
        <f t="shared" si="33"/>
        <v>133.33333333333334</v>
      </c>
      <c r="Q82" s="10">
        <f t="shared" si="34"/>
        <v>105</v>
      </c>
      <c r="R82" s="10">
        <f t="shared" si="41"/>
        <v>238.33333333333334</v>
      </c>
      <c r="S82" s="10">
        <f t="shared" si="35"/>
        <v>16.666666666666668</v>
      </c>
      <c r="T82" s="9">
        <v>28</v>
      </c>
      <c r="U82" s="9">
        <f t="shared" si="36"/>
        <v>466.66666666666669</v>
      </c>
      <c r="V82" s="9">
        <v>0</v>
      </c>
      <c r="W82" s="16">
        <f t="shared" ref="W82:W90" si="97">H82+L82+U82+V82+J82</f>
        <v>7616.666666666667</v>
      </c>
      <c r="X82" s="49">
        <v>0</v>
      </c>
      <c r="Y82" s="11">
        <f t="shared" si="37"/>
        <v>0</v>
      </c>
      <c r="Z82" s="38">
        <v>2</v>
      </c>
      <c r="AA82" s="11">
        <f t="shared" si="38"/>
        <v>266.66666666666669</v>
      </c>
      <c r="AB82" s="11">
        <v>0</v>
      </c>
      <c r="AC82" s="11">
        <f t="shared" ref="AC82:AC90" si="98">Q82*AB82</f>
        <v>0</v>
      </c>
      <c r="AD82" s="12">
        <f t="shared" ref="AD82:AD90" si="99">Y82+AA82+AC82</f>
        <v>266.66666666666669</v>
      </c>
      <c r="AE82" s="4">
        <f t="shared" ref="AE82:AE90" si="100">W82-AD82</f>
        <v>7350</v>
      </c>
      <c r="AF82" s="3">
        <f t="shared" si="39"/>
        <v>5384.6153846153848</v>
      </c>
      <c r="AG82" s="3">
        <f t="shared" si="46"/>
        <v>592.30769230769238</v>
      </c>
      <c r="AH82" s="1">
        <v>1752.6666666666699</v>
      </c>
      <c r="AI82" s="1">
        <f t="shared" si="47"/>
        <v>60060.307692307659</v>
      </c>
      <c r="AJ82" s="1">
        <f t="shared" si="48"/>
        <v>188.25384615384573</v>
      </c>
      <c r="AK82" s="3">
        <f t="shared" si="49"/>
        <v>3.6750000000000003</v>
      </c>
      <c r="AL82" s="4">
        <f t="shared" ref="AL82:AL90" si="101">+AE82-AG82-AJ82-AK82</f>
        <v>6565.7634615384613</v>
      </c>
      <c r="AM82" s="3">
        <v>0</v>
      </c>
      <c r="AN82" s="4">
        <f t="shared" ref="AN82:AN90" si="102">+AL82-AM82</f>
        <v>6565.7634615384613</v>
      </c>
      <c r="AO82" s="1">
        <f t="shared" ref="AO82:AO90" si="103">+AF82*0.1875</f>
        <v>1009.6153846153846</v>
      </c>
      <c r="AP82" s="41">
        <v>16</v>
      </c>
      <c r="AQ82" s="54">
        <f t="shared" ref="AQ82:AQ90" si="104">AE82+AO82</f>
        <v>8359.6153846153848</v>
      </c>
    </row>
    <row r="83" spans="1:43" ht="16.75" customHeight="1" x14ac:dyDescent="0.35">
      <c r="A83" s="27" t="s">
        <v>196</v>
      </c>
      <c r="B83" s="44" t="s">
        <v>584</v>
      </c>
      <c r="C83" s="61" t="s">
        <v>570</v>
      </c>
      <c r="D83" s="63" t="s">
        <v>507</v>
      </c>
      <c r="E83" s="64" t="s">
        <v>695</v>
      </c>
      <c r="F83" s="69">
        <v>29406280101821</v>
      </c>
      <c r="G83" s="70" t="s">
        <v>526</v>
      </c>
      <c r="H83" s="72">
        <v>4000</v>
      </c>
      <c r="I83" s="72">
        <v>3000</v>
      </c>
      <c r="J83" s="9">
        <v>0</v>
      </c>
      <c r="K83" s="75">
        <v>1.05</v>
      </c>
      <c r="L83" s="9">
        <f t="shared" ref="L83:L89" si="105">+I83*K83</f>
        <v>3150</v>
      </c>
      <c r="M83" s="9"/>
      <c r="N83" s="9">
        <f t="shared" si="31"/>
        <v>30</v>
      </c>
      <c r="O83" s="9">
        <f t="shared" si="32"/>
        <v>0</v>
      </c>
      <c r="P83" s="10">
        <f t="shared" si="33"/>
        <v>133.33333333333334</v>
      </c>
      <c r="Q83" s="10">
        <f t="shared" si="34"/>
        <v>105</v>
      </c>
      <c r="R83" s="10">
        <f t="shared" si="41"/>
        <v>238.33333333333334</v>
      </c>
      <c r="S83" s="10">
        <f t="shared" si="35"/>
        <v>16.666666666666668</v>
      </c>
      <c r="T83" s="9">
        <v>28</v>
      </c>
      <c r="U83" s="9">
        <f t="shared" si="36"/>
        <v>466.66666666666669</v>
      </c>
      <c r="V83" s="9">
        <v>0</v>
      </c>
      <c r="W83" s="16">
        <f t="shared" ref="W83:W89" si="106">H83+L83+U83+V83+J83</f>
        <v>7616.666666666667</v>
      </c>
      <c r="X83" s="49">
        <v>0</v>
      </c>
      <c r="Y83" s="11">
        <f t="shared" si="37"/>
        <v>0</v>
      </c>
      <c r="Z83" s="38">
        <v>2</v>
      </c>
      <c r="AA83" s="11">
        <f t="shared" si="38"/>
        <v>266.66666666666669</v>
      </c>
      <c r="AB83" s="11">
        <v>0</v>
      </c>
      <c r="AC83" s="11">
        <f t="shared" ref="AC83:AC89" si="107">Q83*AB83</f>
        <v>0</v>
      </c>
      <c r="AD83" s="12">
        <f t="shared" ref="AD83:AD89" si="108">Y83+AA83+AC83</f>
        <v>266.66666666666669</v>
      </c>
      <c r="AE83" s="4">
        <f t="shared" ref="AE83:AE89" si="109">W83-AD83</f>
        <v>7350</v>
      </c>
      <c r="AF83" s="3">
        <f t="shared" si="39"/>
        <v>5384.6153846153848</v>
      </c>
      <c r="AG83" s="3">
        <f t="shared" si="46"/>
        <v>592.30769230769238</v>
      </c>
      <c r="AH83" s="1">
        <v>1753.6666666666699</v>
      </c>
      <c r="AI83" s="1">
        <f t="shared" si="47"/>
        <v>60048.307692307659</v>
      </c>
      <c r="AJ83" s="1">
        <f t="shared" si="48"/>
        <v>188.10384615384575</v>
      </c>
      <c r="AK83" s="3">
        <f t="shared" si="49"/>
        <v>3.6750000000000003</v>
      </c>
      <c r="AL83" s="4">
        <f t="shared" ref="AL83:AL89" si="110">+AE83-AG83-AJ83-AK83</f>
        <v>6565.9134615384619</v>
      </c>
      <c r="AM83" s="3">
        <v>0</v>
      </c>
      <c r="AN83" s="4">
        <f t="shared" ref="AN83:AN89" si="111">+AL83-AM83</f>
        <v>6565.9134615384619</v>
      </c>
      <c r="AO83" s="1">
        <f t="shared" ref="AO83:AO89" si="112">+AF83*0.1875</f>
        <v>1009.6153846153846</v>
      </c>
      <c r="AP83" s="41">
        <v>20</v>
      </c>
      <c r="AQ83" s="54">
        <f t="shared" ref="AQ83:AQ89" si="113">AE83+AO83</f>
        <v>8359.6153846153848</v>
      </c>
    </row>
    <row r="84" spans="1:43" ht="16.75" customHeight="1" x14ac:dyDescent="0.35">
      <c r="A84" s="27" t="s">
        <v>196</v>
      </c>
      <c r="B84" s="44" t="s">
        <v>585</v>
      </c>
      <c r="C84" s="61" t="s">
        <v>325</v>
      </c>
      <c r="D84" s="63" t="s">
        <v>507</v>
      </c>
      <c r="E84" s="64" t="s">
        <v>316</v>
      </c>
      <c r="F84" s="69">
        <v>30409070104865</v>
      </c>
      <c r="G84" s="70" t="s">
        <v>526</v>
      </c>
      <c r="H84" s="72">
        <v>4000</v>
      </c>
      <c r="I84" s="72">
        <v>3000</v>
      </c>
      <c r="J84" s="9">
        <v>0</v>
      </c>
      <c r="K84" s="75">
        <v>1.05</v>
      </c>
      <c r="L84" s="9">
        <f t="shared" ref="L84:L86" si="114">+I84*K84</f>
        <v>3150</v>
      </c>
      <c r="M84" s="9"/>
      <c r="N84" s="9">
        <f t="shared" si="31"/>
        <v>30</v>
      </c>
      <c r="O84" s="9">
        <f t="shared" si="32"/>
        <v>0</v>
      </c>
      <c r="P84" s="10">
        <f t="shared" si="33"/>
        <v>133.33333333333334</v>
      </c>
      <c r="Q84" s="10">
        <f t="shared" si="34"/>
        <v>105</v>
      </c>
      <c r="R84" s="10">
        <f t="shared" si="41"/>
        <v>238.33333333333334</v>
      </c>
      <c r="S84" s="10">
        <f t="shared" si="35"/>
        <v>16.666666666666668</v>
      </c>
      <c r="T84" s="9">
        <v>44</v>
      </c>
      <c r="U84" s="9">
        <f t="shared" si="36"/>
        <v>733.33333333333337</v>
      </c>
      <c r="V84" s="9">
        <v>0</v>
      </c>
      <c r="W84" s="16">
        <f t="shared" ref="W84:W86" si="115">H84+L84+U84+V84+J84</f>
        <v>7883.333333333333</v>
      </c>
      <c r="X84" s="49">
        <v>0</v>
      </c>
      <c r="Y84" s="11">
        <f t="shared" si="37"/>
        <v>0</v>
      </c>
      <c r="Z84" s="38">
        <v>0</v>
      </c>
      <c r="AA84" s="11">
        <f t="shared" si="38"/>
        <v>0</v>
      </c>
      <c r="AB84" s="11">
        <v>0</v>
      </c>
      <c r="AC84" s="11">
        <f t="shared" ref="AC84:AC86" si="116">Q84*AB84</f>
        <v>0</v>
      </c>
      <c r="AD84" s="12">
        <f t="shared" ref="AD84:AD86" si="117">Y84+AA84+AC84</f>
        <v>0</v>
      </c>
      <c r="AE84" s="4">
        <f t="shared" ref="AE84:AE86" si="118">W84-AD84</f>
        <v>7883.333333333333</v>
      </c>
      <c r="AF84" s="3">
        <f t="shared" si="39"/>
        <v>5384.6153846153848</v>
      </c>
      <c r="AG84" s="3">
        <f t="shared" si="46"/>
        <v>592.30769230769238</v>
      </c>
      <c r="AH84" s="1">
        <v>1754.6666666666699</v>
      </c>
      <c r="AI84" s="1">
        <f t="shared" si="47"/>
        <v>66436.307692307659</v>
      </c>
      <c r="AJ84" s="1">
        <f t="shared" si="48"/>
        <v>267.95384615384575</v>
      </c>
      <c r="AK84" s="3">
        <f t="shared" si="49"/>
        <v>3.9416666666666664</v>
      </c>
      <c r="AL84" s="4">
        <f t="shared" ref="AL84:AL86" si="119">+AE84-AG84-AJ84-AK84</f>
        <v>7019.1301282051281</v>
      </c>
      <c r="AM84" s="3">
        <v>0</v>
      </c>
      <c r="AN84" s="4">
        <f t="shared" ref="AN84:AN86" si="120">+AL84-AM84</f>
        <v>7019.1301282051281</v>
      </c>
      <c r="AO84" s="1">
        <f t="shared" ref="AO84:AO86" si="121">+AF84*0.1875</f>
        <v>1009.6153846153846</v>
      </c>
      <c r="AP84" s="41">
        <v>7</v>
      </c>
      <c r="AQ84" s="54">
        <f t="shared" ref="AQ84:AQ86" si="122">AE84+AO84</f>
        <v>8892.9487179487169</v>
      </c>
    </row>
    <row r="85" spans="1:43" ht="16.75" customHeight="1" x14ac:dyDescent="0.35">
      <c r="A85" s="27" t="s">
        <v>196</v>
      </c>
      <c r="B85" s="44" t="s">
        <v>586</v>
      </c>
      <c r="C85" s="61" t="s">
        <v>553</v>
      </c>
      <c r="D85" s="63" t="s">
        <v>507</v>
      </c>
      <c r="E85" s="64" t="s">
        <v>696</v>
      </c>
      <c r="F85" s="69">
        <v>29812252102721</v>
      </c>
      <c r="G85" s="70" t="s">
        <v>526</v>
      </c>
      <c r="H85" s="72">
        <v>4000</v>
      </c>
      <c r="I85" s="72">
        <v>3000</v>
      </c>
      <c r="J85" s="9">
        <v>0</v>
      </c>
      <c r="K85" s="75">
        <v>1.05</v>
      </c>
      <c r="L85" s="9">
        <f t="shared" si="114"/>
        <v>3150</v>
      </c>
      <c r="M85" s="9"/>
      <c r="N85" s="9">
        <f t="shared" si="31"/>
        <v>30</v>
      </c>
      <c r="O85" s="9">
        <f t="shared" si="32"/>
        <v>0</v>
      </c>
      <c r="P85" s="10">
        <f t="shared" si="33"/>
        <v>133.33333333333334</v>
      </c>
      <c r="Q85" s="10">
        <f t="shared" si="34"/>
        <v>105</v>
      </c>
      <c r="R85" s="10">
        <f t="shared" si="41"/>
        <v>238.33333333333334</v>
      </c>
      <c r="S85" s="10">
        <f t="shared" si="35"/>
        <v>16.666666666666668</v>
      </c>
      <c r="T85" s="9">
        <v>28</v>
      </c>
      <c r="U85" s="9">
        <f t="shared" si="36"/>
        <v>466.66666666666669</v>
      </c>
      <c r="V85" s="9">
        <v>0</v>
      </c>
      <c r="W85" s="16">
        <f t="shared" si="115"/>
        <v>7616.666666666667</v>
      </c>
      <c r="X85" s="49">
        <v>0</v>
      </c>
      <c r="Y85" s="11">
        <f t="shared" si="37"/>
        <v>0</v>
      </c>
      <c r="Z85" s="38">
        <v>0</v>
      </c>
      <c r="AA85" s="11">
        <f t="shared" si="38"/>
        <v>0</v>
      </c>
      <c r="AB85" s="11">
        <v>0</v>
      </c>
      <c r="AC85" s="11">
        <f t="shared" si="116"/>
        <v>0</v>
      </c>
      <c r="AD85" s="12">
        <f t="shared" si="117"/>
        <v>0</v>
      </c>
      <c r="AE85" s="4">
        <f t="shared" si="118"/>
        <v>7616.666666666667</v>
      </c>
      <c r="AF85" s="3">
        <f t="shared" si="39"/>
        <v>5384.6153846153848</v>
      </c>
      <c r="AG85" s="3">
        <f t="shared" si="46"/>
        <v>592.30769230769238</v>
      </c>
      <c r="AH85" s="1">
        <v>1755.6666666666699</v>
      </c>
      <c r="AI85" s="1">
        <f t="shared" si="47"/>
        <v>63224.307692307659</v>
      </c>
      <c r="AJ85" s="1">
        <f t="shared" si="48"/>
        <v>227.80384615384574</v>
      </c>
      <c r="AK85" s="3">
        <f t="shared" si="49"/>
        <v>3.8083333333333336</v>
      </c>
      <c r="AL85" s="4">
        <f t="shared" si="119"/>
        <v>6792.7467948717958</v>
      </c>
      <c r="AM85" s="3">
        <v>0</v>
      </c>
      <c r="AN85" s="4">
        <f t="shared" si="120"/>
        <v>6792.7467948717958</v>
      </c>
      <c r="AO85" s="1">
        <f t="shared" si="121"/>
        <v>1009.6153846153846</v>
      </c>
      <c r="AP85" s="41">
        <v>19</v>
      </c>
      <c r="AQ85" s="54">
        <f t="shared" si="122"/>
        <v>8626.2820512820508</v>
      </c>
    </row>
    <row r="86" spans="1:43" ht="16.75" customHeight="1" x14ac:dyDescent="0.35">
      <c r="A86" s="27" t="s">
        <v>196</v>
      </c>
      <c r="B86" s="44" t="s">
        <v>587</v>
      </c>
      <c r="C86" s="61" t="s">
        <v>288</v>
      </c>
      <c r="D86" s="63" t="s">
        <v>507</v>
      </c>
      <c r="E86" s="64" t="s">
        <v>240</v>
      </c>
      <c r="F86" s="69" t="s">
        <v>42</v>
      </c>
      <c r="G86" s="70" t="s">
        <v>526</v>
      </c>
      <c r="H86" s="72">
        <v>4000</v>
      </c>
      <c r="I86" s="72">
        <v>3000</v>
      </c>
      <c r="J86" s="9">
        <v>0</v>
      </c>
      <c r="K86" s="75">
        <v>1.05</v>
      </c>
      <c r="L86" s="9">
        <f t="shared" si="114"/>
        <v>3150</v>
      </c>
      <c r="M86" s="9"/>
      <c r="N86" s="9">
        <f t="shared" si="31"/>
        <v>30</v>
      </c>
      <c r="O86" s="9">
        <f t="shared" si="32"/>
        <v>0</v>
      </c>
      <c r="P86" s="10">
        <f t="shared" si="33"/>
        <v>133.33333333333334</v>
      </c>
      <c r="Q86" s="10">
        <f t="shared" si="34"/>
        <v>105</v>
      </c>
      <c r="R86" s="10">
        <f t="shared" si="41"/>
        <v>238.33333333333334</v>
      </c>
      <c r="S86" s="10">
        <f t="shared" si="35"/>
        <v>16.666666666666668</v>
      </c>
      <c r="T86" s="9">
        <v>28</v>
      </c>
      <c r="U86" s="9">
        <f t="shared" si="36"/>
        <v>466.66666666666669</v>
      </c>
      <c r="V86" s="9">
        <v>0</v>
      </c>
      <c r="W86" s="16">
        <f t="shared" si="115"/>
        <v>7616.666666666667</v>
      </c>
      <c r="X86" s="49">
        <v>0</v>
      </c>
      <c r="Y86" s="11">
        <f t="shared" si="37"/>
        <v>0</v>
      </c>
      <c r="Z86" s="38">
        <v>2</v>
      </c>
      <c r="AA86" s="11">
        <f t="shared" si="38"/>
        <v>266.66666666666669</v>
      </c>
      <c r="AB86" s="11">
        <v>0</v>
      </c>
      <c r="AC86" s="11">
        <f t="shared" si="116"/>
        <v>0</v>
      </c>
      <c r="AD86" s="12">
        <f t="shared" si="117"/>
        <v>266.66666666666669</v>
      </c>
      <c r="AE86" s="4">
        <f t="shared" si="118"/>
        <v>7350</v>
      </c>
      <c r="AF86" s="3">
        <f t="shared" si="39"/>
        <v>5384.6153846153848</v>
      </c>
      <c r="AG86" s="3">
        <f t="shared" si="46"/>
        <v>592.30769230769238</v>
      </c>
      <c r="AH86" s="1">
        <v>1756.6666666666699</v>
      </c>
      <c r="AI86" s="1">
        <f t="shared" si="47"/>
        <v>60012.307692307659</v>
      </c>
      <c r="AJ86" s="1">
        <f t="shared" si="48"/>
        <v>187.65384615384573</v>
      </c>
      <c r="AK86" s="3">
        <f t="shared" si="49"/>
        <v>3.6750000000000003</v>
      </c>
      <c r="AL86" s="4">
        <f t="shared" si="119"/>
        <v>6566.3634615384617</v>
      </c>
      <c r="AM86" s="3">
        <v>0</v>
      </c>
      <c r="AN86" s="4">
        <f t="shared" si="120"/>
        <v>6566.3634615384617</v>
      </c>
      <c r="AO86" s="1">
        <f t="shared" si="121"/>
        <v>1009.6153846153846</v>
      </c>
      <c r="AP86" s="41">
        <v>8</v>
      </c>
      <c r="AQ86" s="54">
        <f t="shared" si="122"/>
        <v>8359.6153846153848</v>
      </c>
    </row>
    <row r="87" spans="1:43" ht="16.75" customHeight="1" x14ac:dyDescent="0.35">
      <c r="A87" s="27" t="s">
        <v>196</v>
      </c>
      <c r="B87" s="44" t="s">
        <v>588</v>
      </c>
      <c r="C87" s="61" t="s">
        <v>289</v>
      </c>
      <c r="D87" s="63" t="s">
        <v>507</v>
      </c>
      <c r="E87" s="64" t="s">
        <v>241</v>
      </c>
      <c r="F87" s="69" t="s">
        <v>43</v>
      </c>
      <c r="G87" s="70" t="s">
        <v>526</v>
      </c>
      <c r="H87" s="72">
        <v>4000</v>
      </c>
      <c r="I87" s="72">
        <v>3000</v>
      </c>
      <c r="J87" s="9">
        <v>0</v>
      </c>
      <c r="K87" s="75">
        <v>1.05</v>
      </c>
      <c r="L87" s="9">
        <f t="shared" si="105"/>
        <v>3150</v>
      </c>
      <c r="M87" s="9"/>
      <c r="N87" s="9">
        <f t="shared" si="31"/>
        <v>30</v>
      </c>
      <c r="O87" s="9">
        <f t="shared" si="32"/>
        <v>0</v>
      </c>
      <c r="P87" s="10">
        <f t="shared" si="33"/>
        <v>133.33333333333334</v>
      </c>
      <c r="Q87" s="10">
        <f t="shared" si="34"/>
        <v>105</v>
      </c>
      <c r="R87" s="10">
        <f t="shared" si="41"/>
        <v>238.33333333333334</v>
      </c>
      <c r="S87" s="10">
        <f t="shared" si="35"/>
        <v>16.666666666666668</v>
      </c>
      <c r="T87" s="9">
        <v>12</v>
      </c>
      <c r="U87" s="9">
        <f t="shared" si="36"/>
        <v>200</v>
      </c>
      <c r="V87" s="9">
        <v>0</v>
      </c>
      <c r="W87" s="16">
        <f t="shared" si="106"/>
        <v>7350</v>
      </c>
      <c r="X87" s="49">
        <v>0</v>
      </c>
      <c r="Y87" s="11">
        <f t="shared" si="37"/>
        <v>0</v>
      </c>
      <c r="Z87" s="38">
        <v>0</v>
      </c>
      <c r="AA87" s="11">
        <f t="shared" si="38"/>
        <v>0</v>
      </c>
      <c r="AB87" s="11">
        <v>0</v>
      </c>
      <c r="AC87" s="11">
        <f t="shared" si="107"/>
        <v>0</v>
      </c>
      <c r="AD87" s="12">
        <f t="shared" si="108"/>
        <v>0</v>
      </c>
      <c r="AE87" s="4">
        <f t="shared" si="109"/>
        <v>7350</v>
      </c>
      <c r="AF87" s="3">
        <f t="shared" si="39"/>
        <v>5384.6153846153848</v>
      </c>
      <c r="AG87" s="3">
        <f t="shared" si="46"/>
        <v>592.30769230769238</v>
      </c>
      <c r="AH87" s="1">
        <v>1757.6666666666699</v>
      </c>
      <c r="AI87" s="1">
        <f t="shared" si="47"/>
        <v>60000.307692307659</v>
      </c>
      <c r="AJ87" s="1">
        <f t="shared" si="48"/>
        <v>187.50384615384573</v>
      </c>
      <c r="AK87" s="3">
        <f t="shared" si="49"/>
        <v>3.6750000000000003</v>
      </c>
      <c r="AL87" s="4">
        <f t="shared" si="110"/>
        <v>6566.5134615384613</v>
      </c>
      <c r="AM87" s="3">
        <v>0</v>
      </c>
      <c r="AN87" s="4">
        <f t="shared" si="111"/>
        <v>6566.5134615384613</v>
      </c>
      <c r="AO87" s="1">
        <f t="shared" si="112"/>
        <v>1009.6153846153846</v>
      </c>
      <c r="AP87" s="41">
        <v>13</v>
      </c>
      <c r="AQ87" s="54">
        <f t="shared" si="113"/>
        <v>8359.6153846153848</v>
      </c>
    </row>
    <row r="88" spans="1:43" ht="16.75" customHeight="1" x14ac:dyDescent="0.35">
      <c r="A88" s="27" t="s">
        <v>196</v>
      </c>
      <c r="B88" s="44" t="s">
        <v>589</v>
      </c>
      <c r="C88" s="61" t="s">
        <v>290</v>
      </c>
      <c r="D88" s="63" t="s">
        <v>507</v>
      </c>
      <c r="E88" s="64" t="s">
        <v>242</v>
      </c>
      <c r="F88" s="69" t="s">
        <v>243</v>
      </c>
      <c r="G88" s="70" t="s">
        <v>526</v>
      </c>
      <c r="H88" s="72">
        <v>4000</v>
      </c>
      <c r="I88" s="72">
        <v>3000</v>
      </c>
      <c r="J88" s="9">
        <v>0</v>
      </c>
      <c r="K88" s="75">
        <v>1.05</v>
      </c>
      <c r="L88" s="9">
        <f t="shared" ref="L88" si="123">+I88*K88</f>
        <v>3150</v>
      </c>
      <c r="M88" s="9"/>
      <c r="N88" s="9">
        <f t="shared" si="31"/>
        <v>30</v>
      </c>
      <c r="O88" s="9">
        <f t="shared" si="32"/>
        <v>0</v>
      </c>
      <c r="P88" s="10">
        <f t="shared" si="33"/>
        <v>133.33333333333334</v>
      </c>
      <c r="Q88" s="10">
        <f t="shared" si="34"/>
        <v>105</v>
      </c>
      <c r="R88" s="10">
        <f t="shared" si="41"/>
        <v>238.33333333333334</v>
      </c>
      <c r="S88" s="10">
        <f t="shared" si="35"/>
        <v>16.666666666666668</v>
      </c>
      <c r="T88" s="9">
        <v>28</v>
      </c>
      <c r="U88" s="9">
        <f t="shared" si="36"/>
        <v>466.66666666666669</v>
      </c>
      <c r="V88" s="9">
        <v>0</v>
      </c>
      <c r="W88" s="16">
        <f t="shared" ref="W88" si="124">H88+L88+U88+V88+J88</f>
        <v>7616.666666666667</v>
      </c>
      <c r="X88" s="49">
        <v>0</v>
      </c>
      <c r="Y88" s="11">
        <f t="shared" si="37"/>
        <v>0</v>
      </c>
      <c r="Z88" s="38">
        <v>0</v>
      </c>
      <c r="AA88" s="11">
        <f t="shared" si="38"/>
        <v>0</v>
      </c>
      <c r="AB88" s="11">
        <v>0</v>
      </c>
      <c r="AC88" s="11">
        <f t="shared" ref="AC88" si="125">Q88*AB88</f>
        <v>0</v>
      </c>
      <c r="AD88" s="12">
        <f t="shared" ref="AD88" si="126">Y88+AA88+AC88</f>
        <v>0</v>
      </c>
      <c r="AE88" s="4">
        <f t="shared" ref="AE88" si="127">W88-AD88</f>
        <v>7616.666666666667</v>
      </c>
      <c r="AF88" s="3">
        <f t="shared" si="39"/>
        <v>5384.6153846153848</v>
      </c>
      <c r="AG88" s="3">
        <f t="shared" si="46"/>
        <v>592.30769230769238</v>
      </c>
      <c r="AH88" s="1">
        <v>1758.6666666666699</v>
      </c>
      <c r="AI88" s="1">
        <f t="shared" si="47"/>
        <v>63188.307692307659</v>
      </c>
      <c r="AJ88" s="1">
        <f t="shared" si="48"/>
        <v>227.35384615384569</v>
      </c>
      <c r="AK88" s="3">
        <f t="shared" si="49"/>
        <v>3.8083333333333336</v>
      </c>
      <c r="AL88" s="4">
        <f t="shared" ref="AL88" si="128">+AE88-AG88-AJ88-AK88</f>
        <v>6793.1967948717956</v>
      </c>
      <c r="AM88" s="3">
        <v>0</v>
      </c>
      <c r="AN88" s="4">
        <f t="shared" ref="AN88" si="129">+AL88-AM88</f>
        <v>6793.1967948717956</v>
      </c>
      <c r="AO88" s="1">
        <f t="shared" ref="AO88" si="130">+AF88*0.1875</f>
        <v>1009.6153846153846</v>
      </c>
      <c r="AP88" s="41">
        <v>11</v>
      </c>
      <c r="AQ88" s="54">
        <f t="shared" ref="AQ88" si="131">AE88+AO88</f>
        <v>8626.2820512820508</v>
      </c>
    </row>
    <row r="89" spans="1:43" ht="16.75" customHeight="1" x14ac:dyDescent="0.35">
      <c r="A89" s="27" t="s">
        <v>196</v>
      </c>
      <c r="B89" s="44" t="s">
        <v>590</v>
      </c>
      <c r="C89" s="61" t="s">
        <v>291</v>
      </c>
      <c r="D89" s="63" t="s">
        <v>507</v>
      </c>
      <c r="E89" s="64" t="s">
        <v>244</v>
      </c>
      <c r="F89" s="69" t="s">
        <v>245</v>
      </c>
      <c r="G89" s="70" t="s">
        <v>526</v>
      </c>
      <c r="H89" s="72">
        <v>4000</v>
      </c>
      <c r="I89" s="72">
        <v>3000</v>
      </c>
      <c r="J89" s="9">
        <v>0</v>
      </c>
      <c r="K89" s="75">
        <v>1.05</v>
      </c>
      <c r="L89" s="9">
        <f t="shared" si="105"/>
        <v>3150</v>
      </c>
      <c r="M89" s="9"/>
      <c r="N89" s="9">
        <f t="shared" si="31"/>
        <v>30</v>
      </c>
      <c r="O89" s="9">
        <f t="shared" si="32"/>
        <v>0</v>
      </c>
      <c r="P89" s="10">
        <f t="shared" si="33"/>
        <v>133.33333333333334</v>
      </c>
      <c r="Q89" s="10">
        <f t="shared" si="34"/>
        <v>105</v>
      </c>
      <c r="R89" s="10">
        <f t="shared" si="41"/>
        <v>238.33333333333334</v>
      </c>
      <c r="S89" s="10">
        <f t="shared" si="35"/>
        <v>16.666666666666668</v>
      </c>
      <c r="T89" s="9">
        <v>28</v>
      </c>
      <c r="U89" s="9">
        <f t="shared" si="36"/>
        <v>466.66666666666669</v>
      </c>
      <c r="V89" s="9">
        <v>0</v>
      </c>
      <c r="W89" s="16">
        <f t="shared" si="106"/>
        <v>7616.666666666667</v>
      </c>
      <c r="X89" s="49">
        <v>0</v>
      </c>
      <c r="Y89" s="11">
        <f t="shared" si="37"/>
        <v>0</v>
      </c>
      <c r="Z89" s="38">
        <v>3</v>
      </c>
      <c r="AA89" s="11">
        <f t="shared" si="38"/>
        <v>400</v>
      </c>
      <c r="AB89" s="11">
        <v>0</v>
      </c>
      <c r="AC89" s="11">
        <f t="shared" si="107"/>
        <v>0</v>
      </c>
      <c r="AD89" s="12">
        <f t="shared" si="108"/>
        <v>400</v>
      </c>
      <c r="AE89" s="4">
        <f t="shared" si="109"/>
        <v>7216.666666666667</v>
      </c>
      <c r="AF89" s="3">
        <f t="shared" si="39"/>
        <v>5384.6153846153848</v>
      </c>
      <c r="AG89" s="3">
        <f t="shared" si="46"/>
        <v>592.30769230769238</v>
      </c>
      <c r="AH89" s="1">
        <v>1759.6666666666699</v>
      </c>
      <c r="AI89" s="1">
        <f t="shared" si="47"/>
        <v>58376.307692307659</v>
      </c>
      <c r="AJ89" s="1">
        <f t="shared" si="48"/>
        <v>167.20384615384572</v>
      </c>
      <c r="AK89" s="3">
        <f t="shared" si="49"/>
        <v>3.6083333333333334</v>
      </c>
      <c r="AL89" s="4">
        <f t="shared" si="110"/>
        <v>6453.5467948717951</v>
      </c>
      <c r="AM89" s="3">
        <v>0</v>
      </c>
      <c r="AN89" s="4">
        <f t="shared" si="111"/>
        <v>6453.5467948717951</v>
      </c>
      <c r="AO89" s="1">
        <f t="shared" si="112"/>
        <v>1009.6153846153846</v>
      </c>
      <c r="AP89" s="41">
        <v>10</v>
      </c>
      <c r="AQ89" s="54">
        <f t="shared" si="113"/>
        <v>8226.2820512820508</v>
      </c>
    </row>
    <row r="90" spans="1:43" ht="16.75" customHeight="1" x14ac:dyDescent="0.35">
      <c r="A90" s="27" t="s">
        <v>196</v>
      </c>
      <c r="B90" s="44" t="s">
        <v>591</v>
      </c>
      <c r="C90" s="61" t="s">
        <v>563</v>
      </c>
      <c r="D90" s="63" t="s">
        <v>507</v>
      </c>
      <c r="E90" s="64" t="s">
        <v>697</v>
      </c>
      <c r="F90" s="69">
        <v>29501232101707</v>
      </c>
      <c r="G90" s="70" t="s">
        <v>526</v>
      </c>
      <c r="H90" s="72">
        <v>4000</v>
      </c>
      <c r="I90" s="72">
        <v>3000</v>
      </c>
      <c r="J90" s="9">
        <v>0</v>
      </c>
      <c r="K90" s="75">
        <v>1.05</v>
      </c>
      <c r="L90" s="9">
        <f t="shared" si="96"/>
        <v>3150</v>
      </c>
      <c r="M90" s="9"/>
      <c r="N90" s="9">
        <f t="shared" si="31"/>
        <v>30</v>
      </c>
      <c r="O90" s="9">
        <f t="shared" si="32"/>
        <v>0</v>
      </c>
      <c r="P90" s="10">
        <f t="shared" si="33"/>
        <v>133.33333333333334</v>
      </c>
      <c r="Q90" s="10">
        <f t="shared" si="34"/>
        <v>105</v>
      </c>
      <c r="R90" s="10">
        <f t="shared" si="41"/>
        <v>238.33333333333334</v>
      </c>
      <c r="S90" s="10">
        <f t="shared" si="35"/>
        <v>16.666666666666668</v>
      </c>
      <c r="T90" s="9">
        <v>44</v>
      </c>
      <c r="U90" s="9">
        <f t="shared" si="36"/>
        <v>733.33333333333337</v>
      </c>
      <c r="V90" s="9">
        <v>0</v>
      </c>
      <c r="W90" s="16">
        <f t="shared" si="97"/>
        <v>7883.333333333333</v>
      </c>
      <c r="X90" s="49">
        <v>0</v>
      </c>
      <c r="Y90" s="11">
        <f t="shared" si="37"/>
        <v>0</v>
      </c>
      <c r="Z90" s="38">
        <v>0</v>
      </c>
      <c r="AA90" s="11">
        <f t="shared" si="38"/>
        <v>0</v>
      </c>
      <c r="AB90" s="11">
        <v>0</v>
      </c>
      <c r="AC90" s="11">
        <f t="shared" si="98"/>
        <v>0</v>
      </c>
      <c r="AD90" s="12">
        <f t="shared" si="99"/>
        <v>0</v>
      </c>
      <c r="AE90" s="4">
        <f t="shared" si="100"/>
        <v>7883.333333333333</v>
      </c>
      <c r="AF90" s="3">
        <f t="shared" si="39"/>
        <v>5384.6153846153848</v>
      </c>
      <c r="AG90" s="3">
        <f t="shared" si="46"/>
        <v>592.30769230769238</v>
      </c>
      <c r="AH90" s="1">
        <v>1760.6666666666699</v>
      </c>
      <c r="AI90" s="1">
        <f t="shared" si="47"/>
        <v>66364.307692307659</v>
      </c>
      <c r="AJ90" s="1">
        <f t="shared" si="48"/>
        <v>267.05384615384577</v>
      </c>
      <c r="AK90" s="3">
        <f t="shared" si="49"/>
        <v>3.9416666666666664</v>
      </c>
      <c r="AL90" s="4">
        <f t="shared" si="101"/>
        <v>7020.0301282051287</v>
      </c>
      <c r="AM90" s="3">
        <v>0</v>
      </c>
      <c r="AN90" s="4">
        <f t="shared" si="102"/>
        <v>7020.0301282051287</v>
      </c>
      <c r="AO90" s="1">
        <f t="shared" si="103"/>
        <v>1009.6153846153846</v>
      </c>
      <c r="AP90" s="41">
        <v>17</v>
      </c>
      <c r="AQ90" s="54">
        <f t="shared" si="104"/>
        <v>8892.9487179487169</v>
      </c>
    </row>
    <row r="91" spans="1:43" ht="16.75" customHeight="1" x14ac:dyDescent="0.35">
      <c r="A91" s="27" t="s">
        <v>196</v>
      </c>
      <c r="B91" s="44" t="s">
        <v>592</v>
      </c>
      <c r="C91" s="61" t="s">
        <v>292</v>
      </c>
      <c r="D91" s="63" t="s">
        <v>507</v>
      </c>
      <c r="E91" s="64" t="s">
        <v>246</v>
      </c>
      <c r="F91" s="69" t="s">
        <v>41</v>
      </c>
      <c r="G91" s="70" t="s">
        <v>526</v>
      </c>
      <c r="H91" s="72">
        <v>4000</v>
      </c>
      <c r="I91" s="72">
        <v>3000</v>
      </c>
      <c r="J91" s="9">
        <v>0</v>
      </c>
      <c r="K91" s="75">
        <v>1.05</v>
      </c>
      <c r="L91" s="9">
        <f t="shared" si="87"/>
        <v>3150</v>
      </c>
      <c r="M91" s="9"/>
      <c r="N91" s="9">
        <f t="shared" si="31"/>
        <v>30</v>
      </c>
      <c r="O91" s="9">
        <f t="shared" si="32"/>
        <v>0</v>
      </c>
      <c r="P91" s="10">
        <f t="shared" si="33"/>
        <v>133.33333333333334</v>
      </c>
      <c r="Q91" s="10">
        <f t="shared" si="34"/>
        <v>105</v>
      </c>
      <c r="R91" s="10">
        <f t="shared" si="41"/>
        <v>238.33333333333334</v>
      </c>
      <c r="S91" s="10">
        <f t="shared" si="35"/>
        <v>16.666666666666668</v>
      </c>
      <c r="T91" s="9">
        <v>28</v>
      </c>
      <c r="U91" s="9">
        <f t="shared" si="36"/>
        <v>466.66666666666669</v>
      </c>
      <c r="V91" s="9">
        <v>0</v>
      </c>
      <c r="W91" s="16">
        <f t="shared" si="88"/>
        <v>7616.666666666667</v>
      </c>
      <c r="X91" s="49">
        <v>0</v>
      </c>
      <c r="Y91" s="11">
        <f t="shared" si="37"/>
        <v>0</v>
      </c>
      <c r="Z91" s="38">
        <v>0</v>
      </c>
      <c r="AA91" s="11">
        <f t="shared" si="38"/>
        <v>0</v>
      </c>
      <c r="AB91" s="11">
        <v>0</v>
      </c>
      <c r="AC91" s="11">
        <f t="shared" si="89"/>
        <v>0</v>
      </c>
      <c r="AD91" s="12">
        <f t="shared" si="90"/>
        <v>0</v>
      </c>
      <c r="AE91" s="4">
        <f t="shared" si="91"/>
        <v>7616.666666666667</v>
      </c>
      <c r="AF91" s="3">
        <f t="shared" si="39"/>
        <v>5384.6153846153848</v>
      </c>
      <c r="AG91" s="3">
        <f t="shared" si="46"/>
        <v>592.30769230769238</v>
      </c>
      <c r="AH91" s="1">
        <v>1761.6666666666699</v>
      </c>
      <c r="AI91" s="1">
        <f t="shared" si="47"/>
        <v>63152.307692307659</v>
      </c>
      <c r="AJ91" s="1">
        <f t="shared" si="48"/>
        <v>226.90384615384573</v>
      </c>
      <c r="AK91" s="3">
        <f t="shared" si="49"/>
        <v>3.8083333333333336</v>
      </c>
      <c r="AL91" s="4">
        <f t="shared" si="92"/>
        <v>6793.6467948717955</v>
      </c>
      <c r="AM91" s="3">
        <v>0</v>
      </c>
      <c r="AN91" s="4">
        <f t="shared" si="93"/>
        <v>6793.6467948717955</v>
      </c>
      <c r="AO91" s="1">
        <f t="shared" si="94"/>
        <v>1009.6153846153846</v>
      </c>
      <c r="AP91" s="41">
        <v>11</v>
      </c>
      <c r="AQ91" s="54">
        <f t="shared" si="95"/>
        <v>8626.2820512820508</v>
      </c>
    </row>
    <row r="92" spans="1:43" x14ac:dyDescent="0.35">
      <c r="A92" s="27" t="s">
        <v>196</v>
      </c>
      <c r="B92" s="44" t="s">
        <v>593</v>
      </c>
      <c r="C92" s="61" t="s">
        <v>540</v>
      </c>
      <c r="D92" s="63" t="s">
        <v>507</v>
      </c>
      <c r="E92" s="64" t="s">
        <v>698</v>
      </c>
      <c r="F92" s="69">
        <v>29605282100353</v>
      </c>
      <c r="G92" s="70" t="s">
        <v>526</v>
      </c>
      <c r="H92" s="72">
        <v>4000</v>
      </c>
      <c r="I92" s="72">
        <v>3000</v>
      </c>
      <c r="J92" s="9">
        <v>0</v>
      </c>
      <c r="K92" s="75">
        <v>1.05</v>
      </c>
      <c r="L92" s="9">
        <f t="shared" si="78"/>
        <v>3150</v>
      </c>
      <c r="M92" s="9"/>
      <c r="N92" s="9">
        <f t="shared" si="31"/>
        <v>30</v>
      </c>
      <c r="O92" s="9">
        <f t="shared" si="32"/>
        <v>0</v>
      </c>
      <c r="P92" s="10">
        <f t="shared" si="33"/>
        <v>133.33333333333334</v>
      </c>
      <c r="Q92" s="10">
        <f t="shared" si="34"/>
        <v>105</v>
      </c>
      <c r="R92" s="10">
        <f t="shared" si="41"/>
        <v>238.33333333333334</v>
      </c>
      <c r="S92" s="10">
        <f t="shared" si="35"/>
        <v>16.666666666666668</v>
      </c>
      <c r="T92" s="9">
        <v>28</v>
      </c>
      <c r="U92" s="9">
        <f t="shared" si="36"/>
        <v>466.66666666666669</v>
      </c>
      <c r="V92" s="9">
        <v>0</v>
      </c>
      <c r="W92" s="16">
        <f t="shared" si="79"/>
        <v>7616.666666666667</v>
      </c>
      <c r="X92" s="49">
        <v>0</v>
      </c>
      <c r="Y92" s="11">
        <f t="shared" si="37"/>
        <v>0</v>
      </c>
      <c r="Z92" s="38">
        <v>0</v>
      </c>
      <c r="AA92" s="11">
        <f t="shared" si="38"/>
        <v>0</v>
      </c>
      <c r="AB92" s="11">
        <v>0</v>
      </c>
      <c r="AC92" s="11">
        <f t="shared" si="80"/>
        <v>0</v>
      </c>
      <c r="AD92" s="12">
        <f t="shared" si="81"/>
        <v>0</v>
      </c>
      <c r="AE92" s="4">
        <f t="shared" si="82"/>
        <v>7616.666666666667</v>
      </c>
      <c r="AF92" s="3">
        <f t="shared" si="39"/>
        <v>5384.6153846153848</v>
      </c>
      <c r="AG92" s="3">
        <f t="shared" si="46"/>
        <v>592.30769230769238</v>
      </c>
      <c r="AH92" s="1">
        <v>1762.6666666666699</v>
      </c>
      <c r="AI92" s="1">
        <f t="shared" si="47"/>
        <v>63140.307692307659</v>
      </c>
      <c r="AJ92" s="1">
        <f t="shared" si="48"/>
        <v>226.75384615384573</v>
      </c>
      <c r="AK92" s="3">
        <f t="shared" si="49"/>
        <v>3.8083333333333336</v>
      </c>
      <c r="AL92" s="4">
        <f t="shared" si="83"/>
        <v>6793.7967948717951</v>
      </c>
      <c r="AM92" s="3">
        <v>0</v>
      </c>
      <c r="AN92" s="4">
        <f t="shared" si="84"/>
        <v>6793.7967948717951</v>
      </c>
      <c r="AO92" s="1">
        <f t="shared" si="85"/>
        <v>1009.6153846153846</v>
      </c>
      <c r="AP92" s="41">
        <v>18</v>
      </c>
      <c r="AQ92" s="54">
        <f t="shared" si="86"/>
        <v>8626.2820512820508</v>
      </c>
    </row>
    <row r="93" spans="1:43" x14ac:dyDescent="0.35">
      <c r="A93" s="27" t="s">
        <v>196</v>
      </c>
      <c r="B93" s="44" t="s">
        <v>594</v>
      </c>
      <c r="C93" s="61" t="s">
        <v>554</v>
      </c>
      <c r="D93" s="63" t="s">
        <v>507</v>
      </c>
      <c r="E93" s="64" t="s">
        <v>699</v>
      </c>
      <c r="F93" s="69">
        <v>30411271402702</v>
      </c>
      <c r="G93" s="70" t="s">
        <v>526</v>
      </c>
      <c r="H93" s="72">
        <v>4000</v>
      </c>
      <c r="I93" s="72">
        <v>3000</v>
      </c>
      <c r="J93" s="9">
        <v>0</v>
      </c>
      <c r="K93" s="75">
        <v>1.05</v>
      </c>
      <c r="L93" s="9">
        <f t="shared" ref="L93" si="132">+I93*K93</f>
        <v>3150</v>
      </c>
      <c r="M93" s="9"/>
      <c r="N93" s="9">
        <f t="shared" si="31"/>
        <v>30</v>
      </c>
      <c r="O93" s="9">
        <f t="shared" si="32"/>
        <v>0</v>
      </c>
      <c r="P93" s="10">
        <f t="shared" si="33"/>
        <v>133.33333333333334</v>
      </c>
      <c r="Q93" s="10">
        <f t="shared" si="34"/>
        <v>105</v>
      </c>
      <c r="R93" s="10">
        <f t="shared" si="41"/>
        <v>238.33333333333334</v>
      </c>
      <c r="S93" s="10">
        <f t="shared" si="35"/>
        <v>16.666666666666668</v>
      </c>
      <c r="T93" s="9">
        <v>28</v>
      </c>
      <c r="U93" s="9">
        <f t="shared" si="36"/>
        <v>466.66666666666669</v>
      </c>
      <c r="V93" s="9">
        <v>0</v>
      </c>
      <c r="W93" s="16">
        <f t="shared" ref="W93" si="133">H93+L93+U93+V93+J93</f>
        <v>7616.666666666667</v>
      </c>
      <c r="X93" s="49">
        <v>0</v>
      </c>
      <c r="Y93" s="11">
        <f t="shared" si="37"/>
        <v>0</v>
      </c>
      <c r="Z93" s="38">
        <v>4</v>
      </c>
      <c r="AA93" s="11">
        <f t="shared" si="38"/>
        <v>533.33333333333337</v>
      </c>
      <c r="AB93" s="11">
        <v>0</v>
      </c>
      <c r="AC93" s="11">
        <f t="shared" ref="AC93" si="134">Q93*AB93</f>
        <v>0</v>
      </c>
      <c r="AD93" s="12">
        <f t="shared" ref="AD93" si="135">Y93+AA93+AC93</f>
        <v>533.33333333333337</v>
      </c>
      <c r="AE93" s="4">
        <f t="shared" ref="AE93" si="136">W93-AD93</f>
        <v>7083.3333333333339</v>
      </c>
      <c r="AF93" s="3">
        <f t="shared" si="39"/>
        <v>5384.6153846153848</v>
      </c>
      <c r="AG93" s="3">
        <f t="shared" si="46"/>
        <v>592.30769230769238</v>
      </c>
      <c r="AH93" s="1">
        <v>1763.6666666666699</v>
      </c>
      <c r="AI93" s="1">
        <f t="shared" si="47"/>
        <v>56728.307692307659</v>
      </c>
      <c r="AJ93" s="1">
        <f t="shared" si="48"/>
        <v>146.60384615384575</v>
      </c>
      <c r="AK93" s="3">
        <f t="shared" si="49"/>
        <v>3.541666666666667</v>
      </c>
      <c r="AL93" s="4">
        <f t="shared" ref="AL93" si="137">+AE93-AG93-AJ93-AK93</f>
        <v>6340.880128205129</v>
      </c>
      <c r="AM93" s="3">
        <v>0</v>
      </c>
      <c r="AN93" s="4">
        <f t="shared" ref="AN93" si="138">+AL93-AM93</f>
        <v>6340.880128205129</v>
      </c>
      <c r="AO93" s="1">
        <f t="shared" ref="AO93" si="139">+AF93*0.1875</f>
        <v>1009.6153846153846</v>
      </c>
      <c r="AP93" s="41">
        <v>17</v>
      </c>
      <c r="AQ93" s="54">
        <f t="shared" ref="AQ93" si="140">AE93+AO93</f>
        <v>8092.9487179487187</v>
      </c>
    </row>
    <row r="94" spans="1:43" x14ac:dyDescent="0.35">
      <c r="A94" s="27" t="s">
        <v>196</v>
      </c>
      <c r="B94" s="44" t="s">
        <v>595</v>
      </c>
      <c r="C94" s="61" t="s">
        <v>488</v>
      </c>
      <c r="D94" s="63" t="s">
        <v>507</v>
      </c>
      <c r="E94" s="64" t="s">
        <v>468</v>
      </c>
      <c r="F94" s="69">
        <v>30307272104169</v>
      </c>
      <c r="G94" s="70" t="s">
        <v>526</v>
      </c>
      <c r="H94" s="72">
        <v>4000</v>
      </c>
      <c r="I94" s="72">
        <v>3000</v>
      </c>
      <c r="J94" s="9">
        <v>0</v>
      </c>
      <c r="K94" s="75">
        <v>1.05</v>
      </c>
      <c r="L94" s="9">
        <f t="shared" si="78"/>
        <v>3150</v>
      </c>
      <c r="M94" s="9"/>
      <c r="N94" s="9">
        <f t="shared" si="31"/>
        <v>30</v>
      </c>
      <c r="O94" s="9">
        <f t="shared" si="32"/>
        <v>0</v>
      </c>
      <c r="P94" s="10">
        <f t="shared" si="33"/>
        <v>133.33333333333334</v>
      </c>
      <c r="Q94" s="10">
        <f t="shared" si="34"/>
        <v>105</v>
      </c>
      <c r="R94" s="10">
        <f t="shared" si="41"/>
        <v>238.33333333333334</v>
      </c>
      <c r="S94" s="10">
        <f t="shared" si="35"/>
        <v>16.666666666666668</v>
      </c>
      <c r="T94" s="9">
        <v>12</v>
      </c>
      <c r="U94" s="9">
        <f t="shared" si="36"/>
        <v>200</v>
      </c>
      <c r="V94" s="9">
        <v>0</v>
      </c>
      <c r="W94" s="16">
        <f t="shared" si="79"/>
        <v>7350</v>
      </c>
      <c r="X94" s="49">
        <v>0</v>
      </c>
      <c r="Y94" s="11">
        <f t="shared" si="37"/>
        <v>0</v>
      </c>
      <c r="Z94" s="38">
        <v>4</v>
      </c>
      <c r="AA94" s="11">
        <f t="shared" si="38"/>
        <v>533.33333333333337</v>
      </c>
      <c r="AB94" s="11">
        <v>0</v>
      </c>
      <c r="AC94" s="11">
        <f t="shared" si="80"/>
        <v>0</v>
      </c>
      <c r="AD94" s="12">
        <f t="shared" si="81"/>
        <v>533.33333333333337</v>
      </c>
      <c r="AE94" s="4">
        <f t="shared" si="82"/>
        <v>6816.666666666667</v>
      </c>
      <c r="AF94" s="3">
        <f t="shared" si="39"/>
        <v>5384.6153846153848</v>
      </c>
      <c r="AG94" s="3">
        <f t="shared" si="46"/>
        <v>592.30769230769238</v>
      </c>
      <c r="AH94" s="1">
        <v>1764.6666666666699</v>
      </c>
      <c r="AI94" s="1">
        <f t="shared" si="47"/>
        <v>53516.307692307659</v>
      </c>
      <c r="AJ94" s="1">
        <f t="shared" si="48"/>
        <v>112.63589743589716</v>
      </c>
      <c r="AK94" s="3">
        <f t="shared" si="49"/>
        <v>3.4083333333333337</v>
      </c>
      <c r="AL94" s="4">
        <f t="shared" si="83"/>
        <v>6108.3147435897436</v>
      </c>
      <c r="AM94" s="3">
        <v>0</v>
      </c>
      <c r="AN94" s="4">
        <f t="shared" si="84"/>
        <v>6108.3147435897436</v>
      </c>
      <c r="AO94" s="1">
        <f t="shared" si="85"/>
        <v>1009.6153846153846</v>
      </c>
      <c r="AP94" s="41">
        <v>6</v>
      </c>
      <c r="AQ94" s="54">
        <f t="shared" si="86"/>
        <v>7826.2820512820517</v>
      </c>
    </row>
    <row r="95" spans="1:43" x14ac:dyDescent="0.35">
      <c r="A95" s="27" t="s">
        <v>196</v>
      </c>
      <c r="B95" s="44" t="s">
        <v>596</v>
      </c>
      <c r="C95" s="61" t="s">
        <v>547</v>
      </c>
      <c r="D95" s="63" t="s">
        <v>507</v>
      </c>
      <c r="E95" s="64" t="s">
        <v>700</v>
      </c>
      <c r="F95" s="69">
        <v>29709222800283</v>
      </c>
      <c r="G95" s="70" t="s">
        <v>526</v>
      </c>
      <c r="H95" s="72">
        <v>4000</v>
      </c>
      <c r="I95" s="72">
        <v>3000</v>
      </c>
      <c r="J95" s="9">
        <v>0</v>
      </c>
      <c r="K95" s="75">
        <v>1.05</v>
      </c>
      <c r="L95" s="9">
        <f t="shared" si="69"/>
        <v>3150</v>
      </c>
      <c r="M95" s="9"/>
      <c r="N95" s="9">
        <f t="shared" si="31"/>
        <v>30</v>
      </c>
      <c r="O95" s="9">
        <f t="shared" si="32"/>
        <v>0</v>
      </c>
      <c r="P95" s="10">
        <f t="shared" si="33"/>
        <v>133.33333333333334</v>
      </c>
      <c r="Q95" s="10">
        <f t="shared" si="34"/>
        <v>105</v>
      </c>
      <c r="R95" s="10">
        <f t="shared" si="41"/>
        <v>238.33333333333334</v>
      </c>
      <c r="S95" s="10">
        <f t="shared" si="35"/>
        <v>16.666666666666668</v>
      </c>
      <c r="T95" s="9">
        <v>12</v>
      </c>
      <c r="U95" s="9">
        <f t="shared" si="36"/>
        <v>200</v>
      </c>
      <c r="V95" s="9">
        <v>0</v>
      </c>
      <c r="W95" s="16">
        <f t="shared" si="70"/>
        <v>7350</v>
      </c>
      <c r="X95" s="49">
        <v>0</v>
      </c>
      <c r="Y95" s="11">
        <f t="shared" si="37"/>
        <v>0</v>
      </c>
      <c r="Z95" s="38">
        <v>2</v>
      </c>
      <c r="AA95" s="11">
        <f t="shared" si="38"/>
        <v>266.66666666666669</v>
      </c>
      <c r="AB95" s="11">
        <v>0</v>
      </c>
      <c r="AC95" s="11">
        <f t="shared" si="71"/>
        <v>0</v>
      </c>
      <c r="AD95" s="12">
        <f t="shared" si="72"/>
        <v>266.66666666666669</v>
      </c>
      <c r="AE95" s="4">
        <f t="shared" si="73"/>
        <v>7083.333333333333</v>
      </c>
      <c r="AF95" s="3">
        <f t="shared" si="39"/>
        <v>5384.6153846153848</v>
      </c>
      <c r="AG95" s="3">
        <f t="shared" si="46"/>
        <v>592.30769230769238</v>
      </c>
      <c r="AH95" s="1">
        <v>1765.6666666666699</v>
      </c>
      <c r="AI95" s="1">
        <f t="shared" si="47"/>
        <v>56704.307692307651</v>
      </c>
      <c r="AJ95" s="1">
        <f t="shared" si="48"/>
        <v>146.30384615384563</v>
      </c>
      <c r="AK95" s="3">
        <f t="shared" si="49"/>
        <v>3.5416666666666665</v>
      </c>
      <c r="AL95" s="4">
        <f t="shared" si="74"/>
        <v>6341.1801282051283</v>
      </c>
      <c r="AM95" s="3">
        <v>0</v>
      </c>
      <c r="AN95" s="4">
        <f t="shared" si="75"/>
        <v>6341.1801282051283</v>
      </c>
      <c r="AO95" s="1">
        <f t="shared" si="76"/>
        <v>1009.6153846153846</v>
      </c>
      <c r="AP95" s="41">
        <v>20</v>
      </c>
      <c r="AQ95" s="54">
        <f t="shared" si="77"/>
        <v>8092.9487179487178</v>
      </c>
    </row>
    <row r="96" spans="1:43" x14ac:dyDescent="0.35">
      <c r="A96" s="27" t="s">
        <v>196</v>
      </c>
      <c r="B96" s="44" t="s">
        <v>597</v>
      </c>
      <c r="C96" s="61" t="s">
        <v>293</v>
      </c>
      <c r="D96" s="63" t="s">
        <v>507</v>
      </c>
      <c r="E96" s="64" t="s">
        <v>247</v>
      </c>
      <c r="F96" s="69" t="s">
        <v>45</v>
      </c>
      <c r="G96" s="70" t="s">
        <v>526</v>
      </c>
      <c r="H96" s="72">
        <v>4000</v>
      </c>
      <c r="I96" s="72">
        <v>3000</v>
      </c>
      <c r="J96" s="9">
        <v>0</v>
      </c>
      <c r="K96" s="75">
        <v>1.05</v>
      </c>
      <c r="L96" s="9">
        <f t="shared" ref="L96" si="141">+I96*K96</f>
        <v>3150</v>
      </c>
      <c r="M96" s="9"/>
      <c r="N96" s="9">
        <f t="shared" si="31"/>
        <v>30</v>
      </c>
      <c r="O96" s="9">
        <f t="shared" si="32"/>
        <v>0</v>
      </c>
      <c r="P96" s="10">
        <f t="shared" si="33"/>
        <v>133.33333333333334</v>
      </c>
      <c r="Q96" s="10">
        <f t="shared" si="34"/>
        <v>105</v>
      </c>
      <c r="R96" s="10">
        <f t="shared" si="41"/>
        <v>238.33333333333334</v>
      </c>
      <c r="S96" s="10">
        <f t="shared" si="35"/>
        <v>16.666666666666668</v>
      </c>
      <c r="T96" s="9">
        <v>44</v>
      </c>
      <c r="U96" s="9">
        <f t="shared" si="36"/>
        <v>733.33333333333337</v>
      </c>
      <c r="V96" s="9">
        <v>0</v>
      </c>
      <c r="W96" s="16">
        <f t="shared" ref="W96" si="142">H96+L96+U96+V96+J96</f>
        <v>7883.333333333333</v>
      </c>
      <c r="X96" s="49">
        <v>0</v>
      </c>
      <c r="Y96" s="11">
        <f t="shared" si="37"/>
        <v>0</v>
      </c>
      <c r="Z96" s="38">
        <v>0</v>
      </c>
      <c r="AA96" s="11">
        <f t="shared" si="38"/>
        <v>0</v>
      </c>
      <c r="AB96" s="11">
        <v>0</v>
      </c>
      <c r="AC96" s="11">
        <f t="shared" ref="AC96" si="143">Q96*AB96</f>
        <v>0</v>
      </c>
      <c r="AD96" s="12">
        <f t="shared" ref="AD96" si="144">Y96+AA96+AC96</f>
        <v>0</v>
      </c>
      <c r="AE96" s="4">
        <f t="shared" ref="AE96" si="145">W96-AD96</f>
        <v>7883.333333333333</v>
      </c>
      <c r="AF96" s="3">
        <f t="shared" si="39"/>
        <v>5384.6153846153848</v>
      </c>
      <c r="AG96" s="3">
        <f t="shared" si="46"/>
        <v>592.30769230769238</v>
      </c>
      <c r="AH96" s="1">
        <v>1766.6666666666699</v>
      </c>
      <c r="AI96" s="1">
        <f t="shared" si="47"/>
        <v>66292.307692307659</v>
      </c>
      <c r="AJ96" s="1">
        <f t="shared" si="48"/>
        <v>266.15384615384573</v>
      </c>
      <c r="AK96" s="3">
        <f t="shared" si="49"/>
        <v>3.9416666666666664</v>
      </c>
      <c r="AL96" s="4">
        <f t="shared" ref="AL96" si="146">+AE96-AG96-AJ96-AK96</f>
        <v>7020.9301282051283</v>
      </c>
      <c r="AM96" s="3">
        <v>0</v>
      </c>
      <c r="AN96" s="4">
        <f t="shared" ref="AN96" si="147">+AL96-AM96</f>
        <v>7020.9301282051283</v>
      </c>
      <c r="AO96" s="1">
        <f t="shared" ref="AO96" si="148">+AF96*0.1875</f>
        <v>1009.6153846153846</v>
      </c>
      <c r="AP96" s="41">
        <v>10</v>
      </c>
      <c r="AQ96" s="54">
        <f t="shared" ref="AQ96" si="149">AE96+AO96</f>
        <v>8892.9487179487169</v>
      </c>
    </row>
    <row r="97" spans="1:43" x14ac:dyDescent="0.35">
      <c r="A97" s="27" t="s">
        <v>196</v>
      </c>
      <c r="B97" s="44" t="s">
        <v>598</v>
      </c>
      <c r="C97" s="61" t="s">
        <v>305</v>
      </c>
      <c r="D97" s="63" t="s">
        <v>507</v>
      </c>
      <c r="E97" s="64" t="s">
        <v>197</v>
      </c>
      <c r="F97" s="69" t="s">
        <v>198</v>
      </c>
      <c r="G97" s="70" t="s">
        <v>529</v>
      </c>
      <c r="H97" s="72">
        <v>6000</v>
      </c>
      <c r="I97" s="72">
        <v>3000</v>
      </c>
      <c r="J97" s="9">
        <v>0</v>
      </c>
      <c r="K97" s="75">
        <v>1.05</v>
      </c>
      <c r="L97" s="9">
        <f t="shared" si="69"/>
        <v>3150</v>
      </c>
      <c r="M97" s="9"/>
      <c r="N97" s="9">
        <f t="shared" si="31"/>
        <v>30</v>
      </c>
      <c r="O97" s="9">
        <f t="shared" si="32"/>
        <v>0</v>
      </c>
      <c r="P97" s="10">
        <f t="shared" si="33"/>
        <v>200</v>
      </c>
      <c r="Q97" s="10">
        <f t="shared" si="34"/>
        <v>105</v>
      </c>
      <c r="R97" s="10">
        <f t="shared" si="41"/>
        <v>305</v>
      </c>
      <c r="S97" s="10">
        <f t="shared" si="35"/>
        <v>25</v>
      </c>
      <c r="T97" s="9">
        <v>28</v>
      </c>
      <c r="U97" s="9">
        <f t="shared" si="36"/>
        <v>700</v>
      </c>
      <c r="V97" s="9">
        <v>0</v>
      </c>
      <c r="W97" s="16">
        <f t="shared" si="70"/>
        <v>9850</v>
      </c>
      <c r="X97" s="49">
        <v>0</v>
      </c>
      <c r="Y97" s="11">
        <f t="shared" si="37"/>
        <v>0</v>
      </c>
      <c r="Z97" s="38">
        <v>0</v>
      </c>
      <c r="AA97" s="11">
        <f t="shared" si="38"/>
        <v>0</v>
      </c>
      <c r="AB97" s="11">
        <v>0</v>
      </c>
      <c r="AC97" s="11">
        <f t="shared" si="71"/>
        <v>0</v>
      </c>
      <c r="AD97" s="12">
        <f t="shared" si="72"/>
        <v>0</v>
      </c>
      <c r="AE97" s="4">
        <f t="shared" si="73"/>
        <v>9850</v>
      </c>
      <c r="AF97" s="3">
        <f t="shared" si="39"/>
        <v>5384.6153846153848</v>
      </c>
      <c r="AG97" s="3">
        <f t="shared" si="46"/>
        <v>592.30769230769238</v>
      </c>
      <c r="AH97" s="1">
        <v>1767.6666666666699</v>
      </c>
      <c r="AI97" s="1">
        <f t="shared" si="47"/>
        <v>89880.307692307659</v>
      </c>
      <c r="AJ97" s="1">
        <f t="shared" si="48"/>
        <v>643.83846153846105</v>
      </c>
      <c r="AK97" s="3">
        <f t="shared" si="49"/>
        <v>4.9249999999999998</v>
      </c>
      <c r="AL97" s="4">
        <f t="shared" si="74"/>
        <v>8608.928846153849</v>
      </c>
      <c r="AM97" s="3">
        <v>0</v>
      </c>
      <c r="AN97" s="4">
        <f t="shared" si="75"/>
        <v>8608.928846153849</v>
      </c>
      <c r="AO97" s="1">
        <f t="shared" si="76"/>
        <v>1009.6153846153846</v>
      </c>
      <c r="AP97" s="41">
        <v>7</v>
      </c>
      <c r="AQ97" s="54">
        <f t="shared" si="77"/>
        <v>10859.615384615385</v>
      </c>
    </row>
    <row r="98" spans="1:43" x14ac:dyDescent="0.35">
      <c r="A98" s="27" t="s">
        <v>196</v>
      </c>
      <c r="B98" s="44" t="s">
        <v>599</v>
      </c>
      <c r="C98" s="61" t="s">
        <v>555</v>
      </c>
      <c r="D98" s="63" t="s">
        <v>507</v>
      </c>
      <c r="E98" s="64" t="s">
        <v>701</v>
      </c>
      <c r="F98" s="69">
        <v>30405022402247</v>
      </c>
      <c r="G98" s="70" t="s">
        <v>526</v>
      </c>
      <c r="H98" s="72">
        <v>4000</v>
      </c>
      <c r="I98" s="72">
        <v>3000</v>
      </c>
      <c r="J98" s="9">
        <v>0</v>
      </c>
      <c r="K98" s="75">
        <v>1.05</v>
      </c>
      <c r="L98" s="9">
        <f t="shared" si="69"/>
        <v>3150</v>
      </c>
      <c r="M98" s="9"/>
      <c r="N98" s="9">
        <f t="shared" si="31"/>
        <v>30</v>
      </c>
      <c r="O98" s="9">
        <f t="shared" si="32"/>
        <v>0</v>
      </c>
      <c r="P98" s="10">
        <f t="shared" si="33"/>
        <v>133.33333333333334</v>
      </c>
      <c r="Q98" s="10">
        <f t="shared" si="34"/>
        <v>105</v>
      </c>
      <c r="R98" s="10">
        <f t="shared" si="41"/>
        <v>238.33333333333334</v>
      </c>
      <c r="S98" s="10">
        <f t="shared" si="35"/>
        <v>16.666666666666668</v>
      </c>
      <c r="T98" s="9">
        <v>28</v>
      </c>
      <c r="U98" s="9">
        <f t="shared" si="36"/>
        <v>466.66666666666669</v>
      </c>
      <c r="V98" s="9">
        <v>0</v>
      </c>
      <c r="W98" s="16">
        <f t="shared" si="70"/>
        <v>7616.666666666667</v>
      </c>
      <c r="X98" s="49">
        <v>0</v>
      </c>
      <c r="Y98" s="11">
        <f t="shared" si="37"/>
        <v>0</v>
      </c>
      <c r="Z98" s="38">
        <v>0</v>
      </c>
      <c r="AA98" s="11">
        <f t="shared" si="38"/>
        <v>0</v>
      </c>
      <c r="AB98" s="11">
        <v>0</v>
      </c>
      <c r="AC98" s="11">
        <f t="shared" si="71"/>
        <v>0</v>
      </c>
      <c r="AD98" s="12">
        <f t="shared" si="72"/>
        <v>0</v>
      </c>
      <c r="AE98" s="4">
        <f t="shared" si="73"/>
        <v>7616.666666666667</v>
      </c>
      <c r="AF98" s="3">
        <f t="shared" si="39"/>
        <v>5384.6153846153848</v>
      </c>
      <c r="AG98" s="3">
        <f t="shared" si="46"/>
        <v>592.30769230769238</v>
      </c>
      <c r="AH98" s="1">
        <v>1768.6666666666699</v>
      </c>
      <c r="AI98" s="1">
        <f t="shared" si="47"/>
        <v>63068.307692307659</v>
      </c>
      <c r="AJ98" s="1">
        <f t="shared" si="48"/>
        <v>225.85384615384569</v>
      </c>
      <c r="AK98" s="3">
        <f t="shared" si="49"/>
        <v>3.8083333333333336</v>
      </c>
      <c r="AL98" s="4">
        <f t="shared" si="74"/>
        <v>6794.6967948717956</v>
      </c>
      <c r="AM98" s="3">
        <v>0</v>
      </c>
      <c r="AN98" s="4">
        <f t="shared" si="75"/>
        <v>6794.6967948717956</v>
      </c>
      <c r="AO98" s="1">
        <f t="shared" si="76"/>
        <v>1009.6153846153846</v>
      </c>
      <c r="AP98" s="41">
        <v>16</v>
      </c>
      <c r="AQ98" s="54">
        <f t="shared" si="77"/>
        <v>8626.2820512820508</v>
      </c>
    </row>
    <row r="99" spans="1:43" x14ac:dyDescent="0.35">
      <c r="A99" s="27" t="s">
        <v>196</v>
      </c>
      <c r="B99" s="44" t="s">
        <v>600</v>
      </c>
      <c r="C99" s="61" t="s">
        <v>545</v>
      </c>
      <c r="D99" s="63" t="s">
        <v>507</v>
      </c>
      <c r="E99" s="64" t="s">
        <v>702</v>
      </c>
      <c r="F99" s="69">
        <v>30609100103469</v>
      </c>
      <c r="G99" s="70" t="s">
        <v>526</v>
      </c>
      <c r="H99" s="72">
        <v>4000</v>
      </c>
      <c r="I99" s="72">
        <v>3000</v>
      </c>
      <c r="J99" s="9">
        <v>0</v>
      </c>
      <c r="K99" s="75">
        <v>1.05</v>
      </c>
      <c r="L99" s="9">
        <f t="shared" si="69"/>
        <v>3150</v>
      </c>
      <c r="M99" s="9"/>
      <c r="N99" s="9">
        <f t="shared" si="31"/>
        <v>30</v>
      </c>
      <c r="O99" s="9">
        <f t="shared" si="32"/>
        <v>0</v>
      </c>
      <c r="P99" s="10">
        <f t="shared" si="33"/>
        <v>133.33333333333334</v>
      </c>
      <c r="Q99" s="10">
        <f t="shared" si="34"/>
        <v>105</v>
      </c>
      <c r="R99" s="10">
        <f t="shared" si="41"/>
        <v>238.33333333333334</v>
      </c>
      <c r="S99" s="10">
        <f t="shared" si="35"/>
        <v>16.666666666666668</v>
      </c>
      <c r="T99" s="9">
        <v>28</v>
      </c>
      <c r="U99" s="9">
        <f t="shared" si="36"/>
        <v>466.66666666666669</v>
      </c>
      <c r="V99" s="9">
        <v>0</v>
      </c>
      <c r="W99" s="16">
        <f t="shared" si="70"/>
        <v>7616.666666666667</v>
      </c>
      <c r="X99" s="49">
        <v>0</v>
      </c>
      <c r="Y99" s="11">
        <f t="shared" si="37"/>
        <v>0</v>
      </c>
      <c r="Z99" s="38">
        <v>1</v>
      </c>
      <c r="AA99" s="11">
        <f t="shared" si="38"/>
        <v>133.33333333333334</v>
      </c>
      <c r="AB99" s="11">
        <v>0</v>
      </c>
      <c r="AC99" s="11">
        <f t="shared" si="71"/>
        <v>0</v>
      </c>
      <c r="AD99" s="12">
        <f t="shared" si="72"/>
        <v>133.33333333333334</v>
      </c>
      <c r="AE99" s="4">
        <f t="shared" si="73"/>
        <v>7483.3333333333339</v>
      </c>
      <c r="AF99" s="3">
        <f t="shared" si="39"/>
        <v>5384.6153846153848</v>
      </c>
      <c r="AG99" s="3">
        <f t="shared" si="46"/>
        <v>592.30769230769238</v>
      </c>
      <c r="AH99" s="1">
        <v>1769.6666666666699</v>
      </c>
      <c r="AI99" s="1">
        <f t="shared" si="47"/>
        <v>61456.307692307659</v>
      </c>
      <c r="AJ99" s="1">
        <f t="shared" si="48"/>
        <v>205.70384615384572</v>
      </c>
      <c r="AK99" s="3">
        <f t="shared" si="49"/>
        <v>3.7416666666666671</v>
      </c>
      <c r="AL99" s="4">
        <f t="shared" si="74"/>
        <v>6681.5801282051289</v>
      </c>
      <c r="AM99" s="3">
        <v>0</v>
      </c>
      <c r="AN99" s="4">
        <f t="shared" si="75"/>
        <v>6681.5801282051289</v>
      </c>
      <c r="AO99" s="1">
        <f t="shared" si="76"/>
        <v>1009.6153846153846</v>
      </c>
      <c r="AP99" s="41">
        <v>15</v>
      </c>
      <c r="AQ99" s="54">
        <f t="shared" si="77"/>
        <v>8492.9487179487187</v>
      </c>
    </row>
    <row r="100" spans="1:43" x14ac:dyDescent="0.35">
      <c r="A100" s="27" t="s">
        <v>196</v>
      </c>
      <c r="B100" s="44" t="s">
        <v>601</v>
      </c>
      <c r="C100" s="61" t="s">
        <v>294</v>
      </c>
      <c r="D100" s="63" t="s">
        <v>507</v>
      </c>
      <c r="E100" s="64" t="s">
        <v>248</v>
      </c>
      <c r="F100" s="69" t="s">
        <v>46</v>
      </c>
      <c r="G100" s="70" t="s">
        <v>526</v>
      </c>
      <c r="H100" s="72">
        <v>4000</v>
      </c>
      <c r="I100" s="72">
        <v>3000</v>
      </c>
      <c r="J100" s="9">
        <v>0</v>
      </c>
      <c r="K100" s="75">
        <v>1.05</v>
      </c>
      <c r="L100" s="9">
        <f t="shared" ref="L100:L115" si="150">+I100*K100</f>
        <v>3150</v>
      </c>
      <c r="M100" s="9"/>
      <c r="N100" s="9">
        <f t="shared" si="31"/>
        <v>30</v>
      </c>
      <c r="O100" s="9">
        <f t="shared" si="32"/>
        <v>0</v>
      </c>
      <c r="P100" s="10">
        <f t="shared" si="33"/>
        <v>133.33333333333334</v>
      </c>
      <c r="Q100" s="10">
        <f t="shared" si="34"/>
        <v>105</v>
      </c>
      <c r="R100" s="10">
        <f t="shared" si="41"/>
        <v>238.33333333333334</v>
      </c>
      <c r="S100" s="10">
        <f t="shared" si="35"/>
        <v>16.666666666666668</v>
      </c>
      <c r="T100" s="9">
        <v>28</v>
      </c>
      <c r="U100" s="9">
        <f t="shared" si="36"/>
        <v>466.66666666666669</v>
      </c>
      <c r="V100" s="9">
        <v>0</v>
      </c>
      <c r="W100" s="16">
        <f t="shared" ref="W100:W115" si="151">H100+L100+U100+V100+J100</f>
        <v>7616.666666666667</v>
      </c>
      <c r="X100" s="49">
        <v>0</v>
      </c>
      <c r="Y100" s="11">
        <f t="shared" si="37"/>
        <v>0</v>
      </c>
      <c r="Z100" s="38">
        <v>2</v>
      </c>
      <c r="AA100" s="11">
        <f t="shared" si="38"/>
        <v>266.66666666666669</v>
      </c>
      <c r="AB100" s="11">
        <v>0</v>
      </c>
      <c r="AC100" s="11">
        <f t="shared" ref="AC100:AC115" si="152">Q100*AB100</f>
        <v>0</v>
      </c>
      <c r="AD100" s="12">
        <f t="shared" ref="AD100:AD115" si="153">Y100+AA100+AC100</f>
        <v>266.66666666666669</v>
      </c>
      <c r="AE100" s="4">
        <f t="shared" ref="AE100:AE115" si="154">W100-AD100</f>
        <v>7350</v>
      </c>
      <c r="AF100" s="3">
        <f t="shared" si="39"/>
        <v>5384.6153846153848</v>
      </c>
      <c r="AG100" s="3">
        <f t="shared" si="46"/>
        <v>592.30769230769238</v>
      </c>
      <c r="AH100" s="1">
        <v>1770.6666666666699</v>
      </c>
      <c r="AI100" s="1">
        <f t="shared" si="47"/>
        <v>59844.307692307659</v>
      </c>
      <c r="AJ100" s="1">
        <f t="shared" si="48"/>
        <v>185.55384615384574</v>
      </c>
      <c r="AK100" s="3">
        <f t="shared" si="49"/>
        <v>3.6750000000000003</v>
      </c>
      <c r="AL100" s="4">
        <f t="shared" ref="AL100:AL115" si="155">+AE100-AG100-AJ100-AK100</f>
        <v>6568.4634615384621</v>
      </c>
      <c r="AM100" s="3">
        <v>0</v>
      </c>
      <c r="AN100" s="4">
        <f t="shared" ref="AN100:AN115" si="156">+AL100-AM100</f>
        <v>6568.4634615384621</v>
      </c>
      <c r="AO100" s="1">
        <f t="shared" ref="AO100:AO115" si="157">+AF100*0.1875</f>
        <v>1009.6153846153846</v>
      </c>
      <c r="AP100" s="41">
        <v>6</v>
      </c>
      <c r="AQ100" s="54">
        <f t="shared" ref="AQ100:AQ115" si="158">AE100+AO100</f>
        <v>8359.6153846153848</v>
      </c>
    </row>
    <row r="101" spans="1:43" x14ac:dyDescent="0.35">
      <c r="A101" s="27" t="s">
        <v>196</v>
      </c>
      <c r="B101" s="44" t="s">
        <v>602</v>
      </c>
      <c r="C101" s="61" t="s">
        <v>295</v>
      </c>
      <c r="D101" s="63" t="s">
        <v>507</v>
      </c>
      <c r="E101" s="64" t="s">
        <v>249</v>
      </c>
      <c r="F101" s="69" t="s">
        <v>47</v>
      </c>
      <c r="G101" s="70" t="s">
        <v>526</v>
      </c>
      <c r="H101" s="72">
        <v>4000</v>
      </c>
      <c r="I101" s="72">
        <v>3000</v>
      </c>
      <c r="J101" s="9">
        <v>0</v>
      </c>
      <c r="K101" s="75">
        <v>1.05</v>
      </c>
      <c r="L101" s="9">
        <f t="shared" si="150"/>
        <v>3150</v>
      </c>
      <c r="M101" s="9"/>
      <c r="N101" s="9">
        <f t="shared" si="31"/>
        <v>30</v>
      </c>
      <c r="O101" s="9">
        <f t="shared" si="32"/>
        <v>0</v>
      </c>
      <c r="P101" s="10">
        <f t="shared" si="33"/>
        <v>133.33333333333334</v>
      </c>
      <c r="Q101" s="10">
        <f t="shared" si="34"/>
        <v>105</v>
      </c>
      <c r="R101" s="10">
        <f t="shared" si="41"/>
        <v>238.33333333333334</v>
      </c>
      <c r="S101" s="10">
        <f t="shared" si="35"/>
        <v>16.666666666666668</v>
      </c>
      <c r="T101" s="9">
        <v>12</v>
      </c>
      <c r="U101" s="9">
        <f t="shared" si="36"/>
        <v>200</v>
      </c>
      <c r="V101" s="9">
        <v>0</v>
      </c>
      <c r="W101" s="16">
        <f t="shared" si="151"/>
        <v>7350</v>
      </c>
      <c r="X101" s="49">
        <v>0</v>
      </c>
      <c r="Y101" s="11">
        <f t="shared" si="37"/>
        <v>0</v>
      </c>
      <c r="Z101" s="38">
        <v>0</v>
      </c>
      <c r="AA101" s="11">
        <f t="shared" si="38"/>
        <v>0</v>
      </c>
      <c r="AB101" s="11">
        <v>0</v>
      </c>
      <c r="AC101" s="11">
        <f t="shared" si="152"/>
        <v>0</v>
      </c>
      <c r="AD101" s="12">
        <f t="shared" si="153"/>
        <v>0</v>
      </c>
      <c r="AE101" s="4">
        <f t="shared" si="154"/>
        <v>7350</v>
      </c>
      <c r="AF101" s="3">
        <f t="shared" si="39"/>
        <v>5384.6153846153848</v>
      </c>
      <c r="AG101" s="3">
        <f t="shared" si="46"/>
        <v>592.30769230769238</v>
      </c>
      <c r="AH101" s="1">
        <v>1771.6666666666699</v>
      </c>
      <c r="AI101" s="1">
        <f t="shared" si="47"/>
        <v>59832.307692307659</v>
      </c>
      <c r="AJ101" s="1">
        <f t="shared" si="48"/>
        <v>185.40384615384573</v>
      </c>
      <c r="AK101" s="3">
        <f t="shared" si="49"/>
        <v>3.6750000000000003</v>
      </c>
      <c r="AL101" s="4">
        <f t="shared" si="155"/>
        <v>6568.6134615384617</v>
      </c>
      <c r="AM101" s="3">
        <v>0</v>
      </c>
      <c r="AN101" s="4">
        <f t="shared" si="156"/>
        <v>6568.6134615384617</v>
      </c>
      <c r="AO101" s="1">
        <f t="shared" si="157"/>
        <v>1009.6153846153846</v>
      </c>
      <c r="AP101" s="41">
        <v>10</v>
      </c>
      <c r="AQ101" s="54">
        <f t="shared" si="158"/>
        <v>8359.6153846153848</v>
      </c>
    </row>
    <row r="102" spans="1:43" x14ac:dyDescent="0.35">
      <c r="A102" s="27" t="s">
        <v>196</v>
      </c>
      <c r="B102" s="44" t="s">
        <v>603</v>
      </c>
      <c r="C102" s="61" t="s">
        <v>576</v>
      </c>
      <c r="D102" s="63" t="s">
        <v>507</v>
      </c>
      <c r="E102" s="64" t="s">
        <v>703</v>
      </c>
      <c r="F102" s="69">
        <v>30008182100604</v>
      </c>
      <c r="G102" s="70" t="s">
        <v>526</v>
      </c>
      <c r="H102" s="72">
        <v>4000</v>
      </c>
      <c r="I102" s="72">
        <v>3000</v>
      </c>
      <c r="J102" s="9">
        <v>0</v>
      </c>
      <c r="K102" s="75">
        <v>1.05</v>
      </c>
      <c r="L102" s="9">
        <f t="shared" si="150"/>
        <v>3150</v>
      </c>
      <c r="M102" s="9"/>
      <c r="N102" s="9">
        <f t="shared" si="31"/>
        <v>30</v>
      </c>
      <c r="O102" s="9">
        <f t="shared" si="32"/>
        <v>0</v>
      </c>
      <c r="P102" s="10">
        <f t="shared" si="33"/>
        <v>133.33333333333334</v>
      </c>
      <c r="Q102" s="10">
        <f t="shared" si="34"/>
        <v>105</v>
      </c>
      <c r="R102" s="10">
        <f t="shared" si="41"/>
        <v>238.33333333333334</v>
      </c>
      <c r="S102" s="10">
        <f t="shared" si="35"/>
        <v>16.666666666666668</v>
      </c>
      <c r="T102" s="9">
        <v>12</v>
      </c>
      <c r="U102" s="9">
        <f t="shared" si="36"/>
        <v>200</v>
      </c>
      <c r="V102" s="9">
        <v>0</v>
      </c>
      <c r="W102" s="16">
        <f t="shared" si="151"/>
        <v>7350</v>
      </c>
      <c r="X102" s="49">
        <v>0</v>
      </c>
      <c r="Y102" s="11">
        <f t="shared" si="37"/>
        <v>0</v>
      </c>
      <c r="Z102" s="38">
        <v>3</v>
      </c>
      <c r="AA102" s="11">
        <f t="shared" si="38"/>
        <v>400</v>
      </c>
      <c r="AB102" s="11">
        <v>0</v>
      </c>
      <c r="AC102" s="11">
        <f t="shared" si="152"/>
        <v>0</v>
      </c>
      <c r="AD102" s="12">
        <f t="shared" si="153"/>
        <v>400</v>
      </c>
      <c r="AE102" s="4">
        <f t="shared" si="154"/>
        <v>6950</v>
      </c>
      <c r="AF102" s="3">
        <f t="shared" si="39"/>
        <v>5384.6153846153848</v>
      </c>
      <c r="AG102" s="3">
        <f t="shared" si="46"/>
        <v>592.30769230769238</v>
      </c>
      <c r="AH102" s="1">
        <v>1772.6666666666699</v>
      </c>
      <c r="AI102" s="1">
        <f t="shared" si="47"/>
        <v>55020.307692307659</v>
      </c>
      <c r="AJ102" s="1">
        <f t="shared" si="48"/>
        <v>125.25384615384574</v>
      </c>
      <c r="AK102" s="3">
        <f t="shared" si="49"/>
        <v>3.4750000000000001</v>
      </c>
      <c r="AL102" s="4">
        <f t="shared" si="155"/>
        <v>6228.9634615384612</v>
      </c>
      <c r="AM102" s="3">
        <v>0</v>
      </c>
      <c r="AN102" s="4">
        <f t="shared" si="156"/>
        <v>6228.9634615384612</v>
      </c>
      <c r="AO102" s="1">
        <f t="shared" si="157"/>
        <v>1009.6153846153846</v>
      </c>
      <c r="AP102" s="41">
        <v>18</v>
      </c>
      <c r="AQ102" s="54">
        <f t="shared" si="158"/>
        <v>7959.6153846153848</v>
      </c>
    </row>
    <row r="103" spans="1:43" x14ac:dyDescent="0.35">
      <c r="A103" s="27" t="s">
        <v>196</v>
      </c>
      <c r="B103" s="44" t="s">
        <v>604</v>
      </c>
      <c r="C103" s="61" t="s">
        <v>549</v>
      </c>
      <c r="D103" s="63" t="s">
        <v>507</v>
      </c>
      <c r="E103" s="64" t="s">
        <v>704</v>
      </c>
      <c r="F103" s="69">
        <v>30201062102543</v>
      </c>
      <c r="G103" s="70" t="s">
        <v>526</v>
      </c>
      <c r="H103" s="72">
        <v>4000</v>
      </c>
      <c r="I103" s="72">
        <v>3000</v>
      </c>
      <c r="J103" s="9">
        <v>0</v>
      </c>
      <c r="K103" s="75">
        <v>1.05</v>
      </c>
      <c r="L103" s="9">
        <f t="shared" si="150"/>
        <v>3150</v>
      </c>
      <c r="M103" s="9"/>
      <c r="N103" s="9">
        <f t="shared" si="31"/>
        <v>30</v>
      </c>
      <c r="O103" s="9">
        <f t="shared" si="32"/>
        <v>0</v>
      </c>
      <c r="P103" s="10">
        <f t="shared" si="33"/>
        <v>133.33333333333334</v>
      </c>
      <c r="Q103" s="10">
        <f t="shared" si="34"/>
        <v>105</v>
      </c>
      <c r="R103" s="10">
        <f t="shared" si="41"/>
        <v>238.33333333333334</v>
      </c>
      <c r="S103" s="10">
        <f t="shared" si="35"/>
        <v>16.666666666666668</v>
      </c>
      <c r="T103" s="9">
        <v>28</v>
      </c>
      <c r="U103" s="9">
        <f t="shared" si="36"/>
        <v>466.66666666666669</v>
      </c>
      <c r="V103" s="9">
        <v>0</v>
      </c>
      <c r="W103" s="16">
        <f t="shared" si="151"/>
        <v>7616.666666666667</v>
      </c>
      <c r="X103" s="49">
        <v>0</v>
      </c>
      <c r="Y103" s="11">
        <f t="shared" si="37"/>
        <v>0</v>
      </c>
      <c r="Z103" s="38">
        <v>0</v>
      </c>
      <c r="AA103" s="11">
        <f t="shared" si="38"/>
        <v>0</v>
      </c>
      <c r="AB103" s="11">
        <v>0</v>
      </c>
      <c r="AC103" s="11">
        <f t="shared" si="152"/>
        <v>0</v>
      </c>
      <c r="AD103" s="12">
        <f t="shared" si="153"/>
        <v>0</v>
      </c>
      <c r="AE103" s="4">
        <f t="shared" si="154"/>
        <v>7616.666666666667</v>
      </c>
      <c r="AF103" s="3">
        <f t="shared" si="39"/>
        <v>5384.6153846153848</v>
      </c>
      <c r="AG103" s="3">
        <f t="shared" si="46"/>
        <v>592.30769230769238</v>
      </c>
      <c r="AH103" s="1">
        <v>1773.6666666666699</v>
      </c>
      <c r="AI103" s="1">
        <f t="shared" si="47"/>
        <v>63008.307692307659</v>
      </c>
      <c r="AJ103" s="1">
        <f t="shared" si="48"/>
        <v>225.10384615384569</v>
      </c>
      <c r="AK103" s="3">
        <f t="shared" si="49"/>
        <v>3.8083333333333336</v>
      </c>
      <c r="AL103" s="4">
        <f t="shared" si="155"/>
        <v>6795.4467948717956</v>
      </c>
      <c r="AM103" s="3">
        <v>0</v>
      </c>
      <c r="AN103" s="4">
        <f t="shared" si="156"/>
        <v>6795.4467948717956</v>
      </c>
      <c r="AO103" s="1">
        <f t="shared" si="157"/>
        <v>1009.6153846153846</v>
      </c>
      <c r="AP103" s="41">
        <v>17</v>
      </c>
      <c r="AQ103" s="54">
        <f t="shared" si="158"/>
        <v>8626.2820512820508</v>
      </c>
    </row>
    <row r="104" spans="1:43" x14ac:dyDescent="0.35">
      <c r="A104" s="27" t="s">
        <v>196</v>
      </c>
      <c r="B104" s="44" t="s">
        <v>605</v>
      </c>
      <c r="C104" s="61" t="s">
        <v>296</v>
      </c>
      <c r="D104" s="63" t="s">
        <v>507</v>
      </c>
      <c r="E104" s="64" t="s">
        <v>250</v>
      </c>
      <c r="F104" s="69" t="s">
        <v>44</v>
      </c>
      <c r="G104" s="70" t="s">
        <v>526</v>
      </c>
      <c r="H104" s="72">
        <v>4000</v>
      </c>
      <c r="I104" s="72">
        <v>3000</v>
      </c>
      <c r="J104" s="9">
        <v>0</v>
      </c>
      <c r="K104" s="75">
        <v>1.05</v>
      </c>
      <c r="L104" s="9">
        <f t="shared" si="150"/>
        <v>3150</v>
      </c>
      <c r="M104" s="9"/>
      <c r="N104" s="9">
        <f t="shared" si="31"/>
        <v>30</v>
      </c>
      <c r="O104" s="9">
        <f t="shared" si="32"/>
        <v>0</v>
      </c>
      <c r="P104" s="10">
        <f t="shared" si="33"/>
        <v>133.33333333333334</v>
      </c>
      <c r="Q104" s="10">
        <f t="shared" si="34"/>
        <v>105</v>
      </c>
      <c r="R104" s="10">
        <f t="shared" si="41"/>
        <v>238.33333333333334</v>
      </c>
      <c r="S104" s="10">
        <f t="shared" si="35"/>
        <v>16.666666666666668</v>
      </c>
      <c r="T104" s="9">
        <v>28</v>
      </c>
      <c r="U104" s="9">
        <f t="shared" si="36"/>
        <v>466.66666666666669</v>
      </c>
      <c r="V104" s="9">
        <v>0</v>
      </c>
      <c r="W104" s="16">
        <f t="shared" si="151"/>
        <v>7616.666666666667</v>
      </c>
      <c r="X104" s="49">
        <v>0</v>
      </c>
      <c r="Y104" s="11">
        <f t="shared" si="37"/>
        <v>0</v>
      </c>
      <c r="Z104" s="38">
        <v>0</v>
      </c>
      <c r="AA104" s="11">
        <f t="shared" si="38"/>
        <v>0</v>
      </c>
      <c r="AB104" s="11">
        <v>0</v>
      </c>
      <c r="AC104" s="11">
        <f t="shared" si="152"/>
        <v>0</v>
      </c>
      <c r="AD104" s="12">
        <f t="shared" si="153"/>
        <v>0</v>
      </c>
      <c r="AE104" s="4">
        <f t="shared" si="154"/>
        <v>7616.666666666667</v>
      </c>
      <c r="AF104" s="3">
        <f t="shared" si="39"/>
        <v>5384.6153846153848</v>
      </c>
      <c r="AG104" s="3">
        <f t="shared" si="46"/>
        <v>592.30769230769238</v>
      </c>
      <c r="AH104" s="1">
        <v>1774.6666666666699</v>
      </c>
      <c r="AI104" s="1">
        <f t="shared" si="47"/>
        <v>62996.307692307659</v>
      </c>
      <c r="AJ104" s="1">
        <f t="shared" si="48"/>
        <v>224.95384615384572</v>
      </c>
      <c r="AK104" s="3">
        <f t="shared" si="49"/>
        <v>3.8083333333333336</v>
      </c>
      <c r="AL104" s="4">
        <f t="shared" si="155"/>
        <v>6795.5967948717953</v>
      </c>
      <c r="AM104" s="3">
        <v>0</v>
      </c>
      <c r="AN104" s="4">
        <f t="shared" si="156"/>
        <v>6795.5967948717953</v>
      </c>
      <c r="AO104" s="1">
        <f t="shared" si="157"/>
        <v>1009.6153846153846</v>
      </c>
      <c r="AP104" s="41">
        <v>14</v>
      </c>
      <c r="AQ104" s="54">
        <f t="shared" si="158"/>
        <v>8626.2820512820508</v>
      </c>
    </row>
    <row r="105" spans="1:43" x14ac:dyDescent="0.35">
      <c r="A105" s="27" t="s">
        <v>196</v>
      </c>
      <c r="B105" s="44" t="s">
        <v>606</v>
      </c>
      <c r="C105" s="61" t="s">
        <v>537</v>
      </c>
      <c r="D105" s="63" t="s">
        <v>507</v>
      </c>
      <c r="E105" s="64" t="s">
        <v>705</v>
      </c>
      <c r="F105" s="69">
        <v>30401052104601</v>
      </c>
      <c r="G105" s="70" t="s">
        <v>526</v>
      </c>
      <c r="H105" s="72">
        <v>4000</v>
      </c>
      <c r="I105" s="72">
        <v>3000</v>
      </c>
      <c r="J105" s="9">
        <v>0</v>
      </c>
      <c r="K105" s="75">
        <v>1.05</v>
      </c>
      <c r="L105" s="9">
        <f t="shared" si="150"/>
        <v>3150</v>
      </c>
      <c r="M105" s="9"/>
      <c r="N105" s="9">
        <f t="shared" si="31"/>
        <v>30</v>
      </c>
      <c r="O105" s="9">
        <f t="shared" si="32"/>
        <v>0</v>
      </c>
      <c r="P105" s="10">
        <f t="shared" si="33"/>
        <v>133.33333333333334</v>
      </c>
      <c r="Q105" s="10">
        <f t="shared" si="34"/>
        <v>105</v>
      </c>
      <c r="R105" s="10">
        <f t="shared" si="41"/>
        <v>238.33333333333334</v>
      </c>
      <c r="S105" s="10">
        <f t="shared" si="35"/>
        <v>16.666666666666668</v>
      </c>
      <c r="T105" s="9">
        <v>44</v>
      </c>
      <c r="U105" s="9">
        <f t="shared" si="36"/>
        <v>733.33333333333337</v>
      </c>
      <c r="V105" s="9">
        <v>0</v>
      </c>
      <c r="W105" s="16">
        <f t="shared" si="151"/>
        <v>7883.333333333333</v>
      </c>
      <c r="X105" s="49">
        <v>0</v>
      </c>
      <c r="Y105" s="11">
        <f t="shared" si="37"/>
        <v>0</v>
      </c>
      <c r="Z105" s="38">
        <v>2</v>
      </c>
      <c r="AA105" s="11">
        <f t="shared" si="38"/>
        <v>266.66666666666669</v>
      </c>
      <c r="AB105" s="11">
        <v>0</v>
      </c>
      <c r="AC105" s="11">
        <f t="shared" si="152"/>
        <v>0</v>
      </c>
      <c r="AD105" s="12">
        <f t="shared" si="153"/>
        <v>266.66666666666669</v>
      </c>
      <c r="AE105" s="4">
        <f t="shared" si="154"/>
        <v>7616.6666666666661</v>
      </c>
      <c r="AF105" s="3">
        <f t="shared" si="39"/>
        <v>5384.6153846153848</v>
      </c>
      <c r="AG105" s="3">
        <f t="shared" si="46"/>
        <v>592.30769230769238</v>
      </c>
      <c r="AH105" s="1">
        <v>1775.6666666666699</v>
      </c>
      <c r="AI105" s="1">
        <f t="shared" si="47"/>
        <v>62984.307692307644</v>
      </c>
      <c r="AJ105" s="1">
        <f t="shared" si="48"/>
        <v>224.80384615384551</v>
      </c>
      <c r="AK105" s="3">
        <f t="shared" si="49"/>
        <v>3.8083333333333331</v>
      </c>
      <c r="AL105" s="4">
        <f t="shared" si="155"/>
        <v>6795.7467948717949</v>
      </c>
      <c r="AM105" s="3">
        <v>0</v>
      </c>
      <c r="AN105" s="4">
        <f t="shared" si="156"/>
        <v>6795.7467948717949</v>
      </c>
      <c r="AO105" s="1">
        <f t="shared" si="157"/>
        <v>1009.6153846153846</v>
      </c>
      <c r="AP105" s="41">
        <v>15</v>
      </c>
      <c r="AQ105" s="54">
        <f t="shared" si="158"/>
        <v>8626.2820512820508</v>
      </c>
    </row>
    <row r="106" spans="1:43" x14ac:dyDescent="0.35">
      <c r="A106" s="27" t="s">
        <v>196</v>
      </c>
      <c r="B106" s="44" t="s">
        <v>607</v>
      </c>
      <c r="C106" s="61" t="s">
        <v>297</v>
      </c>
      <c r="D106" s="63" t="s">
        <v>507</v>
      </c>
      <c r="E106" s="64" t="s">
        <v>251</v>
      </c>
      <c r="F106" s="69" t="s">
        <v>34</v>
      </c>
      <c r="G106" s="70" t="s">
        <v>526</v>
      </c>
      <c r="H106" s="72">
        <v>4000</v>
      </c>
      <c r="I106" s="72">
        <v>3000</v>
      </c>
      <c r="J106" s="9">
        <v>0</v>
      </c>
      <c r="K106" s="75">
        <v>1.05</v>
      </c>
      <c r="L106" s="9">
        <f t="shared" si="150"/>
        <v>3150</v>
      </c>
      <c r="M106" s="9"/>
      <c r="N106" s="9">
        <f t="shared" si="31"/>
        <v>30</v>
      </c>
      <c r="O106" s="9">
        <f t="shared" si="32"/>
        <v>0</v>
      </c>
      <c r="P106" s="10">
        <f t="shared" si="33"/>
        <v>133.33333333333334</v>
      </c>
      <c r="Q106" s="10">
        <f t="shared" si="34"/>
        <v>105</v>
      </c>
      <c r="R106" s="10">
        <f t="shared" si="41"/>
        <v>238.33333333333334</v>
      </c>
      <c r="S106" s="10">
        <f t="shared" si="35"/>
        <v>16.666666666666668</v>
      </c>
      <c r="T106" s="9">
        <v>28</v>
      </c>
      <c r="U106" s="9">
        <f t="shared" si="36"/>
        <v>466.66666666666669</v>
      </c>
      <c r="V106" s="9">
        <v>0</v>
      </c>
      <c r="W106" s="16">
        <f t="shared" si="151"/>
        <v>7616.666666666667</v>
      </c>
      <c r="X106" s="49">
        <v>0</v>
      </c>
      <c r="Y106" s="11">
        <f t="shared" si="37"/>
        <v>0</v>
      </c>
      <c r="Z106" s="38">
        <v>0</v>
      </c>
      <c r="AA106" s="11">
        <f t="shared" si="38"/>
        <v>0</v>
      </c>
      <c r="AB106" s="11">
        <v>0</v>
      </c>
      <c r="AC106" s="11">
        <f t="shared" si="152"/>
        <v>0</v>
      </c>
      <c r="AD106" s="12">
        <f t="shared" si="153"/>
        <v>0</v>
      </c>
      <c r="AE106" s="4">
        <f t="shared" si="154"/>
        <v>7616.666666666667</v>
      </c>
      <c r="AF106" s="3">
        <f t="shared" si="39"/>
        <v>5384.6153846153848</v>
      </c>
      <c r="AG106" s="3">
        <f t="shared" si="46"/>
        <v>592.30769230769238</v>
      </c>
      <c r="AH106" s="1">
        <v>1776.6666666666699</v>
      </c>
      <c r="AI106" s="1">
        <f t="shared" si="47"/>
        <v>62972.307692307659</v>
      </c>
      <c r="AJ106" s="1">
        <f t="shared" si="48"/>
        <v>224.65384615384573</v>
      </c>
      <c r="AK106" s="3">
        <f t="shared" si="49"/>
        <v>3.8083333333333336</v>
      </c>
      <c r="AL106" s="4">
        <f t="shared" si="155"/>
        <v>6795.8967948717955</v>
      </c>
      <c r="AM106" s="3">
        <v>0</v>
      </c>
      <c r="AN106" s="4">
        <f t="shared" si="156"/>
        <v>6795.8967948717955</v>
      </c>
      <c r="AO106" s="1">
        <f t="shared" si="157"/>
        <v>1009.6153846153846</v>
      </c>
      <c r="AP106" s="41">
        <v>13</v>
      </c>
      <c r="AQ106" s="54">
        <f t="shared" si="158"/>
        <v>8626.2820512820508</v>
      </c>
    </row>
    <row r="107" spans="1:43" x14ac:dyDescent="0.35">
      <c r="A107" s="27" t="s">
        <v>196</v>
      </c>
      <c r="B107" s="44" t="s">
        <v>608</v>
      </c>
      <c r="C107" s="61" t="s">
        <v>485</v>
      </c>
      <c r="D107" s="63" t="s">
        <v>507</v>
      </c>
      <c r="E107" s="64" t="s">
        <v>469</v>
      </c>
      <c r="F107" s="69">
        <v>30402022103437</v>
      </c>
      <c r="G107" s="70" t="s">
        <v>526</v>
      </c>
      <c r="H107" s="72">
        <v>4000</v>
      </c>
      <c r="I107" s="72">
        <v>3000</v>
      </c>
      <c r="J107" s="9">
        <v>0</v>
      </c>
      <c r="K107" s="75">
        <v>1.05</v>
      </c>
      <c r="L107" s="9">
        <f t="shared" si="150"/>
        <v>3150</v>
      </c>
      <c r="M107" s="9"/>
      <c r="N107" s="9">
        <f t="shared" si="31"/>
        <v>30</v>
      </c>
      <c r="O107" s="9">
        <f t="shared" si="32"/>
        <v>0</v>
      </c>
      <c r="P107" s="10">
        <f t="shared" si="33"/>
        <v>133.33333333333334</v>
      </c>
      <c r="Q107" s="10">
        <f t="shared" si="34"/>
        <v>105</v>
      </c>
      <c r="R107" s="10">
        <f t="shared" si="41"/>
        <v>238.33333333333334</v>
      </c>
      <c r="S107" s="10">
        <f t="shared" si="35"/>
        <v>16.666666666666668</v>
      </c>
      <c r="T107" s="9">
        <v>28</v>
      </c>
      <c r="U107" s="9">
        <f t="shared" si="36"/>
        <v>466.66666666666669</v>
      </c>
      <c r="V107" s="9">
        <v>0</v>
      </c>
      <c r="W107" s="16">
        <f t="shared" si="151"/>
        <v>7616.666666666667</v>
      </c>
      <c r="X107" s="49">
        <v>0</v>
      </c>
      <c r="Y107" s="11">
        <f t="shared" si="37"/>
        <v>0</v>
      </c>
      <c r="Z107" s="38">
        <v>2</v>
      </c>
      <c r="AA107" s="11">
        <f t="shared" si="38"/>
        <v>266.66666666666669</v>
      </c>
      <c r="AB107" s="11">
        <v>0</v>
      </c>
      <c r="AC107" s="11">
        <f t="shared" si="152"/>
        <v>0</v>
      </c>
      <c r="AD107" s="12">
        <f t="shared" si="153"/>
        <v>266.66666666666669</v>
      </c>
      <c r="AE107" s="4">
        <f t="shared" si="154"/>
        <v>7350</v>
      </c>
      <c r="AF107" s="3">
        <f t="shared" si="39"/>
        <v>5384.6153846153848</v>
      </c>
      <c r="AG107" s="3">
        <f t="shared" si="46"/>
        <v>592.30769230769238</v>
      </c>
      <c r="AH107" s="1">
        <v>1777.6666666666699</v>
      </c>
      <c r="AI107" s="1">
        <f t="shared" si="47"/>
        <v>59760.307692307659</v>
      </c>
      <c r="AJ107" s="1">
        <f t="shared" si="48"/>
        <v>184.50384615384573</v>
      </c>
      <c r="AK107" s="3">
        <f t="shared" si="49"/>
        <v>3.6750000000000003</v>
      </c>
      <c r="AL107" s="4">
        <f t="shared" si="155"/>
        <v>6569.5134615384613</v>
      </c>
      <c r="AM107" s="3">
        <v>0</v>
      </c>
      <c r="AN107" s="4">
        <f t="shared" si="156"/>
        <v>6569.5134615384613</v>
      </c>
      <c r="AO107" s="1">
        <f t="shared" si="157"/>
        <v>1009.6153846153846</v>
      </c>
      <c r="AP107" s="41">
        <v>8</v>
      </c>
      <c r="AQ107" s="54">
        <f t="shared" si="158"/>
        <v>8359.6153846153848</v>
      </c>
    </row>
    <row r="108" spans="1:43" x14ac:dyDescent="0.35">
      <c r="A108" s="27" t="s">
        <v>196</v>
      </c>
      <c r="B108" s="44" t="s">
        <v>609</v>
      </c>
      <c r="C108" s="61" t="s">
        <v>298</v>
      </c>
      <c r="D108" s="63" t="s">
        <v>507</v>
      </c>
      <c r="E108" s="64" t="s">
        <v>252</v>
      </c>
      <c r="F108" s="69" t="s">
        <v>55</v>
      </c>
      <c r="G108" s="70" t="s">
        <v>526</v>
      </c>
      <c r="H108" s="72">
        <v>4000</v>
      </c>
      <c r="I108" s="72">
        <v>3000</v>
      </c>
      <c r="J108" s="9">
        <v>0</v>
      </c>
      <c r="K108" s="75">
        <v>1.05</v>
      </c>
      <c r="L108" s="9">
        <f t="shared" si="150"/>
        <v>3150</v>
      </c>
      <c r="M108" s="9"/>
      <c r="N108" s="9">
        <f t="shared" si="31"/>
        <v>30</v>
      </c>
      <c r="O108" s="9">
        <f t="shared" si="32"/>
        <v>0</v>
      </c>
      <c r="P108" s="10">
        <f t="shared" si="33"/>
        <v>133.33333333333334</v>
      </c>
      <c r="Q108" s="10">
        <f t="shared" si="34"/>
        <v>105</v>
      </c>
      <c r="R108" s="10">
        <f t="shared" si="41"/>
        <v>238.33333333333334</v>
      </c>
      <c r="S108" s="10">
        <f t="shared" si="35"/>
        <v>16.666666666666668</v>
      </c>
      <c r="T108" s="9">
        <v>44</v>
      </c>
      <c r="U108" s="9">
        <f t="shared" si="36"/>
        <v>733.33333333333337</v>
      </c>
      <c r="V108" s="9">
        <v>0</v>
      </c>
      <c r="W108" s="16">
        <f t="shared" si="151"/>
        <v>7883.333333333333</v>
      </c>
      <c r="X108" s="49">
        <v>0</v>
      </c>
      <c r="Y108" s="11">
        <f t="shared" si="37"/>
        <v>0</v>
      </c>
      <c r="Z108" s="38">
        <v>0</v>
      </c>
      <c r="AA108" s="11">
        <f t="shared" si="38"/>
        <v>0</v>
      </c>
      <c r="AB108" s="11">
        <v>0</v>
      </c>
      <c r="AC108" s="11">
        <f t="shared" si="152"/>
        <v>0</v>
      </c>
      <c r="AD108" s="12">
        <f t="shared" si="153"/>
        <v>0</v>
      </c>
      <c r="AE108" s="4">
        <f t="shared" si="154"/>
        <v>7883.333333333333</v>
      </c>
      <c r="AF108" s="3">
        <f t="shared" si="39"/>
        <v>5384.6153846153848</v>
      </c>
      <c r="AG108" s="3">
        <f t="shared" si="46"/>
        <v>592.30769230769238</v>
      </c>
      <c r="AH108" s="1">
        <v>1778.6666666666699</v>
      </c>
      <c r="AI108" s="1">
        <f t="shared" si="47"/>
        <v>66148.307692307659</v>
      </c>
      <c r="AJ108" s="1">
        <f t="shared" si="48"/>
        <v>264.35384615384572</v>
      </c>
      <c r="AK108" s="3">
        <f t="shared" si="49"/>
        <v>3.9416666666666664</v>
      </c>
      <c r="AL108" s="4">
        <f t="shared" si="155"/>
        <v>7022.7301282051285</v>
      </c>
      <c r="AM108" s="3">
        <v>0</v>
      </c>
      <c r="AN108" s="4">
        <f t="shared" si="156"/>
        <v>7022.7301282051285</v>
      </c>
      <c r="AO108" s="1">
        <f t="shared" si="157"/>
        <v>1009.6153846153846</v>
      </c>
      <c r="AP108" s="41">
        <v>9</v>
      </c>
      <c r="AQ108" s="54">
        <f t="shared" si="158"/>
        <v>8892.9487179487169</v>
      </c>
    </row>
    <row r="109" spans="1:43" x14ac:dyDescent="0.35">
      <c r="A109" s="27" t="s">
        <v>196</v>
      </c>
      <c r="B109" s="44" t="s">
        <v>610</v>
      </c>
      <c r="C109" s="61" t="s">
        <v>580</v>
      </c>
      <c r="D109" s="63" t="s">
        <v>507</v>
      </c>
      <c r="E109" s="64" t="s">
        <v>706</v>
      </c>
      <c r="F109" s="69">
        <v>30503080101674</v>
      </c>
      <c r="G109" s="70" t="s">
        <v>526</v>
      </c>
      <c r="H109" s="72">
        <v>4000</v>
      </c>
      <c r="I109" s="72">
        <v>3000</v>
      </c>
      <c r="J109" s="9">
        <v>0</v>
      </c>
      <c r="K109" s="75">
        <v>1.05</v>
      </c>
      <c r="L109" s="9">
        <f t="shared" si="150"/>
        <v>3150</v>
      </c>
      <c r="M109" s="9"/>
      <c r="N109" s="9">
        <f t="shared" si="31"/>
        <v>30</v>
      </c>
      <c r="O109" s="9">
        <f t="shared" si="32"/>
        <v>0</v>
      </c>
      <c r="P109" s="10">
        <f t="shared" si="33"/>
        <v>133.33333333333334</v>
      </c>
      <c r="Q109" s="10">
        <f t="shared" si="34"/>
        <v>105</v>
      </c>
      <c r="R109" s="10">
        <f t="shared" si="41"/>
        <v>238.33333333333334</v>
      </c>
      <c r="S109" s="10">
        <f t="shared" si="35"/>
        <v>16.666666666666668</v>
      </c>
      <c r="T109" s="9">
        <v>28</v>
      </c>
      <c r="U109" s="9">
        <f t="shared" si="36"/>
        <v>466.66666666666669</v>
      </c>
      <c r="V109" s="9">
        <v>0</v>
      </c>
      <c r="W109" s="16">
        <f t="shared" si="151"/>
        <v>7616.666666666667</v>
      </c>
      <c r="X109" s="49">
        <v>0</v>
      </c>
      <c r="Y109" s="11">
        <f t="shared" si="37"/>
        <v>0</v>
      </c>
      <c r="Z109" s="38">
        <v>0</v>
      </c>
      <c r="AA109" s="11">
        <f t="shared" si="38"/>
        <v>0</v>
      </c>
      <c r="AB109" s="11">
        <v>0</v>
      </c>
      <c r="AC109" s="11">
        <f t="shared" si="152"/>
        <v>0</v>
      </c>
      <c r="AD109" s="12">
        <f t="shared" si="153"/>
        <v>0</v>
      </c>
      <c r="AE109" s="4">
        <f t="shared" si="154"/>
        <v>7616.666666666667</v>
      </c>
      <c r="AF109" s="3">
        <f t="shared" si="39"/>
        <v>5384.6153846153848</v>
      </c>
      <c r="AG109" s="3">
        <f t="shared" si="46"/>
        <v>592.30769230769238</v>
      </c>
      <c r="AH109" s="1">
        <v>1779.6666666666699</v>
      </c>
      <c r="AI109" s="1">
        <f t="shared" si="47"/>
        <v>62936.307692307659</v>
      </c>
      <c r="AJ109" s="1">
        <f t="shared" si="48"/>
        <v>224.20384615384572</v>
      </c>
      <c r="AK109" s="3">
        <f t="shared" si="49"/>
        <v>3.8083333333333336</v>
      </c>
      <c r="AL109" s="4">
        <f t="shared" si="155"/>
        <v>6796.3467948717953</v>
      </c>
      <c r="AM109" s="3">
        <v>0</v>
      </c>
      <c r="AN109" s="4">
        <f t="shared" si="156"/>
        <v>6796.3467948717953</v>
      </c>
      <c r="AO109" s="1">
        <f t="shared" si="157"/>
        <v>1009.6153846153846</v>
      </c>
      <c r="AP109" s="41">
        <v>21</v>
      </c>
      <c r="AQ109" s="54">
        <f t="shared" si="158"/>
        <v>8626.2820512820508</v>
      </c>
    </row>
    <row r="110" spans="1:43" x14ac:dyDescent="0.35">
      <c r="A110" s="27" t="s">
        <v>196</v>
      </c>
      <c r="B110" s="44" t="s">
        <v>611</v>
      </c>
      <c r="C110" s="61" t="s">
        <v>320</v>
      </c>
      <c r="D110" s="63" t="s">
        <v>507</v>
      </c>
      <c r="E110" s="64" t="s">
        <v>317</v>
      </c>
      <c r="F110" s="69">
        <v>30311018800152</v>
      </c>
      <c r="G110" s="70" t="s">
        <v>526</v>
      </c>
      <c r="H110" s="72">
        <v>4000</v>
      </c>
      <c r="I110" s="72">
        <v>3000</v>
      </c>
      <c r="J110" s="9">
        <v>0</v>
      </c>
      <c r="K110" s="75">
        <v>1.05</v>
      </c>
      <c r="L110" s="9">
        <f t="shared" si="150"/>
        <v>3150</v>
      </c>
      <c r="M110" s="9"/>
      <c r="N110" s="9">
        <f t="shared" si="31"/>
        <v>30</v>
      </c>
      <c r="O110" s="9">
        <f t="shared" si="32"/>
        <v>0</v>
      </c>
      <c r="P110" s="10">
        <f t="shared" si="33"/>
        <v>133.33333333333334</v>
      </c>
      <c r="Q110" s="10">
        <f t="shared" si="34"/>
        <v>105</v>
      </c>
      <c r="R110" s="10">
        <f t="shared" si="41"/>
        <v>238.33333333333334</v>
      </c>
      <c r="S110" s="10">
        <f t="shared" si="35"/>
        <v>16.666666666666668</v>
      </c>
      <c r="T110" s="9">
        <v>44</v>
      </c>
      <c r="U110" s="9">
        <f t="shared" si="36"/>
        <v>733.33333333333337</v>
      </c>
      <c r="V110" s="9">
        <v>0</v>
      </c>
      <c r="W110" s="16">
        <f t="shared" si="151"/>
        <v>7883.333333333333</v>
      </c>
      <c r="X110" s="49">
        <v>0</v>
      </c>
      <c r="Y110" s="11">
        <f t="shared" si="37"/>
        <v>0</v>
      </c>
      <c r="Z110" s="38">
        <v>0</v>
      </c>
      <c r="AA110" s="11">
        <f t="shared" si="38"/>
        <v>0</v>
      </c>
      <c r="AB110" s="11">
        <v>0</v>
      </c>
      <c r="AC110" s="11">
        <f t="shared" si="152"/>
        <v>0</v>
      </c>
      <c r="AD110" s="12">
        <f t="shared" si="153"/>
        <v>0</v>
      </c>
      <c r="AE110" s="4">
        <f t="shared" si="154"/>
        <v>7883.333333333333</v>
      </c>
      <c r="AF110" s="3">
        <f t="shared" si="39"/>
        <v>5384.6153846153848</v>
      </c>
      <c r="AG110" s="3">
        <f t="shared" si="46"/>
        <v>592.30769230769238</v>
      </c>
      <c r="AH110" s="1">
        <v>1780.6666666666699</v>
      </c>
      <c r="AI110" s="1">
        <f t="shared" si="47"/>
        <v>66124.307692307659</v>
      </c>
      <c r="AJ110" s="1">
        <f t="shared" si="48"/>
        <v>264.05384615384577</v>
      </c>
      <c r="AK110" s="3">
        <f t="shared" si="49"/>
        <v>3.9416666666666664</v>
      </c>
      <c r="AL110" s="4">
        <f t="shared" si="155"/>
        <v>7023.0301282051287</v>
      </c>
      <c r="AM110" s="3">
        <v>0</v>
      </c>
      <c r="AN110" s="4">
        <f t="shared" si="156"/>
        <v>7023.0301282051287</v>
      </c>
      <c r="AO110" s="1">
        <f t="shared" si="157"/>
        <v>1009.6153846153846</v>
      </c>
      <c r="AP110" s="41">
        <v>15</v>
      </c>
      <c r="AQ110" s="54">
        <f t="shared" si="158"/>
        <v>8892.9487179487169</v>
      </c>
    </row>
    <row r="111" spans="1:43" x14ac:dyDescent="0.35">
      <c r="A111" s="27" t="s">
        <v>196</v>
      </c>
      <c r="B111" s="44" t="s">
        <v>612</v>
      </c>
      <c r="C111" s="61" t="s">
        <v>299</v>
      </c>
      <c r="D111" s="63" t="s">
        <v>507</v>
      </c>
      <c r="E111" s="64" t="s">
        <v>253</v>
      </c>
      <c r="F111" s="69" t="s">
        <v>64</v>
      </c>
      <c r="G111" s="70" t="s">
        <v>526</v>
      </c>
      <c r="H111" s="72">
        <v>4000</v>
      </c>
      <c r="I111" s="72">
        <v>3000</v>
      </c>
      <c r="J111" s="9">
        <v>0</v>
      </c>
      <c r="K111" s="75">
        <v>1.05</v>
      </c>
      <c r="L111" s="9">
        <f t="shared" si="150"/>
        <v>3150</v>
      </c>
      <c r="M111" s="9"/>
      <c r="N111" s="9">
        <f t="shared" si="31"/>
        <v>30</v>
      </c>
      <c r="O111" s="9">
        <f t="shared" si="32"/>
        <v>0</v>
      </c>
      <c r="P111" s="10">
        <f t="shared" si="33"/>
        <v>133.33333333333334</v>
      </c>
      <c r="Q111" s="10">
        <f t="shared" si="34"/>
        <v>105</v>
      </c>
      <c r="R111" s="10">
        <f t="shared" si="41"/>
        <v>238.33333333333334</v>
      </c>
      <c r="S111" s="10">
        <f t="shared" si="35"/>
        <v>16.666666666666668</v>
      </c>
      <c r="T111" s="9">
        <v>28</v>
      </c>
      <c r="U111" s="9">
        <f t="shared" si="36"/>
        <v>466.66666666666669</v>
      </c>
      <c r="V111" s="9">
        <v>0</v>
      </c>
      <c r="W111" s="16">
        <f t="shared" si="151"/>
        <v>7616.666666666667</v>
      </c>
      <c r="X111" s="49">
        <v>0</v>
      </c>
      <c r="Y111" s="11">
        <f t="shared" si="37"/>
        <v>0</v>
      </c>
      <c r="Z111" s="38">
        <v>0</v>
      </c>
      <c r="AA111" s="11">
        <f t="shared" si="38"/>
        <v>0</v>
      </c>
      <c r="AB111" s="11">
        <v>0</v>
      </c>
      <c r="AC111" s="11">
        <f t="shared" si="152"/>
        <v>0</v>
      </c>
      <c r="AD111" s="12">
        <f t="shared" si="153"/>
        <v>0</v>
      </c>
      <c r="AE111" s="4">
        <f t="shared" si="154"/>
        <v>7616.666666666667</v>
      </c>
      <c r="AF111" s="3">
        <f t="shared" si="39"/>
        <v>5384.6153846153848</v>
      </c>
      <c r="AG111" s="3">
        <f t="shared" si="46"/>
        <v>592.30769230769238</v>
      </c>
      <c r="AH111" s="1">
        <v>1781.6666666666699</v>
      </c>
      <c r="AI111" s="1">
        <f t="shared" si="47"/>
        <v>62912.307692307659</v>
      </c>
      <c r="AJ111" s="1">
        <f t="shared" si="48"/>
        <v>223.90384615384573</v>
      </c>
      <c r="AK111" s="3">
        <f t="shared" si="49"/>
        <v>3.8083333333333336</v>
      </c>
      <c r="AL111" s="4">
        <f t="shared" si="155"/>
        <v>6796.6467948717955</v>
      </c>
      <c r="AM111" s="3">
        <v>0</v>
      </c>
      <c r="AN111" s="4">
        <f t="shared" si="156"/>
        <v>6796.6467948717955</v>
      </c>
      <c r="AO111" s="1">
        <f t="shared" si="157"/>
        <v>1009.6153846153846</v>
      </c>
      <c r="AP111" s="41">
        <v>8</v>
      </c>
      <c r="AQ111" s="54">
        <f t="shared" si="158"/>
        <v>8626.2820512820508</v>
      </c>
    </row>
    <row r="112" spans="1:43" x14ac:dyDescent="0.35">
      <c r="A112" s="27" t="s">
        <v>196</v>
      </c>
      <c r="B112" s="44" t="s">
        <v>613</v>
      </c>
      <c r="C112" s="61" t="s">
        <v>565</v>
      </c>
      <c r="D112" s="63" t="s">
        <v>507</v>
      </c>
      <c r="E112" s="64" t="s">
        <v>707</v>
      </c>
      <c r="F112" s="69">
        <v>29809162101504</v>
      </c>
      <c r="G112" s="70" t="s">
        <v>526</v>
      </c>
      <c r="H112" s="72">
        <v>4000</v>
      </c>
      <c r="I112" s="72">
        <v>3000</v>
      </c>
      <c r="J112" s="9">
        <v>0</v>
      </c>
      <c r="K112" s="75">
        <v>1.05</v>
      </c>
      <c r="L112" s="9">
        <f t="shared" si="150"/>
        <v>3150</v>
      </c>
      <c r="M112" s="9"/>
      <c r="N112" s="9">
        <f t="shared" si="31"/>
        <v>30</v>
      </c>
      <c r="O112" s="9">
        <f t="shared" si="32"/>
        <v>0</v>
      </c>
      <c r="P112" s="10">
        <f t="shared" si="33"/>
        <v>133.33333333333334</v>
      </c>
      <c r="Q112" s="10">
        <f t="shared" si="34"/>
        <v>105</v>
      </c>
      <c r="R112" s="10">
        <f t="shared" si="41"/>
        <v>238.33333333333334</v>
      </c>
      <c r="S112" s="10">
        <f t="shared" si="35"/>
        <v>16.666666666666668</v>
      </c>
      <c r="T112" s="9">
        <v>44</v>
      </c>
      <c r="U112" s="9">
        <f t="shared" si="36"/>
        <v>733.33333333333337</v>
      </c>
      <c r="V112" s="9">
        <v>0</v>
      </c>
      <c r="W112" s="16">
        <f t="shared" si="151"/>
        <v>7883.333333333333</v>
      </c>
      <c r="X112" s="49">
        <v>0</v>
      </c>
      <c r="Y112" s="11">
        <f t="shared" si="37"/>
        <v>0</v>
      </c>
      <c r="Z112" s="38">
        <v>0</v>
      </c>
      <c r="AA112" s="11">
        <f t="shared" si="38"/>
        <v>0</v>
      </c>
      <c r="AB112" s="11">
        <v>0</v>
      </c>
      <c r="AC112" s="11">
        <f t="shared" si="152"/>
        <v>0</v>
      </c>
      <c r="AD112" s="12">
        <f t="shared" si="153"/>
        <v>0</v>
      </c>
      <c r="AE112" s="4">
        <f t="shared" si="154"/>
        <v>7883.333333333333</v>
      </c>
      <c r="AF112" s="3">
        <f t="shared" si="39"/>
        <v>5384.6153846153848</v>
      </c>
      <c r="AG112" s="3">
        <f t="shared" si="46"/>
        <v>592.30769230769238</v>
      </c>
      <c r="AH112" s="1">
        <v>1782.6666666666699</v>
      </c>
      <c r="AI112" s="1">
        <f t="shared" si="47"/>
        <v>66100.307692307659</v>
      </c>
      <c r="AJ112" s="1">
        <f t="shared" si="48"/>
        <v>263.7538461538457</v>
      </c>
      <c r="AK112" s="3">
        <f t="shared" si="49"/>
        <v>3.9416666666666664</v>
      </c>
      <c r="AL112" s="4">
        <f t="shared" si="155"/>
        <v>7023.3301282051279</v>
      </c>
      <c r="AM112" s="3">
        <v>0</v>
      </c>
      <c r="AN112" s="4">
        <f t="shared" si="156"/>
        <v>7023.3301282051279</v>
      </c>
      <c r="AO112" s="1">
        <f t="shared" si="157"/>
        <v>1009.6153846153846</v>
      </c>
      <c r="AP112" s="41">
        <v>16</v>
      </c>
      <c r="AQ112" s="54">
        <f t="shared" si="158"/>
        <v>8892.9487179487169</v>
      </c>
    </row>
    <row r="113" spans="1:43" x14ac:dyDescent="0.35">
      <c r="A113" s="27" t="s">
        <v>196</v>
      </c>
      <c r="B113" s="44" t="s">
        <v>614</v>
      </c>
      <c r="C113" s="61" t="s">
        <v>531</v>
      </c>
      <c r="D113" s="63" t="s">
        <v>507</v>
      </c>
      <c r="E113" s="64" t="s">
        <v>708</v>
      </c>
      <c r="F113" s="69">
        <v>30405170101388</v>
      </c>
      <c r="G113" s="70" t="s">
        <v>526</v>
      </c>
      <c r="H113" s="72">
        <v>4000</v>
      </c>
      <c r="I113" s="72">
        <v>3000</v>
      </c>
      <c r="J113" s="9">
        <v>0</v>
      </c>
      <c r="K113" s="75">
        <v>1.05</v>
      </c>
      <c r="L113" s="9">
        <f t="shared" si="150"/>
        <v>3150</v>
      </c>
      <c r="M113" s="9"/>
      <c r="N113" s="9">
        <f t="shared" si="31"/>
        <v>30</v>
      </c>
      <c r="O113" s="9">
        <f t="shared" si="32"/>
        <v>0</v>
      </c>
      <c r="P113" s="10">
        <f t="shared" si="33"/>
        <v>133.33333333333334</v>
      </c>
      <c r="Q113" s="10">
        <f t="shared" si="34"/>
        <v>105</v>
      </c>
      <c r="R113" s="10">
        <f t="shared" si="41"/>
        <v>238.33333333333334</v>
      </c>
      <c r="S113" s="10">
        <f t="shared" si="35"/>
        <v>16.666666666666668</v>
      </c>
      <c r="T113" s="9">
        <v>28</v>
      </c>
      <c r="U113" s="9">
        <f t="shared" si="36"/>
        <v>466.66666666666669</v>
      </c>
      <c r="V113" s="9">
        <v>0</v>
      </c>
      <c r="W113" s="16">
        <f t="shared" si="151"/>
        <v>7616.666666666667</v>
      </c>
      <c r="X113" s="49">
        <v>0</v>
      </c>
      <c r="Y113" s="11">
        <f t="shared" si="37"/>
        <v>0</v>
      </c>
      <c r="Z113" s="38">
        <v>2</v>
      </c>
      <c r="AA113" s="11">
        <f t="shared" si="38"/>
        <v>266.66666666666669</v>
      </c>
      <c r="AB113" s="11">
        <v>0</v>
      </c>
      <c r="AC113" s="11">
        <f t="shared" si="152"/>
        <v>0</v>
      </c>
      <c r="AD113" s="12">
        <f t="shared" si="153"/>
        <v>266.66666666666669</v>
      </c>
      <c r="AE113" s="4">
        <f t="shared" si="154"/>
        <v>7350</v>
      </c>
      <c r="AF113" s="3">
        <f t="shared" si="39"/>
        <v>5384.6153846153848</v>
      </c>
      <c r="AG113" s="3">
        <f t="shared" si="46"/>
        <v>592.30769230769238</v>
      </c>
      <c r="AH113" s="1">
        <v>1783.6666666666699</v>
      </c>
      <c r="AI113" s="1">
        <f t="shared" si="47"/>
        <v>59688.307692307659</v>
      </c>
      <c r="AJ113" s="1">
        <f t="shared" si="48"/>
        <v>183.60384615384575</v>
      </c>
      <c r="AK113" s="3">
        <f t="shared" si="49"/>
        <v>3.6750000000000003</v>
      </c>
      <c r="AL113" s="4">
        <f t="shared" si="155"/>
        <v>6570.4134615384619</v>
      </c>
      <c r="AM113" s="3">
        <v>0</v>
      </c>
      <c r="AN113" s="4">
        <f t="shared" si="156"/>
        <v>6570.4134615384619</v>
      </c>
      <c r="AO113" s="1">
        <f t="shared" si="157"/>
        <v>1009.6153846153846</v>
      </c>
      <c r="AP113" s="41">
        <v>13</v>
      </c>
      <c r="AQ113" s="54">
        <f t="shared" si="158"/>
        <v>8359.6153846153848</v>
      </c>
    </row>
    <row r="114" spans="1:43" x14ac:dyDescent="0.35">
      <c r="A114" s="27" t="s">
        <v>196</v>
      </c>
      <c r="B114" s="44" t="s">
        <v>615</v>
      </c>
      <c r="C114" s="61" t="s">
        <v>300</v>
      </c>
      <c r="D114" s="63" t="s">
        <v>507</v>
      </c>
      <c r="E114" s="64" t="s">
        <v>254</v>
      </c>
      <c r="F114" s="69" t="s">
        <v>39</v>
      </c>
      <c r="G114" s="70" t="s">
        <v>526</v>
      </c>
      <c r="H114" s="72">
        <v>4000</v>
      </c>
      <c r="I114" s="72">
        <v>3000</v>
      </c>
      <c r="J114" s="9">
        <v>0</v>
      </c>
      <c r="K114" s="75">
        <v>1.05</v>
      </c>
      <c r="L114" s="9">
        <f t="shared" si="150"/>
        <v>3150</v>
      </c>
      <c r="M114" s="9"/>
      <c r="N114" s="9">
        <f t="shared" si="31"/>
        <v>30</v>
      </c>
      <c r="O114" s="9">
        <f t="shared" si="32"/>
        <v>0</v>
      </c>
      <c r="P114" s="10">
        <f t="shared" si="33"/>
        <v>133.33333333333334</v>
      </c>
      <c r="Q114" s="10">
        <f t="shared" si="34"/>
        <v>105</v>
      </c>
      <c r="R114" s="10">
        <f t="shared" si="41"/>
        <v>238.33333333333334</v>
      </c>
      <c r="S114" s="10">
        <f t="shared" si="35"/>
        <v>16.666666666666668</v>
      </c>
      <c r="T114" s="9">
        <v>12</v>
      </c>
      <c r="U114" s="9">
        <f t="shared" si="36"/>
        <v>200</v>
      </c>
      <c r="V114" s="9">
        <v>0</v>
      </c>
      <c r="W114" s="16">
        <f t="shared" si="151"/>
        <v>7350</v>
      </c>
      <c r="X114" s="49">
        <v>0</v>
      </c>
      <c r="Y114" s="11">
        <f t="shared" si="37"/>
        <v>0</v>
      </c>
      <c r="Z114" s="38">
        <v>0</v>
      </c>
      <c r="AA114" s="11">
        <f t="shared" si="38"/>
        <v>0</v>
      </c>
      <c r="AB114" s="11">
        <v>0</v>
      </c>
      <c r="AC114" s="11">
        <f t="shared" si="152"/>
        <v>0</v>
      </c>
      <c r="AD114" s="12">
        <f t="shared" si="153"/>
        <v>0</v>
      </c>
      <c r="AE114" s="4">
        <f t="shared" si="154"/>
        <v>7350</v>
      </c>
      <c r="AF114" s="3">
        <f t="shared" si="39"/>
        <v>5384.6153846153848</v>
      </c>
      <c r="AG114" s="3">
        <f t="shared" si="46"/>
        <v>592.30769230769238</v>
      </c>
      <c r="AH114" s="1">
        <v>1784.6666666666699</v>
      </c>
      <c r="AI114" s="1">
        <f t="shared" si="47"/>
        <v>59676.307692307659</v>
      </c>
      <c r="AJ114" s="1">
        <f t="shared" si="48"/>
        <v>183.45384615384572</v>
      </c>
      <c r="AK114" s="3">
        <f t="shared" si="49"/>
        <v>3.6750000000000003</v>
      </c>
      <c r="AL114" s="4">
        <f t="shared" si="155"/>
        <v>6570.5634615384615</v>
      </c>
      <c r="AM114" s="3">
        <v>0</v>
      </c>
      <c r="AN114" s="4">
        <f t="shared" si="156"/>
        <v>6570.5634615384615</v>
      </c>
      <c r="AO114" s="1">
        <f t="shared" si="157"/>
        <v>1009.6153846153846</v>
      </c>
      <c r="AP114" s="41">
        <v>13</v>
      </c>
      <c r="AQ114" s="54">
        <f t="shared" si="158"/>
        <v>8359.6153846153848</v>
      </c>
    </row>
    <row r="115" spans="1:43" x14ac:dyDescent="0.35">
      <c r="A115" s="27" t="s">
        <v>196</v>
      </c>
      <c r="B115" s="44" t="s">
        <v>616</v>
      </c>
      <c r="C115" s="61" t="s">
        <v>302</v>
      </c>
      <c r="D115" s="63" t="s">
        <v>507</v>
      </c>
      <c r="E115" s="64" t="s">
        <v>255</v>
      </c>
      <c r="F115" s="69" t="s">
        <v>40</v>
      </c>
      <c r="G115" s="70" t="s">
        <v>526</v>
      </c>
      <c r="H115" s="72">
        <v>4000</v>
      </c>
      <c r="I115" s="72">
        <v>3000</v>
      </c>
      <c r="J115" s="9">
        <v>0</v>
      </c>
      <c r="K115" s="75">
        <v>1.05</v>
      </c>
      <c r="L115" s="9">
        <f t="shared" si="150"/>
        <v>3150</v>
      </c>
      <c r="M115" s="9"/>
      <c r="N115" s="9">
        <f t="shared" si="31"/>
        <v>30</v>
      </c>
      <c r="O115" s="9">
        <f t="shared" si="32"/>
        <v>0</v>
      </c>
      <c r="P115" s="10">
        <f t="shared" si="33"/>
        <v>133.33333333333334</v>
      </c>
      <c r="Q115" s="10">
        <f t="shared" si="34"/>
        <v>105</v>
      </c>
      <c r="R115" s="10">
        <f t="shared" si="41"/>
        <v>238.33333333333334</v>
      </c>
      <c r="S115" s="10">
        <f t="shared" si="35"/>
        <v>16.666666666666668</v>
      </c>
      <c r="T115" s="9">
        <v>28</v>
      </c>
      <c r="U115" s="9">
        <f t="shared" si="36"/>
        <v>466.66666666666669</v>
      </c>
      <c r="V115" s="9">
        <v>0</v>
      </c>
      <c r="W115" s="16">
        <f t="shared" si="151"/>
        <v>7616.666666666667</v>
      </c>
      <c r="X115" s="49">
        <v>0</v>
      </c>
      <c r="Y115" s="11">
        <f t="shared" si="37"/>
        <v>0</v>
      </c>
      <c r="Z115" s="38">
        <v>2</v>
      </c>
      <c r="AA115" s="11">
        <f t="shared" si="38"/>
        <v>266.66666666666669</v>
      </c>
      <c r="AB115" s="11">
        <v>0</v>
      </c>
      <c r="AC115" s="11">
        <f t="shared" si="152"/>
        <v>0</v>
      </c>
      <c r="AD115" s="12">
        <f t="shared" si="153"/>
        <v>266.66666666666669</v>
      </c>
      <c r="AE115" s="4">
        <f t="shared" si="154"/>
        <v>7350</v>
      </c>
      <c r="AF115" s="3">
        <f t="shared" si="39"/>
        <v>5384.6153846153848</v>
      </c>
      <c r="AG115" s="3">
        <f t="shared" si="46"/>
        <v>592.30769230769238</v>
      </c>
      <c r="AH115" s="1">
        <v>1785.6666666666699</v>
      </c>
      <c r="AI115" s="1">
        <f t="shared" si="47"/>
        <v>59664.307692307659</v>
      </c>
      <c r="AJ115" s="1">
        <f t="shared" si="48"/>
        <v>183.30384615384574</v>
      </c>
      <c r="AK115" s="3">
        <f t="shared" si="49"/>
        <v>3.6750000000000003</v>
      </c>
      <c r="AL115" s="4">
        <f t="shared" si="155"/>
        <v>6570.7134615384621</v>
      </c>
      <c r="AM115" s="3">
        <v>0</v>
      </c>
      <c r="AN115" s="4">
        <f t="shared" si="156"/>
        <v>6570.7134615384621</v>
      </c>
      <c r="AO115" s="1">
        <f t="shared" si="157"/>
        <v>1009.6153846153846</v>
      </c>
      <c r="AP115" s="41">
        <v>10</v>
      </c>
      <c r="AQ115" s="54">
        <f t="shared" si="158"/>
        <v>8359.6153846153848</v>
      </c>
    </row>
    <row r="116" spans="1:43" x14ac:dyDescent="0.35">
      <c r="A116" s="27" t="s">
        <v>196</v>
      </c>
      <c r="B116" s="44" t="s">
        <v>617</v>
      </c>
      <c r="C116" s="61" t="s">
        <v>478</v>
      </c>
      <c r="D116" s="63" t="s">
        <v>507</v>
      </c>
      <c r="E116" s="64" t="s">
        <v>470</v>
      </c>
      <c r="F116" s="69">
        <v>30705152104772</v>
      </c>
      <c r="G116" s="70" t="s">
        <v>526</v>
      </c>
      <c r="H116" s="72">
        <v>4000</v>
      </c>
      <c r="I116" s="72">
        <v>3000</v>
      </c>
      <c r="J116" s="9">
        <v>0</v>
      </c>
      <c r="K116" s="75">
        <v>1.05</v>
      </c>
      <c r="L116" s="9">
        <f t="shared" si="69"/>
        <v>3150</v>
      </c>
      <c r="M116" s="9"/>
      <c r="N116" s="9">
        <f t="shared" si="31"/>
        <v>30</v>
      </c>
      <c r="O116" s="9">
        <f t="shared" si="32"/>
        <v>0</v>
      </c>
      <c r="P116" s="10">
        <f t="shared" si="33"/>
        <v>133.33333333333334</v>
      </c>
      <c r="Q116" s="10">
        <f t="shared" si="34"/>
        <v>105</v>
      </c>
      <c r="R116" s="10">
        <f t="shared" si="41"/>
        <v>238.33333333333334</v>
      </c>
      <c r="S116" s="10">
        <f t="shared" si="35"/>
        <v>16.666666666666668</v>
      </c>
      <c r="T116" s="9">
        <v>28</v>
      </c>
      <c r="U116" s="9">
        <f t="shared" si="36"/>
        <v>466.66666666666669</v>
      </c>
      <c r="V116" s="9">
        <v>0</v>
      </c>
      <c r="W116" s="16">
        <f t="shared" si="70"/>
        <v>7616.666666666667</v>
      </c>
      <c r="X116" s="49">
        <v>0</v>
      </c>
      <c r="Y116" s="11">
        <f t="shared" si="37"/>
        <v>0</v>
      </c>
      <c r="Z116" s="38">
        <v>0</v>
      </c>
      <c r="AA116" s="11">
        <f t="shared" si="38"/>
        <v>0</v>
      </c>
      <c r="AB116" s="11">
        <v>0</v>
      </c>
      <c r="AC116" s="11">
        <f t="shared" si="71"/>
        <v>0</v>
      </c>
      <c r="AD116" s="12">
        <f t="shared" si="72"/>
        <v>0</v>
      </c>
      <c r="AE116" s="4">
        <f t="shared" si="73"/>
        <v>7616.666666666667</v>
      </c>
      <c r="AF116" s="3">
        <f t="shared" si="39"/>
        <v>5384.6153846153848</v>
      </c>
      <c r="AG116" s="3">
        <f t="shared" si="46"/>
        <v>592.30769230769238</v>
      </c>
      <c r="AH116" s="1">
        <v>1786.6666666666699</v>
      </c>
      <c r="AI116" s="1">
        <f t="shared" si="47"/>
        <v>62852.307692307659</v>
      </c>
      <c r="AJ116" s="1">
        <f t="shared" si="48"/>
        <v>223.15384615384573</v>
      </c>
      <c r="AK116" s="3">
        <f t="shared" si="49"/>
        <v>3.8083333333333336</v>
      </c>
      <c r="AL116" s="4">
        <f t="shared" si="74"/>
        <v>6797.3967948717955</v>
      </c>
      <c r="AM116" s="3">
        <v>0</v>
      </c>
      <c r="AN116" s="4">
        <f t="shared" si="75"/>
        <v>6797.3967948717955</v>
      </c>
      <c r="AO116" s="1">
        <f t="shared" si="76"/>
        <v>1009.6153846153846</v>
      </c>
      <c r="AP116" s="41">
        <v>12</v>
      </c>
      <c r="AQ116" s="54">
        <f t="shared" si="77"/>
        <v>8626.2820512820508</v>
      </c>
    </row>
    <row r="117" spans="1:43" x14ac:dyDescent="0.35">
      <c r="A117" s="27" t="s">
        <v>196</v>
      </c>
      <c r="B117" s="44" t="s">
        <v>618</v>
      </c>
      <c r="C117" s="61" t="s">
        <v>578</v>
      </c>
      <c r="D117" s="60" t="s">
        <v>259</v>
      </c>
      <c r="E117" s="64" t="s">
        <v>709</v>
      </c>
      <c r="F117" s="69">
        <v>30405241402376</v>
      </c>
      <c r="G117" s="70" t="s">
        <v>526</v>
      </c>
      <c r="H117" s="72">
        <v>4000</v>
      </c>
      <c r="I117" s="72">
        <v>3000</v>
      </c>
      <c r="J117" s="9">
        <v>0</v>
      </c>
      <c r="K117" s="75">
        <v>1.05</v>
      </c>
      <c r="L117" s="9">
        <f t="shared" ref="L117:L119" si="159">+I117*K117</f>
        <v>3150</v>
      </c>
      <c r="M117" s="9"/>
      <c r="N117" s="9">
        <f t="shared" si="31"/>
        <v>30</v>
      </c>
      <c r="O117" s="9">
        <f t="shared" si="32"/>
        <v>0</v>
      </c>
      <c r="P117" s="10">
        <f t="shared" si="33"/>
        <v>133.33333333333334</v>
      </c>
      <c r="Q117" s="10">
        <f t="shared" si="34"/>
        <v>105</v>
      </c>
      <c r="R117" s="10">
        <f t="shared" si="41"/>
        <v>238.33333333333334</v>
      </c>
      <c r="S117" s="10">
        <f t="shared" si="35"/>
        <v>16.666666666666668</v>
      </c>
      <c r="T117" s="9">
        <v>44</v>
      </c>
      <c r="U117" s="9">
        <f t="shared" si="36"/>
        <v>733.33333333333337</v>
      </c>
      <c r="V117" s="9">
        <v>0</v>
      </c>
      <c r="W117" s="16">
        <f t="shared" ref="W117:W119" si="160">H117+L117+U117+V117+J117</f>
        <v>7883.333333333333</v>
      </c>
      <c r="X117" s="49">
        <v>0</v>
      </c>
      <c r="Y117" s="11">
        <f t="shared" si="37"/>
        <v>0</v>
      </c>
      <c r="Z117" s="38">
        <v>2</v>
      </c>
      <c r="AA117" s="11">
        <f t="shared" si="38"/>
        <v>266.66666666666669</v>
      </c>
      <c r="AB117" s="11">
        <v>0</v>
      </c>
      <c r="AC117" s="11">
        <f t="shared" ref="AC117:AC119" si="161">Q117*AB117</f>
        <v>0</v>
      </c>
      <c r="AD117" s="12">
        <f t="shared" ref="AD117:AD119" si="162">Y117+AA117+AC117</f>
        <v>266.66666666666669</v>
      </c>
      <c r="AE117" s="4">
        <f t="shared" ref="AE117:AE119" si="163">W117-AD117</f>
        <v>7616.6666666666661</v>
      </c>
      <c r="AF117" s="3">
        <f t="shared" si="39"/>
        <v>5384.6153846153848</v>
      </c>
      <c r="AG117" s="3">
        <f t="shared" si="46"/>
        <v>592.30769230769238</v>
      </c>
      <c r="AH117" s="1">
        <v>1787.6666666666699</v>
      </c>
      <c r="AI117" s="1">
        <f t="shared" si="47"/>
        <v>62840.307692307644</v>
      </c>
      <c r="AJ117" s="1">
        <f t="shared" si="48"/>
        <v>223.00384615384556</v>
      </c>
      <c r="AK117" s="3">
        <f t="shared" si="49"/>
        <v>3.8083333333333331</v>
      </c>
      <c r="AL117" s="4">
        <f t="shared" ref="AL117:AL119" si="164">+AE117-AG117-AJ117-AK117</f>
        <v>6797.5467948717951</v>
      </c>
      <c r="AM117" s="3">
        <v>0</v>
      </c>
      <c r="AN117" s="4">
        <f t="shared" ref="AN117:AN119" si="165">+AL117-AM117</f>
        <v>6797.5467948717951</v>
      </c>
      <c r="AO117" s="1">
        <f t="shared" ref="AO117:AO119" si="166">+AF117*0.1875</f>
        <v>1009.6153846153846</v>
      </c>
      <c r="AP117" s="41">
        <v>18</v>
      </c>
      <c r="AQ117" s="54">
        <f t="shared" ref="AQ117:AQ119" si="167">AE117+AO117</f>
        <v>8626.2820512820508</v>
      </c>
    </row>
    <row r="118" spans="1:43" x14ac:dyDescent="0.35">
      <c r="A118" s="27" t="s">
        <v>196</v>
      </c>
      <c r="B118" s="44" t="s">
        <v>619</v>
      </c>
      <c r="C118" s="61" t="s">
        <v>653</v>
      </c>
      <c r="D118" s="63" t="s">
        <v>507</v>
      </c>
      <c r="E118" s="64" t="s">
        <v>651</v>
      </c>
      <c r="F118" s="69">
        <v>30609282105488</v>
      </c>
      <c r="G118" s="70" t="s">
        <v>526</v>
      </c>
      <c r="H118" s="72">
        <v>4000</v>
      </c>
      <c r="I118" s="72">
        <v>3000</v>
      </c>
      <c r="J118" s="9">
        <v>0</v>
      </c>
      <c r="K118" s="75">
        <v>1.05</v>
      </c>
      <c r="L118" s="9">
        <f t="shared" ref="L118" si="168">+I118*K118</f>
        <v>3150</v>
      </c>
      <c r="M118" s="9"/>
      <c r="N118" s="9">
        <f t="shared" si="31"/>
        <v>30</v>
      </c>
      <c r="O118" s="9">
        <f t="shared" si="32"/>
        <v>0</v>
      </c>
      <c r="P118" s="10">
        <f t="shared" si="33"/>
        <v>133.33333333333334</v>
      </c>
      <c r="Q118" s="10">
        <f t="shared" si="34"/>
        <v>105</v>
      </c>
      <c r="R118" s="10">
        <f t="shared" ref="R118" si="169">Q118+P118</f>
        <v>238.33333333333334</v>
      </c>
      <c r="S118" s="10">
        <f t="shared" si="35"/>
        <v>16.666666666666668</v>
      </c>
      <c r="T118" s="9">
        <v>28</v>
      </c>
      <c r="U118" s="9">
        <f t="shared" si="36"/>
        <v>466.66666666666669</v>
      </c>
      <c r="V118" s="9">
        <v>0</v>
      </c>
      <c r="W118" s="16">
        <f t="shared" ref="W118" si="170">H118+L118+U118+V118+J118</f>
        <v>7616.666666666667</v>
      </c>
      <c r="X118" s="49">
        <v>0</v>
      </c>
      <c r="Y118" s="11">
        <f t="shared" si="37"/>
        <v>0</v>
      </c>
      <c r="Z118" s="38">
        <v>0</v>
      </c>
      <c r="AA118" s="11">
        <f t="shared" si="38"/>
        <v>0</v>
      </c>
      <c r="AB118" s="11">
        <v>0</v>
      </c>
      <c r="AC118" s="11">
        <f t="shared" ref="AC118" si="171">Q118*AB118</f>
        <v>0</v>
      </c>
      <c r="AD118" s="12">
        <f t="shared" ref="AD118" si="172">Y118+AA118+AC118</f>
        <v>0</v>
      </c>
      <c r="AE118" s="4">
        <f t="shared" ref="AE118" si="173">W118-AD118</f>
        <v>7616.666666666667</v>
      </c>
      <c r="AF118" s="3">
        <f t="shared" si="39"/>
        <v>5384.6153846153848</v>
      </c>
      <c r="AG118" s="3">
        <f t="shared" si="46"/>
        <v>592.30769230769238</v>
      </c>
      <c r="AH118" s="1">
        <v>1788.6666666666699</v>
      </c>
      <c r="AI118" s="1">
        <f t="shared" si="47"/>
        <v>62828.307692307659</v>
      </c>
      <c r="AJ118" s="1">
        <f t="shared" si="48"/>
        <v>222.85384615384569</v>
      </c>
      <c r="AK118" s="3">
        <f t="shared" si="49"/>
        <v>3.8083333333333336</v>
      </c>
      <c r="AL118" s="4">
        <f t="shared" ref="AL118" si="174">+AE118-AG118-AJ118-AK118</f>
        <v>6797.6967948717956</v>
      </c>
      <c r="AM118" s="3">
        <v>0</v>
      </c>
      <c r="AN118" s="4">
        <f t="shared" ref="AN118" si="175">+AL118-AM118</f>
        <v>6797.6967948717956</v>
      </c>
      <c r="AO118" s="1">
        <f t="shared" ref="AO118" si="176">+AF118*0.1875</f>
        <v>1009.6153846153846</v>
      </c>
      <c r="AP118" s="41">
        <v>19</v>
      </c>
      <c r="AQ118" s="54">
        <f t="shared" ref="AQ118" si="177">AE118+AO118</f>
        <v>8626.2820512820508</v>
      </c>
    </row>
    <row r="119" spans="1:43" x14ac:dyDescent="0.35">
      <c r="A119" s="27" t="s">
        <v>196</v>
      </c>
      <c r="B119" s="44" t="s">
        <v>620</v>
      </c>
      <c r="C119" s="61" t="s">
        <v>654</v>
      </c>
      <c r="D119" s="60" t="s">
        <v>259</v>
      </c>
      <c r="E119" s="64" t="s">
        <v>652</v>
      </c>
      <c r="F119" s="69">
        <v>30208060105167</v>
      </c>
      <c r="G119" s="70" t="s">
        <v>526</v>
      </c>
      <c r="H119" s="72">
        <v>4000</v>
      </c>
      <c r="I119" s="72">
        <v>3000</v>
      </c>
      <c r="J119" s="9">
        <v>0</v>
      </c>
      <c r="K119" s="75">
        <v>1.05</v>
      </c>
      <c r="L119" s="9">
        <f t="shared" si="159"/>
        <v>3150</v>
      </c>
      <c r="M119" s="9"/>
      <c r="N119" s="9">
        <f t="shared" ref="N119" si="178">30-X119</f>
        <v>30</v>
      </c>
      <c r="O119" s="9">
        <f t="shared" ref="O119" si="179">M119*N119</f>
        <v>0</v>
      </c>
      <c r="P119" s="10">
        <f t="shared" ref="P119" si="180">H119/30</f>
        <v>133.33333333333334</v>
      </c>
      <c r="Q119" s="10">
        <f t="shared" ref="Q119" si="181">L119/30</f>
        <v>105</v>
      </c>
      <c r="R119" s="10">
        <f t="shared" si="41"/>
        <v>238.33333333333334</v>
      </c>
      <c r="S119" s="10">
        <f t="shared" ref="S119" si="182">+P119/8</f>
        <v>16.666666666666668</v>
      </c>
      <c r="T119" s="9">
        <v>12</v>
      </c>
      <c r="U119" s="9">
        <f t="shared" ref="U119" si="183">+S119*T119</f>
        <v>200</v>
      </c>
      <c r="V119" s="9">
        <v>0</v>
      </c>
      <c r="W119" s="16">
        <f t="shared" si="160"/>
        <v>7350</v>
      </c>
      <c r="X119" s="49">
        <v>0</v>
      </c>
      <c r="Y119" s="11">
        <f t="shared" ref="Y119" si="184">R119*X119</f>
        <v>0</v>
      </c>
      <c r="Z119" s="38">
        <v>0</v>
      </c>
      <c r="AA119" s="11">
        <f t="shared" ref="AA119" si="185">P119*Z119</f>
        <v>0</v>
      </c>
      <c r="AB119" s="11">
        <v>0</v>
      </c>
      <c r="AC119" s="11">
        <f t="shared" si="161"/>
        <v>0</v>
      </c>
      <c r="AD119" s="12">
        <f t="shared" si="162"/>
        <v>0</v>
      </c>
      <c r="AE119" s="4">
        <f t="shared" si="163"/>
        <v>7350</v>
      </c>
      <c r="AF119" s="3">
        <f t="shared" si="39"/>
        <v>5384.6153846153848</v>
      </c>
      <c r="AG119" s="3">
        <f t="shared" si="46"/>
        <v>592.30769230769238</v>
      </c>
      <c r="AH119" s="1">
        <v>1789.6666666666699</v>
      </c>
      <c r="AI119" s="1">
        <f t="shared" si="47"/>
        <v>59616.307692307659</v>
      </c>
      <c r="AJ119" s="1">
        <f t="shared" si="48"/>
        <v>182.70384615384572</v>
      </c>
      <c r="AK119" s="3">
        <f t="shared" si="49"/>
        <v>3.6750000000000003</v>
      </c>
      <c r="AL119" s="4">
        <f t="shared" si="164"/>
        <v>6571.3134615384615</v>
      </c>
      <c r="AM119" s="3">
        <v>0</v>
      </c>
      <c r="AN119" s="4">
        <f t="shared" si="165"/>
        <v>6571.3134615384615</v>
      </c>
      <c r="AO119" s="1">
        <f t="shared" si="166"/>
        <v>1009.6153846153846</v>
      </c>
      <c r="AP119" s="41">
        <v>20</v>
      </c>
      <c r="AQ119" s="54">
        <f t="shared" si="167"/>
        <v>8359.6153846153848</v>
      </c>
    </row>
    <row r="120" spans="1:43" s="2" customFormat="1" x14ac:dyDescent="0.35">
      <c r="A120" s="27" t="s">
        <v>196</v>
      </c>
      <c r="B120" s="44" t="s">
        <v>621</v>
      </c>
      <c r="C120" s="58" t="s">
        <v>641</v>
      </c>
      <c r="D120" s="63" t="s">
        <v>507</v>
      </c>
      <c r="E120" s="66" t="s">
        <v>517</v>
      </c>
      <c r="F120" s="69" t="s">
        <v>519</v>
      </c>
      <c r="G120" s="70" t="s">
        <v>656</v>
      </c>
      <c r="H120" s="72">
        <v>5000</v>
      </c>
      <c r="I120" s="72">
        <v>3000</v>
      </c>
      <c r="J120" s="31"/>
      <c r="K120" s="75">
        <v>1.05</v>
      </c>
      <c r="L120" s="9">
        <f t="shared" ref="L120:L127" si="186">+I120*K120</f>
        <v>3150</v>
      </c>
      <c r="M120" s="9">
        <v>0</v>
      </c>
      <c r="N120" s="9">
        <f t="shared" ref="N120:N127" si="187">30-X120</f>
        <v>30</v>
      </c>
      <c r="O120" s="9">
        <f t="shared" ref="O120:O127" si="188">M120*N120</f>
        <v>0</v>
      </c>
      <c r="P120" s="10">
        <f t="shared" ref="P120:P127" si="189">H120/30</f>
        <v>166.66666666666666</v>
      </c>
      <c r="Q120" s="10">
        <f t="shared" ref="Q120:Q127" si="190">L120/30</f>
        <v>105</v>
      </c>
      <c r="R120" s="10">
        <f t="shared" ref="R120:R127" si="191">Q120+P120</f>
        <v>271.66666666666663</v>
      </c>
      <c r="S120" s="10">
        <f t="shared" ref="S120:S127" si="192">+P120/8</f>
        <v>20.833333333333332</v>
      </c>
      <c r="T120" s="9">
        <v>44</v>
      </c>
      <c r="U120" s="9">
        <f t="shared" ref="U120:U127" si="193">+S120*T120</f>
        <v>916.66666666666663</v>
      </c>
      <c r="V120" s="9">
        <v>0</v>
      </c>
      <c r="W120" s="16">
        <f t="shared" ref="W120:W127" si="194">H120+L120+O120+U120+V120+J120</f>
        <v>9066.6666666666661</v>
      </c>
      <c r="X120" s="49">
        <v>0</v>
      </c>
      <c r="Y120" s="30">
        <f t="shared" ref="Y120:Y127" si="195">R120*X120</f>
        <v>0</v>
      </c>
      <c r="Z120" s="38">
        <v>0</v>
      </c>
      <c r="AA120" s="11">
        <f t="shared" ref="AA120:AA127" si="196">P120*Z120</f>
        <v>0</v>
      </c>
      <c r="AB120" s="11">
        <v>0</v>
      </c>
      <c r="AC120" s="11">
        <f t="shared" ref="AC120:AC127" si="197">Q120*AB120</f>
        <v>0</v>
      </c>
      <c r="AD120" s="12">
        <f t="shared" ref="AD120:AD127" si="198">Y120+AA120+AC120</f>
        <v>0</v>
      </c>
      <c r="AE120" s="4">
        <f t="shared" ref="AE120:AE127" si="199">W120-AD120</f>
        <v>9066.6666666666661</v>
      </c>
      <c r="AF120" s="3">
        <f t="shared" si="39"/>
        <v>5384.6153846153848</v>
      </c>
      <c r="AG120" s="3">
        <f t="shared" si="46"/>
        <v>592.30769230769238</v>
      </c>
      <c r="AH120" s="1">
        <v>1790.6666666666699</v>
      </c>
      <c r="AI120" s="1">
        <f t="shared" si="47"/>
        <v>80204.30769230763</v>
      </c>
      <c r="AJ120" s="1">
        <f t="shared" si="48"/>
        <v>482.57179487179383</v>
      </c>
      <c r="AK120" s="3">
        <f t="shared" si="49"/>
        <v>4.5333333333333332</v>
      </c>
      <c r="AL120" s="4">
        <f t="shared" ref="AL120:AL127" si="200">+AE120-AG120-AJ120-AK120</f>
        <v>7987.2538461538452</v>
      </c>
      <c r="AM120" s="3">
        <v>0</v>
      </c>
      <c r="AN120" s="4">
        <f t="shared" ref="AN120:AN127" si="201">+AL120-AM120</f>
        <v>7987.2538461538452</v>
      </c>
      <c r="AO120" s="1">
        <f t="shared" ref="AO120:AO127" si="202">+AF120*0.1875</f>
        <v>1009.6153846153846</v>
      </c>
      <c r="AP120" s="41">
        <v>13</v>
      </c>
      <c r="AQ120" s="54">
        <f t="shared" ref="AQ120:AQ127" si="203">AE120+AO120</f>
        <v>10076.282051282051</v>
      </c>
    </row>
    <row r="121" spans="1:43" s="2" customFormat="1" x14ac:dyDescent="0.35">
      <c r="A121" s="27" t="s">
        <v>196</v>
      </c>
      <c r="B121" s="44" t="s">
        <v>622</v>
      </c>
      <c r="C121" s="58" t="s">
        <v>717</v>
      </c>
      <c r="D121" s="60" t="s">
        <v>259</v>
      </c>
      <c r="E121" s="66" t="s">
        <v>710</v>
      </c>
      <c r="F121" s="69">
        <v>27902122100109</v>
      </c>
      <c r="G121" s="70" t="s">
        <v>526</v>
      </c>
      <c r="H121" s="72">
        <v>4000</v>
      </c>
      <c r="I121" s="72">
        <v>3000</v>
      </c>
      <c r="J121" s="31"/>
      <c r="K121" s="75">
        <v>1.05</v>
      </c>
      <c r="L121" s="9">
        <f t="shared" si="186"/>
        <v>3150</v>
      </c>
      <c r="M121" s="9">
        <v>0</v>
      </c>
      <c r="N121" s="9">
        <f t="shared" si="187"/>
        <v>7</v>
      </c>
      <c r="O121" s="9">
        <f t="shared" si="188"/>
        <v>0</v>
      </c>
      <c r="P121" s="10">
        <f t="shared" si="189"/>
        <v>133.33333333333334</v>
      </c>
      <c r="Q121" s="10">
        <f t="shared" si="190"/>
        <v>105</v>
      </c>
      <c r="R121" s="10">
        <f t="shared" si="191"/>
        <v>238.33333333333334</v>
      </c>
      <c r="S121" s="10">
        <f t="shared" si="192"/>
        <v>16.666666666666668</v>
      </c>
      <c r="T121" s="9">
        <v>12</v>
      </c>
      <c r="U121" s="9">
        <f t="shared" si="193"/>
        <v>200</v>
      </c>
      <c r="V121" s="9">
        <v>0</v>
      </c>
      <c r="W121" s="16">
        <f t="shared" si="194"/>
        <v>7350</v>
      </c>
      <c r="X121" s="49">
        <v>23</v>
      </c>
      <c r="Y121" s="30">
        <f t="shared" si="195"/>
        <v>5481.666666666667</v>
      </c>
      <c r="Z121" s="38">
        <v>0</v>
      </c>
      <c r="AA121" s="11">
        <f t="shared" si="196"/>
        <v>0</v>
      </c>
      <c r="AB121" s="11">
        <v>0</v>
      </c>
      <c r="AC121" s="11">
        <f t="shared" si="197"/>
        <v>0</v>
      </c>
      <c r="AD121" s="12">
        <f t="shared" si="198"/>
        <v>5481.666666666667</v>
      </c>
      <c r="AE121" s="4">
        <f t="shared" si="199"/>
        <v>1868.333333333333</v>
      </c>
      <c r="AF121" s="3"/>
      <c r="AG121" s="3">
        <f t="shared" si="46"/>
        <v>0</v>
      </c>
      <c r="AH121" s="1">
        <v>1791.6666666666699</v>
      </c>
      <c r="AI121" s="1">
        <f t="shared" si="47"/>
        <v>919.99999999995725</v>
      </c>
      <c r="AJ121" s="1">
        <f t="shared" si="48"/>
        <v>0</v>
      </c>
      <c r="AK121" s="3">
        <f t="shared" si="49"/>
        <v>0.93416666666666659</v>
      </c>
      <c r="AL121" s="4">
        <f t="shared" si="200"/>
        <v>1867.3991666666664</v>
      </c>
      <c r="AM121" s="3">
        <v>0</v>
      </c>
      <c r="AN121" s="4">
        <f t="shared" si="201"/>
        <v>1867.3991666666664</v>
      </c>
      <c r="AO121" s="1">
        <f t="shared" si="202"/>
        <v>0</v>
      </c>
      <c r="AP121" s="41">
        <v>21</v>
      </c>
      <c r="AQ121" s="54">
        <f t="shared" si="203"/>
        <v>1868.333333333333</v>
      </c>
    </row>
    <row r="122" spans="1:43" s="2" customFormat="1" x14ac:dyDescent="0.35">
      <c r="A122" s="27" t="s">
        <v>196</v>
      </c>
      <c r="B122" s="44" t="s">
        <v>623</v>
      </c>
      <c r="C122" s="58" t="s">
        <v>718</v>
      </c>
      <c r="D122" s="60" t="s">
        <v>259</v>
      </c>
      <c r="E122" s="66" t="s">
        <v>711</v>
      </c>
      <c r="F122" s="69">
        <v>30503142101692</v>
      </c>
      <c r="G122" s="70" t="s">
        <v>526</v>
      </c>
      <c r="H122" s="72">
        <v>4000</v>
      </c>
      <c r="I122" s="72">
        <v>3000</v>
      </c>
      <c r="J122" s="31"/>
      <c r="K122" s="75">
        <v>1.05</v>
      </c>
      <c r="L122" s="9">
        <f t="shared" si="186"/>
        <v>3150</v>
      </c>
      <c r="M122" s="9">
        <v>0</v>
      </c>
      <c r="N122" s="9">
        <f t="shared" si="187"/>
        <v>7</v>
      </c>
      <c r="O122" s="9">
        <f t="shared" si="188"/>
        <v>0</v>
      </c>
      <c r="P122" s="10">
        <f t="shared" si="189"/>
        <v>133.33333333333334</v>
      </c>
      <c r="Q122" s="10">
        <f t="shared" si="190"/>
        <v>105</v>
      </c>
      <c r="R122" s="10">
        <f t="shared" si="191"/>
        <v>238.33333333333334</v>
      </c>
      <c r="S122" s="10">
        <f t="shared" si="192"/>
        <v>16.666666666666668</v>
      </c>
      <c r="T122" s="9">
        <v>12</v>
      </c>
      <c r="U122" s="9">
        <f t="shared" si="193"/>
        <v>200</v>
      </c>
      <c r="V122" s="9">
        <v>0</v>
      </c>
      <c r="W122" s="16">
        <f t="shared" si="194"/>
        <v>7350</v>
      </c>
      <c r="X122" s="49">
        <v>23</v>
      </c>
      <c r="Y122" s="30">
        <f t="shared" si="195"/>
        <v>5481.666666666667</v>
      </c>
      <c r="Z122" s="38">
        <v>0</v>
      </c>
      <c r="AA122" s="11">
        <f t="shared" si="196"/>
        <v>0</v>
      </c>
      <c r="AB122" s="11">
        <v>0</v>
      </c>
      <c r="AC122" s="11">
        <f t="shared" si="197"/>
        <v>0</v>
      </c>
      <c r="AD122" s="12">
        <f t="shared" si="198"/>
        <v>5481.666666666667</v>
      </c>
      <c r="AE122" s="4">
        <f t="shared" si="199"/>
        <v>1868.333333333333</v>
      </c>
      <c r="AF122" s="3"/>
      <c r="AG122" s="3">
        <f t="shared" si="46"/>
        <v>0</v>
      </c>
      <c r="AH122" s="1">
        <v>1792.6666666666699</v>
      </c>
      <c r="AI122" s="1">
        <f t="shared" si="47"/>
        <v>907.99999999995725</v>
      </c>
      <c r="AJ122" s="1">
        <f t="shared" si="48"/>
        <v>0</v>
      </c>
      <c r="AK122" s="3">
        <f t="shared" si="49"/>
        <v>0.93416666666666659</v>
      </c>
      <c r="AL122" s="4">
        <f t="shared" si="200"/>
        <v>1867.3991666666664</v>
      </c>
      <c r="AM122" s="3">
        <v>0</v>
      </c>
      <c r="AN122" s="4">
        <f t="shared" si="201"/>
        <v>1867.3991666666664</v>
      </c>
      <c r="AO122" s="1">
        <f t="shared" si="202"/>
        <v>0</v>
      </c>
      <c r="AP122" s="41">
        <v>21</v>
      </c>
      <c r="AQ122" s="54">
        <f t="shared" si="203"/>
        <v>1868.333333333333</v>
      </c>
    </row>
    <row r="123" spans="1:43" s="2" customFormat="1" x14ac:dyDescent="0.35">
      <c r="A123" s="27" t="s">
        <v>196</v>
      </c>
      <c r="B123" s="44" t="s">
        <v>624</v>
      </c>
      <c r="C123" s="58" t="s">
        <v>719</v>
      </c>
      <c r="D123" s="60" t="s">
        <v>259</v>
      </c>
      <c r="E123" s="66" t="s">
        <v>712</v>
      </c>
      <c r="F123" s="69">
        <v>30701212100121</v>
      </c>
      <c r="G123" s="70" t="s">
        <v>526</v>
      </c>
      <c r="H123" s="72">
        <v>4000</v>
      </c>
      <c r="I123" s="72">
        <v>3000</v>
      </c>
      <c r="J123" s="31"/>
      <c r="K123" s="75">
        <v>1.05</v>
      </c>
      <c r="L123" s="9">
        <f t="shared" si="186"/>
        <v>3150</v>
      </c>
      <c r="M123" s="9">
        <v>0</v>
      </c>
      <c r="N123" s="9">
        <f t="shared" si="187"/>
        <v>7</v>
      </c>
      <c r="O123" s="9">
        <f t="shared" si="188"/>
        <v>0</v>
      </c>
      <c r="P123" s="10">
        <f t="shared" si="189"/>
        <v>133.33333333333334</v>
      </c>
      <c r="Q123" s="10">
        <f t="shared" si="190"/>
        <v>105</v>
      </c>
      <c r="R123" s="10">
        <f t="shared" si="191"/>
        <v>238.33333333333334</v>
      </c>
      <c r="S123" s="10">
        <f t="shared" si="192"/>
        <v>16.666666666666668</v>
      </c>
      <c r="T123" s="9">
        <v>0</v>
      </c>
      <c r="U123" s="9">
        <f t="shared" si="193"/>
        <v>0</v>
      </c>
      <c r="V123" s="9">
        <v>0</v>
      </c>
      <c r="W123" s="16">
        <f t="shared" si="194"/>
        <v>7150</v>
      </c>
      <c r="X123" s="49">
        <v>23</v>
      </c>
      <c r="Y123" s="30">
        <f t="shared" si="195"/>
        <v>5481.666666666667</v>
      </c>
      <c r="Z123" s="38">
        <v>0</v>
      </c>
      <c r="AA123" s="11">
        <f t="shared" si="196"/>
        <v>0</v>
      </c>
      <c r="AB123" s="11">
        <v>0</v>
      </c>
      <c r="AC123" s="11">
        <f t="shared" si="197"/>
        <v>0</v>
      </c>
      <c r="AD123" s="12">
        <f t="shared" si="198"/>
        <v>5481.666666666667</v>
      </c>
      <c r="AE123" s="4">
        <f t="shared" si="199"/>
        <v>1668.333333333333</v>
      </c>
      <c r="AF123" s="3"/>
      <c r="AG123" s="3">
        <f t="shared" si="46"/>
        <v>0</v>
      </c>
      <c r="AH123" s="1">
        <v>1793.6666666666699</v>
      </c>
      <c r="AI123" s="1">
        <f t="shared" si="47"/>
        <v>-1504.0000000000427</v>
      </c>
      <c r="AJ123" s="1">
        <f t="shared" si="48"/>
        <v>0</v>
      </c>
      <c r="AK123" s="3">
        <f t="shared" si="49"/>
        <v>0.8341666666666665</v>
      </c>
      <c r="AL123" s="4">
        <f t="shared" si="200"/>
        <v>1667.4991666666663</v>
      </c>
      <c r="AM123" s="3">
        <v>0</v>
      </c>
      <c r="AN123" s="4">
        <f t="shared" si="201"/>
        <v>1667.4991666666663</v>
      </c>
      <c r="AO123" s="1">
        <f t="shared" si="202"/>
        <v>0</v>
      </c>
      <c r="AP123" s="41">
        <v>21</v>
      </c>
      <c r="AQ123" s="54">
        <f t="shared" si="203"/>
        <v>1668.333333333333</v>
      </c>
    </row>
    <row r="124" spans="1:43" s="2" customFormat="1" x14ac:dyDescent="0.35">
      <c r="A124" s="27" t="s">
        <v>196</v>
      </c>
      <c r="B124" s="44" t="s">
        <v>625</v>
      </c>
      <c r="C124" s="58" t="s">
        <v>720</v>
      </c>
      <c r="D124" s="60" t="s">
        <v>259</v>
      </c>
      <c r="E124" s="66" t="s">
        <v>713</v>
      </c>
      <c r="F124" s="69">
        <v>30408260102323</v>
      </c>
      <c r="G124" s="70" t="s">
        <v>526</v>
      </c>
      <c r="H124" s="72">
        <v>4000</v>
      </c>
      <c r="I124" s="72">
        <v>3000</v>
      </c>
      <c r="J124" s="31"/>
      <c r="K124" s="75">
        <v>1.05</v>
      </c>
      <c r="L124" s="9">
        <f t="shared" si="186"/>
        <v>3150</v>
      </c>
      <c r="M124" s="9">
        <v>0</v>
      </c>
      <c r="N124" s="9">
        <f t="shared" si="187"/>
        <v>3</v>
      </c>
      <c r="O124" s="9">
        <f t="shared" si="188"/>
        <v>0</v>
      </c>
      <c r="P124" s="10">
        <f t="shared" si="189"/>
        <v>133.33333333333334</v>
      </c>
      <c r="Q124" s="10">
        <f t="shared" si="190"/>
        <v>105</v>
      </c>
      <c r="R124" s="10">
        <f t="shared" si="191"/>
        <v>238.33333333333334</v>
      </c>
      <c r="S124" s="10">
        <f t="shared" si="192"/>
        <v>16.666666666666668</v>
      </c>
      <c r="T124" s="9">
        <v>0</v>
      </c>
      <c r="U124" s="9">
        <f t="shared" si="193"/>
        <v>0</v>
      </c>
      <c r="V124" s="9">
        <v>0</v>
      </c>
      <c r="W124" s="16">
        <f t="shared" si="194"/>
        <v>7150</v>
      </c>
      <c r="X124" s="49">
        <v>27</v>
      </c>
      <c r="Y124" s="30">
        <f t="shared" si="195"/>
        <v>6435</v>
      </c>
      <c r="Z124" s="38">
        <v>0</v>
      </c>
      <c r="AA124" s="11">
        <f t="shared" si="196"/>
        <v>0</v>
      </c>
      <c r="AB124" s="11">
        <v>0</v>
      </c>
      <c r="AC124" s="11">
        <f t="shared" si="197"/>
        <v>0</v>
      </c>
      <c r="AD124" s="12">
        <f t="shared" si="198"/>
        <v>6435</v>
      </c>
      <c r="AE124" s="4">
        <f t="shared" si="199"/>
        <v>715</v>
      </c>
      <c r="AF124" s="3"/>
      <c r="AG124" s="3">
        <f t="shared" si="46"/>
        <v>0</v>
      </c>
      <c r="AH124" s="1">
        <v>1794.6666666666699</v>
      </c>
      <c r="AI124" s="1">
        <f t="shared" si="47"/>
        <v>-12956.00000000004</v>
      </c>
      <c r="AJ124" s="1">
        <f t="shared" si="48"/>
        <v>0</v>
      </c>
      <c r="AK124" s="3">
        <f t="shared" si="49"/>
        <v>0.35749999999999998</v>
      </c>
      <c r="AL124" s="4">
        <f t="shared" si="200"/>
        <v>714.64250000000004</v>
      </c>
      <c r="AM124" s="3">
        <v>0</v>
      </c>
      <c r="AN124" s="4">
        <f t="shared" si="201"/>
        <v>714.64250000000004</v>
      </c>
      <c r="AO124" s="1">
        <f t="shared" si="202"/>
        <v>0</v>
      </c>
      <c r="AP124" s="41">
        <v>21</v>
      </c>
      <c r="AQ124" s="54">
        <f t="shared" si="203"/>
        <v>715</v>
      </c>
    </row>
    <row r="125" spans="1:43" s="2" customFormat="1" x14ac:dyDescent="0.35">
      <c r="A125" s="27" t="s">
        <v>196</v>
      </c>
      <c r="B125" s="44" t="s">
        <v>626</v>
      </c>
      <c r="C125" s="58" t="s">
        <v>721</v>
      </c>
      <c r="D125" s="60" t="s">
        <v>259</v>
      </c>
      <c r="E125" s="66" t="s">
        <v>714</v>
      </c>
      <c r="F125" s="69">
        <v>30311110100809</v>
      </c>
      <c r="G125" s="70" t="s">
        <v>526</v>
      </c>
      <c r="H125" s="72">
        <v>4000</v>
      </c>
      <c r="I125" s="72">
        <v>3000</v>
      </c>
      <c r="J125" s="31"/>
      <c r="K125" s="75">
        <v>1.05</v>
      </c>
      <c r="L125" s="9">
        <f t="shared" si="186"/>
        <v>3150</v>
      </c>
      <c r="M125" s="9">
        <v>0</v>
      </c>
      <c r="N125" s="9">
        <f t="shared" si="187"/>
        <v>3</v>
      </c>
      <c r="O125" s="9">
        <f t="shared" si="188"/>
        <v>0</v>
      </c>
      <c r="P125" s="10">
        <f t="shared" si="189"/>
        <v>133.33333333333334</v>
      </c>
      <c r="Q125" s="10">
        <f t="shared" si="190"/>
        <v>105</v>
      </c>
      <c r="R125" s="10">
        <f t="shared" si="191"/>
        <v>238.33333333333334</v>
      </c>
      <c r="S125" s="10">
        <f t="shared" si="192"/>
        <v>16.666666666666668</v>
      </c>
      <c r="T125" s="9">
        <v>0</v>
      </c>
      <c r="U125" s="9">
        <f t="shared" si="193"/>
        <v>0</v>
      </c>
      <c r="V125" s="9">
        <v>0</v>
      </c>
      <c r="W125" s="16">
        <f t="shared" si="194"/>
        <v>7150</v>
      </c>
      <c r="X125" s="49">
        <v>27</v>
      </c>
      <c r="Y125" s="30">
        <f t="shared" si="195"/>
        <v>6435</v>
      </c>
      <c r="Z125" s="38">
        <v>0</v>
      </c>
      <c r="AA125" s="11">
        <f t="shared" si="196"/>
        <v>0</v>
      </c>
      <c r="AB125" s="11">
        <v>0</v>
      </c>
      <c r="AC125" s="11">
        <f t="shared" si="197"/>
        <v>0</v>
      </c>
      <c r="AD125" s="12">
        <f t="shared" si="198"/>
        <v>6435</v>
      </c>
      <c r="AE125" s="4">
        <f t="shared" si="199"/>
        <v>715</v>
      </c>
      <c r="AF125" s="3"/>
      <c r="AG125" s="3">
        <f t="shared" ref="AG125:AG127" si="204">+AF125*0.11</f>
        <v>0</v>
      </c>
      <c r="AH125" s="1">
        <v>1795.6666666666699</v>
      </c>
      <c r="AI125" s="1">
        <f t="shared" ref="AI125:AI127" si="205">(AE125-AG125-AH125)*12</f>
        <v>-12968.00000000004</v>
      </c>
      <c r="AJ125" s="1">
        <f t="shared" ref="AJ125:AJ127" si="206">IF(AND(AI125&gt;40000,AI125&lt;=55000),(AI125-40000)*10%,
IF(AND(AI125&gt;55000,AI125&lt;=70000),(AI125-55000)*15%+15000*10%,
IF(AND(AI125&gt;70000,AI125&lt;=200000),(AI125-70000)*20%+15000*10%+15000*15%,
IF(AND(AI125&gt;200000,AI125&lt;=400000),(AI125-200000)*22.5%+15000*10%+15000*15%+130000*20%,
IF(AND(AI125&gt;400000,AI125&lt;=600000),(AI125-400000)*25%+15000*10%+15000*15%+130000*20%+200000*22.5%,
IF(AND(AI125&gt;600000,AI125&lt;=700000),(AI125-400000)*25%+55000*10%+15000*15%+130000*20%+200000*22.5%,
IF(AND(AI125&gt;700000,AI125&lt;=800000),(AI125-400000)*25%+70000*15%+130000*20%+200000*22.5%,
IF(AND(AI125&gt;800000,AI125&lt;=900000),(AI125-400000)*25%+200000*20%+200000*22.5%,
IF(AND(AI125&gt;900000,AI125&lt;=1200000),(AI125-400000)*25%+400000*22.5%,
IF(AI125&gt;1200000,(AI125-1200000)*27.5%+1200000*25%))))))))))/12</f>
        <v>0</v>
      </c>
      <c r="AK125" s="3">
        <f t="shared" ref="AK125:AK127" si="207">+AE125*0.0005</f>
        <v>0.35749999999999998</v>
      </c>
      <c r="AL125" s="4">
        <f t="shared" si="200"/>
        <v>714.64250000000004</v>
      </c>
      <c r="AM125" s="3">
        <v>0</v>
      </c>
      <c r="AN125" s="4">
        <f t="shared" si="201"/>
        <v>714.64250000000004</v>
      </c>
      <c r="AO125" s="1">
        <f t="shared" si="202"/>
        <v>0</v>
      </c>
      <c r="AP125" s="41">
        <v>21</v>
      </c>
      <c r="AQ125" s="54">
        <f t="shared" si="203"/>
        <v>715</v>
      </c>
    </row>
    <row r="126" spans="1:43" s="2" customFormat="1" x14ac:dyDescent="0.35">
      <c r="A126" s="27" t="s">
        <v>196</v>
      </c>
      <c r="B126" s="44" t="s">
        <v>627</v>
      </c>
      <c r="C126" s="58" t="s">
        <v>722</v>
      </c>
      <c r="D126" s="60" t="s">
        <v>259</v>
      </c>
      <c r="E126" s="66" t="s">
        <v>715</v>
      </c>
      <c r="F126" s="69">
        <v>30404032400262</v>
      </c>
      <c r="G126" s="70" t="s">
        <v>526</v>
      </c>
      <c r="H126" s="72">
        <v>4000</v>
      </c>
      <c r="I126" s="72">
        <v>3000</v>
      </c>
      <c r="J126" s="31"/>
      <c r="K126" s="75">
        <v>1.05</v>
      </c>
      <c r="L126" s="9">
        <f t="shared" si="186"/>
        <v>3150</v>
      </c>
      <c r="M126" s="9">
        <v>0</v>
      </c>
      <c r="N126" s="9">
        <f t="shared" si="187"/>
        <v>3</v>
      </c>
      <c r="O126" s="9">
        <f t="shared" si="188"/>
        <v>0</v>
      </c>
      <c r="P126" s="10">
        <f t="shared" si="189"/>
        <v>133.33333333333334</v>
      </c>
      <c r="Q126" s="10">
        <f t="shared" si="190"/>
        <v>105</v>
      </c>
      <c r="R126" s="10">
        <f t="shared" si="191"/>
        <v>238.33333333333334</v>
      </c>
      <c r="S126" s="10">
        <f t="shared" si="192"/>
        <v>16.666666666666668</v>
      </c>
      <c r="T126" s="9">
        <v>0</v>
      </c>
      <c r="U126" s="9">
        <f t="shared" si="193"/>
        <v>0</v>
      </c>
      <c r="V126" s="9">
        <v>0</v>
      </c>
      <c r="W126" s="16">
        <f t="shared" si="194"/>
        <v>7150</v>
      </c>
      <c r="X126" s="49">
        <v>27</v>
      </c>
      <c r="Y126" s="30">
        <f t="shared" si="195"/>
        <v>6435</v>
      </c>
      <c r="Z126" s="38">
        <v>0</v>
      </c>
      <c r="AA126" s="11">
        <f t="shared" si="196"/>
        <v>0</v>
      </c>
      <c r="AB126" s="11">
        <v>0</v>
      </c>
      <c r="AC126" s="11">
        <f t="shared" si="197"/>
        <v>0</v>
      </c>
      <c r="AD126" s="12">
        <f t="shared" si="198"/>
        <v>6435</v>
      </c>
      <c r="AE126" s="4">
        <f t="shared" si="199"/>
        <v>715</v>
      </c>
      <c r="AF126" s="3"/>
      <c r="AG126" s="3">
        <f t="shared" si="204"/>
        <v>0</v>
      </c>
      <c r="AH126" s="1">
        <v>1796.6666666666699</v>
      </c>
      <c r="AI126" s="1">
        <f t="shared" si="205"/>
        <v>-12980.00000000004</v>
      </c>
      <c r="AJ126" s="1">
        <f t="shared" si="206"/>
        <v>0</v>
      </c>
      <c r="AK126" s="3">
        <f t="shared" si="207"/>
        <v>0.35749999999999998</v>
      </c>
      <c r="AL126" s="4">
        <f t="shared" si="200"/>
        <v>714.64250000000004</v>
      </c>
      <c r="AM126" s="3">
        <v>0</v>
      </c>
      <c r="AN126" s="4">
        <f t="shared" si="201"/>
        <v>714.64250000000004</v>
      </c>
      <c r="AO126" s="1">
        <f t="shared" si="202"/>
        <v>0</v>
      </c>
      <c r="AP126" s="41">
        <v>21</v>
      </c>
      <c r="AQ126" s="54">
        <f t="shared" si="203"/>
        <v>715</v>
      </c>
    </row>
    <row r="127" spans="1:43" s="2" customFormat="1" x14ac:dyDescent="0.35">
      <c r="A127" s="27" t="s">
        <v>196</v>
      </c>
      <c r="B127" s="44" t="s">
        <v>628</v>
      </c>
      <c r="C127" s="58" t="s">
        <v>540</v>
      </c>
      <c r="D127" s="60" t="s">
        <v>259</v>
      </c>
      <c r="E127" s="66" t="s">
        <v>716</v>
      </c>
      <c r="F127" s="69">
        <v>30504062101043</v>
      </c>
      <c r="G127" s="70" t="s">
        <v>526</v>
      </c>
      <c r="H127" s="72">
        <v>4000</v>
      </c>
      <c r="I127" s="72">
        <v>3000</v>
      </c>
      <c r="J127" s="31"/>
      <c r="K127" s="75">
        <v>1.05</v>
      </c>
      <c r="L127" s="9">
        <f t="shared" si="186"/>
        <v>3150</v>
      </c>
      <c r="M127" s="9">
        <v>0</v>
      </c>
      <c r="N127" s="9">
        <f t="shared" si="187"/>
        <v>3</v>
      </c>
      <c r="O127" s="9">
        <f t="shared" si="188"/>
        <v>0</v>
      </c>
      <c r="P127" s="10">
        <f t="shared" si="189"/>
        <v>133.33333333333334</v>
      </c>
      <c r="Q127" s="10">
        <f t="shared" si="190"/>
        <v>105</v>
      </c>
      <c r="R127" s="10">
        <f t="shared" si="191"/>
        <v>238.33333333333334</v>
      </c>
      <c r="S127" s="10">
        <f t="shared" si="192"/>
        <v>16.666666666666668</v>
      </c>
      <c r="T127" s="9">
        <v>0</v>
      </c>
      <c r="U127" s="9">
        <f t="shared" si="193"/>
        <v>0</v>
      </c>
      <c r="V127" s="9">
        <v>0</v>
      </c>
      <c r="W127" s="16">
        <f t="shared" si="194"/>
        <v>7150</v>
      </c>
      <c r="X127" s="49">
        <v>27</v>
      </c>
      <c r="Y127" s="30">
        <f t="shared" si="195"/>
        <v>6435</v>
      </c>
      <c r="Z127" s="38">
        <v>0</v>
      </c>
      <c r="AA127" s="11">
        <f t="shared" si="196"/>
        <v>0</v>
      </c>
      <c r="AB127" s="11">
        <v>0</v>
      </c>
      <c r="AC127" s="11">
        <f t="shared" si="197"/>
        <v>0</v>
      </c>
      <c r="AD127" s="12">
        <f t="shared" si="198"/>
        <v>6435</v>
      </c>
      <c r="AE127" s="4">
        <f t="shared" si="199"/>
        <v>715</v>
      </c>
      <c r="AF127" s="3"/>
      <c r="AG127" s="3">
        <f t="shared" si="204"/>
        <v>0</v>
      </c>
      <c r="AH127" s="1">
        <v>1797.6666666666699</v>
      </c>
      <c r="AI127" s="1">
        <f t="shared" si="205"/>
        <v>-12992.00000000004</v>
      </c>
      <c r="AJ127" s="1">
        <f t="shared" si="206"/>
        <v>0</v>
      </c>
      <c r="AK127" s="3">
        <f t="shared" si="207"/>
        <v>0.35749999999999998</v>
      </c>
      <c r="AL127" s="4">
        <f t="shared" si="200"/>
        <v>714.64250000000004</v>
      </c>
      <c r="AM127" s="3">
        <v>0</v>
      </c>
      <c r="AN127" s="4">
        <f t="shared" si="201"/>
        <v>714.64250000000004</v>
      </c>
      <c r="AO127" s="1">
        <f t="shared" si="202"/>
        <v>0</v>
      </c>
      <c r="AP127" s="41">
        <v>21</v>
      </c>
      <c r="AQ127" s="54">
        <f t="shared" si="203"/>
        <v>715</v>
      </c>
    </row>
    <row r="128" spans="1:43" ht="18.5" x14ac:dyDescent="0.35">
      <c r="A128" s="82" t="s">
        <v>1</v>
      </c>
      <c r="B128" s="83"/>
      <c r="C128" s="83"/>
      <c r="D128" s="83"/>
      <c r="E128" s="83"/>
      <c r="F128" s="83"/>
      <c r="G128" s="84"/>
      <c r="H128" s="13">
        <f>SUM(H3:H127)</f>
        <v>506500</v>
      </c>
      <c r="I128" s="13">
        <f>SUM(I3:I127)</f>
        <v>375000</v>
      </c>
      <c r="J128" s="13">
        <f>SUM(J3:J119)</f>
        <v>0</v>
      </c>
      <c r="K128" s="13"/>
      <c r="L128" s="13">
        <f>SUM(L3:L127)</f>
        <v>393750</v>
      </c>
      <c r="M128" s="13"/>
      <c r="N128" s="13"/>
      <c r="O128" s="13">
        <f>SUM(O3:O119)</f>
        <v>0</v>
      </c>
      <c r="P128" s="13"/>
      <c r="Q128" s="13"/>
      <c r="R128" s="13">
        <f t="shared" ref="R128:AG128" si="208">SUM(R3:R127)</f>
        <v>30008.333333333285</v>
      </c>
      <c r="S128" s="13">
        <f t="shared" si="208"/>
        <v>2110.4166666666697</v>
      </c>
      <c r="T128" s="13">
        <f t="shared" si="208"/>
        <v>3296</v>
      </c>
      <c r="U128" s="13">
        <f t="shared" si="208"/>
        <v>55891.666666666635</v>
      </c>
      <c r="V128" s="13">
        <f t="shared" si="208"/>
        <v>0</v>
      </c>
      <c r="W128" s="13">
        <f t="shared" si="208"/>
        <v>956141.66666666616</v>
      </c>
      <c r="X128" s="13">
        <f t="shared" si="208"/>
        <v>177</v>
      </c>
      <c r="Y128" s="13">
        <f t="shared" si="208"/>
        <v>42185</v>
      </c>
      <c r="Z128" s="13">
        <f t="shared" si="208"/>
        <v>143</v>
      </c>
      <c r="AA128" s="13">
        <f t="shared" si="208"/>
        <v>19066.666666666668</v>
      </c>
      <c r="AB128" s="13">
        <f t="shared" si="208"/>
        <v>0</v>
      </c>
      <c r="AC128" s="13">
        <f t="shared" si="208"/>
        <v>0</v>
      </c>
      <c r="AD128" s="13">
        <f t="shared" si="208"/>
        <v>61251.666666666672</v>
      </c>
      <c r="AE128" s="13">
        <f t="shared" si="208"/>
        <v>894889.99999999988</v>
      </c>
      <c r="AF128" s="13">
        <f t="shared" si="208"/>
        <v>635384.61538461468</v>
      </c>
      <c r="AG128" s="13">
        <f t="shared" si="208"/>
        <v>69892.307692307775</v>
      </c>
      <c r="AH128" s="13"/>
      <c r="AI128" s="13"/>
      <c r="AJ128" s="13">
        <f>SUM(AJ3:AJ127)</f>
        <v>25835.970512820444</v>
      </c>
      <c r="AK128" s="13">
        <f>SUM(AK3:AK127)</f>
        <v>447.44500000000056</v>
      </c>
      <c r="AL128" s="13">
        <f>SUM(AL3:AL127)</f>
        <v>798714.27679487155</v>
      </c>
      <c r="AM128" s="13">
        <f t="shared" ref="AM128" si="209">SUM(AM3:AM119)</f>
        <v>0</v>
      </c>
      <c r="AN128" s="13">
        <f>SUM(AN3:AN127)</f>
        <v>798714.27679487155</v>
      </c>
      <c r="AO128" s="13">
        <f>SUM(AO3:AO127)</f>
        <v>119134.61538461561</v>
      </c>
      <c r="AP128" s="13"/>
      <c r="AQ128" s="13">
        <f>SUM(AQ3:AQ127)</f>
        <v>1014024.6153846148</v>
      </c>
    </row>
    <row r="129" spans="1:43" x14ac:dyDescent="0.35">
      <c r="A129" s="2"/>
      <c r="B129" s="2"/>
      <c r="C129" s="2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3" s="2" customFormat="1" ht="22" customHeight="1" x14ac:dyDescent="0.35">
      <c r="A130" s="79" t="s">
        <v>65</v>
      </c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</row>
    <row r="131" spans="1:43" x14ac:dyDescent="0.35">
      <c r="A131" s="26" t="s">
        <v>196</v>
      </c>
      <c r="B131" s="44" t="s">
        <v>629</v>
      </c>
      <c r="C131" s="58" t="s">
        <v>322</v>
      </c>
      <c r="D131" s="63" t="s">
        <v>507</v>
      </c>
      <c r="E131" s="66" t="s">
        <v>310</v>
      </c>
      <c r="F131" s="68">
        <v>30403078800293</v>
      </c>
      <c r="G131" s="70" t="s">
        <v>526</v>
      </c>
      <c r="H131" s="72">
        <v>4000</v>
      </c>
      <c r="I131" s="72">
        <v>3000</v>
      </c>
      <c r="J131" s="9">
        <v>0</v>
      </c>
      <c r="K131" s="75">
        <v>1.05</v>
      </c>
      <c r="L131" s="9">
        <f t="shared" ref="L131:L137" si="210">+I131*K131</f>
        <v>3150</v>
      </c>
      <c r="M131" s="9"/>
      <c r="N131" s="9">
        <f t="shared" ref="N131:N137" si="211">30-X131</f>
        <v>12</v>
      </c>
      <c r="O131" s="9">
        <f t="shared" ref="O131:O137" si="212">M131*N131</f>
        <v>0</v>
      </c>
      <c r="P131" s="10">
        <f t="shared" ref="P131:P137" si="213">H131/30</f>
        <v>133.33333333333334</v>
      </c>
      <c r="Q131" s="10">
        <f t="shared" ref="Q131:Q137" si="214">L131/30</f>
        <v>105</v>
      </c>
      <c r="R131" s="10">
        <f t="shared" ref="R131:R137" si="215">Q131+P131</f>
        <v>238.33333333333334</v>
      </c>
      <c r="S131" s="10">
        <f t="shared" ref="S131:S137" si="216">+P131/8</f>
        <v>16.666666666666668</v>
      </c>
      <c r="T131" s="9">
        <v>0</v>
      </c>
      <c r="U131" s="9">
        <f t="shared" ref="U131:U137" si="217">+S131*T131</f>
        <v>0</v>
      </c>
      <c r="V131" s="9">
        <v>0</v>
      </c>
      <c r="W131" s="16">
        <f t="shared" ref="W131:W137" si="218">H131+L131+U131+V131+J131</f>
        <v>7150</v>
      </c>
      <c r="X131" s="49">
        <v>18</v>
      </c>
      <c r="Y131" s="11">
        <f t="shared" ref="Y131:Y137" si="219">R131*X131</f>
        <v>4290</v>
      </c>
      <c r="Z131" s="38">
        <v>0</v>
      </c>
      <c r="AA131" s="11">
        <f t="shared" ref="AA131:AA137" si="220">P131*Z131</f>
        <v>0</v>
      </c>
      <c r="AB131" s="11">
        <v>0</v>
      </c>
      <c r="AC131" s="11">
        <f t="shared" ref="AC131:AC137" si="221">Q131*AB131</f>
        <v>0</v>
      </c>
      <c r="AD131" s="12">
        <f t="shared" ref="AD131:AD137" si="222">Y131+AA131+AC131</f>
        <v>4290</v>
      </c>
      <c r="AE131" s="4">
        <f t="shared" ref="AE131:AE137" si="223">W131-AD131</f>
        <v>2860</v>
      </c>
      <c r="AF131" s="3"/>
      <c r="AG131" s="3">
        <f t="shared" ref="AG131:AG137" si="224">+AF131*0.11</f>
        <v>0</v>
      </c>
      <c r="AH131" s="1">
        <v>1672.6666666666699</v>
      </c>
      <c r="AI131" s="1">
        <f t="shared" ref="AI131:AI137" si="225">(AE131-AG131-AH131)*12</f>
        <v>14247.99999999996</v>
      </c>
      <c r="AJ131" s="1">
        <f t="shared" ref="AJ131:AJ137" si="226">IF(AND(AI131&gt;40000,AI131&lt;=55000),(AI131-40000)*10%,
IF(AND(AI131&gt;55000,AI131&lt;=70000),(AI131-55000)*15%+15000*10%,
IF(AND(AI131&gt;70000,AI131&lt;=200000),(AI131-70000)*20%+15000*10%+15000*15%,
IF(AND(AI131&gt;200000,AI131&lt;=400000),(AI131-200000)*22.5%+15000*10%+15000*15%+130000*20%,
IF(AND(AI131&gt;400000,AI131&lt;=600000),(AI131-400000)*25%+15000*10%+15000*15%+130000*20%+200000*22.5%,
IF(AND(AI131&gt;600000,AI131&lt;=700000),(AI131-400000)*25%+55000*10%+15000*15%+130000*20%+200000*22.5%,
IF(AND(AI131&gt;700000,AI131&lt;=800000),(AI131-400000)*25%+70000*15%+130000*20%+200000*22.5%,
IF(AND(AI131&gt;800000,AI131&lt;=900000),(AI131-400000)*25%+200000*20%+200000*22.5%,
IF(AND(AI131&gt;900000,AI131&lt;=1200000),(AI131-400000)*25%+400000*22.5%,
IF(AI131&gt;1200000,(AI131-1200000)*27.5%+1200000*25%))))))))))/12</f>
        <v>0</v>
      </c>
      <c r="AK131" s="3">
        <f t="shared" ref="AK131:AK137" si="227">+AE131*0.0005</f>
        <v>1.43</v>
      </c>
      <c r="AL131" s="4">
        <f t="shared" ref="AL131:AL137" si="228">+AE131-AG131-AJ131-AK131</f>
        <v>2858.57</v>
      </c>
      <c r="AM131" s="3">
        <v>0</v>
      </c>
      <c r="AN131" s="4">
        <f t="shared" ref="AN131:AN137" si="229">+AL131-AM131</f>
        <v>2858.57</v>
      </c>
      <c r="AO131" s="1">
        <f t="shared" ref="AO131:AO137" si="230">+AF131*0.1875</f>
        <v>0</v>
      </c>
      <c r="AP131" s="41">
        <v>11</v>
      </c>
      <c r="AQ131" s="54">
        <f t="shared" ref="AQ131:AQ137" si="231">AE131+AO131</f>
        <v>2860</v>
      </c>
    </row>
    <row r="132" spans="1:43" x14ac:dyDescent="0.35">
      <c r="A132" s="26" t="s">
        <v>196</v>
      </c>
      <c r="B132" s="44" t="s">
        <v>724</v>
      </c>
      <c r="C132" s="58" t="s">
        <v>560</v>
      </c>
      <c r="D132" s="63" t="s">
        <v>507</v>
      </c>
      <c r="E132" s="64" t="s">
        <v>660</v>
      </c>
      <c r="F132" s="68">
        <v>29811222104855</v>
      </c>
      <c r="G132" s="70" t="s">
        <v>526</v>
      </c>
      <c r="H132" s="72">
        <v>4000</v>
      </c>
      <c r="I132" s="72">
        <v>3000</v>
      </c>
      <c r="J132" s="9">
        <v>0</v>
      </c>
      <c r="K132" s="75">
        <v>1.05</v>
      </c>
      <c r="L132" s="9">
        <f t="shared" si="210"/>
        <v>3150</v>
      </c>
      <c r="M132" s="9"/>
      <c r="N132" s="9">
        <f t="shared" si="211"/>
        <v>12</v>
      </c>
      <c r="O132" s="9">
        <f t="shared" si="212"/>
        <v>0</v>
      </c>
      <c r="P132" s="10">
        <f t="shared" si="213"/>
        <v>133.33333333333334</v>
      </c>
      <c r="Q132" s="10">
        <f t="shared" si="214"/>
        <v>105</v>
      </c>
      <c r="R132" s="10">
        <f t="shared" si="215"/>
        <v>238.33333333333334</v>
      </c>
      <c r="S132" s="10">
        <f t="shared" si="216"/>
        <v>16.666666666666668</v>
      </c>
      <c r="T132" s="9">
        <v>0</v>
      </c>
      <c r="U132" s="9">
        <f t="shared" si="217"/>
        <v>0</v>
      </c>
      <c r="V132" s="9">
        <v>0</v>
      </c>
      <c r="W132" s="16">
        <f t="shared" si="218"/>
        <v>7150</v>
      </c>
      <c r="X132" s="49">
        <v>18</v>
      </c>
      <c r="Y132" s="11">
        <f t="shared" si="219"/>
        <v>4290</v>
      </c>
      <c r="Z132" s="38">
        <v>0</v>
      </c>
      <c r="AA132" s="11">
        <f t="shared" si="220"/>
        <v>0</v>
      </c>
      <c r="AB132" s="11">
        <v>0</v>
      </c>
      <c r="AC132" s="11">
        <f t="shared" si="221"/>
        <v>0</v>
      </c>
      <c r="AD132" s="12">
        <f t="shared" si="222"/>
        <v>4290</v>
      </c>
      <c r="AE132" s="4">
        <f t="shared" si="223"/>
        <v>2860</v>
      </c>
      <c r="AF132" s="3"/>
      <c r="AG132" s="3">
        <f t="shared" si="224"/>
        <v>0</v>
      </c>
      <c r="AH132" s="1">
        <v>1673.6666666666699</v>
      </c>
      <c r="AI132" s="1">
        <f t="shared" si="225"/>
        <v>14235.99999999996</v>
      </c>
      <c r="AJ132" s="1">
        <f t="shared" si="226"/>
        <v>0</v>
      </c>
      <c r="AK132" s="3">
        <f t="shared" si="227"/>
        <v>1.43</v>
      </c>
      <c r="AL132" s="4">
        <f t="shared" si="228"/>
        <v>2858.57</v>
      </c>
      <c r="AM132" s="3">
        <v>0</v>
      </c>
      <c r="AN132" s="4">
        <f t="shared" si="229"/>
        <v>2858.57</v>
      </c>
      <c r="AO132" s="1">
        <f t="shared" si="230"/>
        <v>0</v>
      </c>
      <c r="AP132" s="41">
        <v>19</v>
      </c>
      <c r="AQ132" s="54">
        <f t="shared" si="231"/>
        <v>2860</v>
      </c>
    </row>
    <row r="133" spans="1:43" x14ac:dyDescent="0.35">
      <c r="A133" s="26" t="s">
        <v>196</v>
      </c>
      <c r="B133" s="44" t="s">
        <v>725</v>
      </c>
      <c r="C133" s="58" t="s">
        <v>561</v>
      </c>
      <c r="D133" s="63" t="s">
        <v>507</v>
      </c>
      <c r="E133" s="66" t="s">
        <v>665</v>
      </c>
      <c r="F133" s="68">
        <v>29610150104507</v>
      </c>
      <c r="G133" s="70" t="s">
        <v>526</v>
      </c>
      <c r="H133" s="72">
        <v>4000</v>
      </c>
      <c r="I133" s="72">
        <v>3000</v>
      </c>
      <c r="J133" s="9">
        <v>0</v>
      </c>
      <c r="K133" s="75">
        <v>1.05</v>
      </c>
      <c r="L133" s="9">
        <f t="shared" si="210"/>
        <v>3150</v>
      </c>
      <c r="M133" s="9"/>
      <c r="N133" s="9">
        <f t="shared" si="211"/>
        <v>23</v>
      </c>
      <c r="O133" s="9">
        <f t="shared" si="212"/>
        <v>0</v>
      </c>
      <c r="P133" s="10">
        <f t="shared" si="213"/>
        <v>133.33333333333334</v>
      </c>
      <c r="Q133" s="10">
        <f t="shared" si="214"/>
        <v>105</v>
      </c>
      <c r="R133" s="10">
        <f t="shared" si="215"/>
        <v>238.33333333333334</v>
      </c>
      <c r="S133" s="10">
        <f t="shared" si="216"/>
        <v>16.666666666666668</v>
      </c>
      <c r="T133" s="9">
        <v>16</v>
      </c>
      <c r="U133" s="9">
        <f t="shared" si="217"/>
        <v>266.66666666666669</v>
      </c>
      <c r="V133" s="9">
        <v>0</v>
      </c>
      <c r="W133" s="16">
        <f t="shared" si="218"/>
        <v>7416.666666666667</v>
      </c>
      <c r="X133" s="49">
        <v>7</v>
      </c>
      <c r="Y133" s="11">
        <f t="shared" si="219"/>
        <v>1668.3333333333335</v>
      </c>
      <c r="Z133" s="38">
        <v>0</v>
      </c>
      <c r="AA133" s="11">
        <f t="shared" si="220"/>
        <v>0</v>
      </c>
      <c r="AB133" s="11">
        <v>0</v>
      </c>
      <c r="AC133" s="11">
        <f t="shared" si="221"/>
        <v>0</v>
      </c>
      <c r="AD133" s="12">
        <f t="shared" si="222"/>
        <v>1668.3333333333335</v>
      </c>
      <c r="AE133" s="4">
        <f t="shared" si="223"/>
        <v>5748.3333333333339</v>
      </c>
      <c r="AF133" s="3"/>
      <c r="AG133" s="3">
        <f t="shared" si="224"/>
        <v>0</v>
      </c>
      <c r="AH133" s="1">
        <v>1685.6666666666699</v>
      </c>
      <c r="AI133" s="1">
        <f t="shared" si="225"/>
        <v>48751.999999999971</v>
      </c>
      <c r="AJ133" s="1">
        <f t="shared" si="226"/>
        <v>72.933333333333096</v>
      </c>
      <c r="AK133" s="3">
        <f t="shared" si="227"/>
        <v>2.874166666666667</v>
      </c>
      <c r="AL133" s="4">
        <f t="shared" si="228"/>
        <v>5672.525833333334</v>
      </c>
      <c r="AM133" s="3">
        <v>0</v>
      </c>
      <c r="AN133" s="4">
        <f t="shared" si="229"/>
        <v>5672.525833333334</v>
      </c>
      <c r="AO133" s="1">
        <f t="shared" si="230"/>
        <v>0</v>
      </c>
      <c r="AP133" s="41">
        <v>14</v>
      </c>
      <c r="AQ133" s="54">
        <f t="shared" si="231"/>
        <v>5748.3333333333339</v>
      </c>
    </row>
    <row r="134" spans="1:43" x14ac:dyDescent="0.35">
      <c r="A134" s="26" t="s">
        <v>196</v>
      </c>
      <c r="B134" s="44" t="s">
        <v>726</v>
      </c>
      <c r="C134" s="58" t="s">
        <v>326</v>
      </c>
      <c r="D134" s="63" t="s">
        <v>507</v>
      </c>
      <c r="E134" s="64" t="s">
        <v>313</v>
      </c>
      <c r="F134" s="68">
        <v>30109300115108</v>
      </c>
      <c r="G134" s="70" t="s">
        <v>526</v>
      </c>
      <c r="H134" s="72">
        <v>4000</v>
      </c>
      <c r="I134" s="72">
        <v>3000</v>
      </c>
      <c r="J134" s="9">
        <v>0</v>
      </c>
      <c r="K134" s="75">
        <v>1.05</v>
      </c>
      <c r="L134" s="9">
        <f t="shared" si="210"/>
        <v>3150</v>
      </c>
      <c r="M134" s="9"/>
      <c r="N134" s="9">
        <f t="shared" si="211"/>
        <v>26</v>
      </c>
      <c r="O134" s="9">
        <f t="shared" si="212"/>
        <v>0</v>
      </c>
      <c r="P134" s="10">
        <f t="shared" si="213"/>
        <v>133.33333333333334</v>
      </c>
      <c r="Q134" s="10">
        <f t="shared" si="214"/>
        <v>105</v>
      </c>
      <c r="R134" s="10">
        <f t="shared" si="215"/>
        <v>238.33333333333334</v>
      </c>
      <c r="S134" s="10">
        <f t="shared" si="216"/>
        <v>16.666666666666668</v>
      </c>
      <c r="T134" s="9">
        <v>16</v>
      </c>
      <c r="U134" s="9">
        <f t="shared" si="217"/>
        <v>266.66666666666669</v>
      </c>
      <c r="V134" s="9">
        <v>0</v>
      </c>
      <c r="W134" s="16">
        <f t="shared" si="218"/>
        <v>7416.666666666667</v>
      </c>
      <c r="X134" s="49">
        <v>4</v>
      </c>
      <c r="Y134" s="11">
        <f t="shared" si="219"/>
        <v>953.33333333333337</v>
      </c>
      <c r="Z134" s="38">
        <v>0</v>
      </c>
      <c r="AA134" s="11">
        <f t="shared" si="220"/>
        <v>0</v>
      </c>
      <c r="AB134" s="11">
        <v>0</v>
      </c>
      <c r="AC134" s="11">
        <f t="shared" si="221"/>
        <v>0</v>
      </c>
      <c r="AD134" s="12">
        <f t="shared" si="222"/>
        <v>953.33333333333337</v>
      </c>
      <c r="AE134" s="4">
        <f t="shared" si="223"/>
        <v>6463.3333333333339</v>
      </c>
      <c r="AF134" s="3"/>
      <c r="AG134" s="3">
        <f t="shared" si="224"/>
        <v>0</v>
      </c>
      <c r="AH134" s="1">
        <v>1708.6666666666699</v>
      </c>
      <c r="AI134" s="1">
        <f t="shared" si="225"/>
        <v>57055.999999999971</v>
      </c>
      <c r="AJ134" s="1">
        <f t="shared" si="226"/>
        <v>150.69999999999962</v>
      </c>
      <c r="AK134" s="3">
        <f t="shared" si="227"/>
        <v>3.2316666666666669</v>
      </c>
      <c r="AL134" s="4">
        <f t="shared" si="228"/>
        <v>6309.4016666666676</v>
      </c>
      <c r="AM134" s="3">
        <v>0</v>
      </c>
      <c r="AN134" s="4">
        <f t="shared" si="229"/>
        <v>6309.4016666666676</v>
      </c>
      <c r="AO134" s="1">
        <f t="shared" si="230"/>
        <v>0</v>
      </c>
      <c r="AP134" s="41">
        <v>13</v>
      </c>
      <c r="AQ134" s="54">
        <f t="shared" si="231"/>
        <v>6463.3333333333339</v>
      </c>
    </row>
    <row r="135" spans="1:43" x14ac:dyDescent="0.35">
      <c r="A135" s="26" t="s">
        <v>196</v>
      </c>
      <c r="B135" s="44" t="s">
        <v>727</v>
      </c>
      <c r="C135" s="62" t="s">
        <v>490</v>
      </c>
      <c r="D135" s="63" t="s">
        <v>507</v>
      </c>
      <c r="E135" s="66" t="s">
        <v>465</v>
      </c>
      <c r="F135" s="68">
        <v>30501071401344</v>
      </c>
      <c r="G135" s="70" t="s">
        <v>526</v>
      </c>
      <c r="H135" s="72">
        <v>4000</v>
      </c>
      <c r="I135" s="72">
        <v>3000</v>
      </c>
      <c r="J135" s="9">
        <v>0</v>
      </c>
      <c r="K135" s="75">
        <v>1.05</v>
      </c>
      <c r="L135" s="9">
        <f t="shared" si="210"/>
        <v>3150</v>
      </c>
      <c r="M135" s="9"/>
      <c r="N135" s="9">
        <f t="shared" si="211"/>
        <v>26</v>
      </c>
      <c r="O135" s="9">
        <f t="shared" si="212"/>
        <v>0</v>
      </c>
      <c r="P135" s="10">
        <f t="shared" si="213"/>
        <v>133.33333333333334</v>
      </c>
      <c r="Q135" s="10">
        <f t="shared" si="214"/>
        <v>105</v>
      </c>
      <c r="R135" s="10">
        <f t="shared" si="215"/>
        <v>238.33333333333334</v>
      </c>
      <c r="S135" s="10">
        <f t="shared" si="216"/>
        <v>16.666666666666668</v>
      </c>
      <c r="T135" s="9">
        <v>0</v>
      </c>
      <c r="U135" s="9">
        <f t="shared" si="217"/>
        <v>0</v>
      </c>
      <c r="V135" s="9">
        <v>0</v>
      </c>
      <c r="W135" s="16">
        <f t="shared" si="218"/>
        <v>7150</v>
      </c>
      <c r="X135" s="49">
        <v>4</v>
      </c>
      <c r="Y135" s="11">
        <f t="shared" si="219"/>
        <v>953.33333333333337</v>
      </c>
      <c r="Z135" s="38">
        <v>0</v>
      </c>
      <c r="AA135" s="11">
        <f t="shared" si="220"/>
        <v>0</v>
      </c>
      <c r="AB135" s="11">
        <v>0</v>
      </c>
      <c r="AC135" s="11">
        <f t="shared" si="221"/>
        <v>0</v>
      </c>
      <c r="AD135" s="12">
        <f t="shared" si="222"/>
        <v>953.33333333333337</v>
      </c>
      <c r="AE135" s="4">
        <f t="shared" si="223"/>
        <v>6196.666666666667</v>
      </c>
      <c r="AF135" s="3"/>
      <c r="AG135" s="3">
        <f t="shared" si="224"/>
        <v>0</v>
      </c>
      <c r="AH135" s="1">
        <v>1717.6666666666699</v>
      </c>
      <c r="AI135" s="1">
        <f t="shared" si="225"/>
        <v>53747.999999999971</v>
      </c>
      <c r="AJ135" s="1">
        <f t="shared" si="226"/>
        <v>114.56666666666644</v>
      </c>
      <c r="AK135" s="3">
        <f t="shared" si="227"/>
        <v>3.0983333333333336</v>
      </c>
      <c r="AL135" s="4">
        <f t="shared" si="228"/>
        <v>6079.001666666667</v>
      </c>
      <c r="AM135" s="3">
        <v>0</v>
      </c>
      <c r="AN135" s="4">
        <f t="shared" si="229"/>
        <v>6079.001666666667</v>
      </c>
      <c r="AO135" s="1">
        <f t="shared" si="230"/>
        <v>0</v>
      </c>
      <c r="AP135" s="41">
        <v>9</v>
      </c>
      <c r="AQ135" s="54">
        <f t="shared" si="231"/>
        <v>6196.666666666667</v>
      </c>
    </row>
    <row r="136" spans="1:43" x14ac:dyDescent="0.35">
      <c r="A136" s="27" t="s">
        <v>196</v>
      </c>
      <c r="B136" s="44" t="s">
        <v>728</v>
      </c>
      <c r="C136" s="61" t="s">
        <v>286</v>
      </c>
      <c r="D136" s="63" t="s">
        <v>507</v>
      </c>
      <c r="E136" s="64" t="s">
        <v>237</v>
      </c>
      <c r="F136" s="69" t="s">
        <v>238</v>
      </c>
      <c r="G136" s="70" t="s">
        <v>526</v>
      </c>
      <c r="H136" s="72">
        <v>4000</v>
      </c>
      <c r="I136" s="72">
        <v>3000</v>
      </c>
      <c r="J136" s="9">
        <v>0</v>
      </c>
      <c r="K136" s="75">
        <v>1.05</v>
      </c>
      <c r="L136" s="9">
        <f t="shared" si="210"/>
        <v>3150</v>
      </c>
      <c r="M136" s="9"/>
      <c r="N136" s="9">
        <f t="shared" si="211"/>
        <v>26</v>
      </c>
      <c r="O136" s="9">
        <f t="shared" si="212"/>
        <v>0</v>
      </c>
      <c r="P136" s="10">
        <f t="shared" si="213"/>
        <v>133.33333333333334</v>
      </c>
      <c r="Q136" s="10">
        <f t="shared" si="214"/>
        <v>105</v>
      </c>
      <c r="R136" s="10">
        <f t="shared" si="215"/>
        <v>238.33333333333334</v>
      </c>
      <c r="S136" s="10">
        <f t="shared" si="216"/>
        <v>16.666666666666668</v>
      </c>
      <c r="T136" s="9">
        <v>0</v>
      </c>
      <c r="U136" s="9">
        <f t="shared" si="217"/>
        <v>0</v>
      </c>
      <c r="V136" s="9">
        <v>0</v>
      </c>
      <c r="W136" s="16">
        <f t="shared" si="218"/>
        <v>7150</v>
      </c>
      <c r="X136" s="49">
        <v>4</v>
      </c>
      <c r="Y136" s="11">
        <f t="shared" si="219"/>
        <v>953.33333333333337</v>
      </c>
      <c r="Z136" s="38">
        <v>2</v>
      </c>
      <c r="AA136" s="11">
        <f t="shared" si="220"/>
        <v>266.66666666666669</v>
      </c>
      <c r="AB136" s="11">
        <v>0</v>
      </c>
      <c r="AC136" s="11">
        <f t="shared" si="221"/>
        <v>0</v>
      </c>
      <c r="AD136" s="12">
        <f t="shared" si="222"/>
        <v>1220</v>
      </c>
      <c r="AE136" s="4">
        <f t="shared" si="223"/>
        <v>5930</v>
      </c>
      <c r="AF136" s="3"/>
      <c r="AG136" s="3">
        <f t="shared" si="224"/>
        <v>0</v>
      </c>
      <c r="AH136" s="1">
        <v>1747.6666666666699</v>
      </c>
      <c r="AI136" s="1">
        <f t="shared" si="225"/>
        <v>50187.999999999964</v>
      </c>
      <c r="AJ136" s="1">
        <f t="shared" si="226"/>
        <v>84.899999999999707</v>
      </c>
      <c r="AK136" s="3">
        <f t="shared" si="227"/>
        <v>2.9649999999999999</v>
      </c>
      <c r="AL136" s="4">
        <f t="shared" si="228"/>
        <v>5842.1350000000002</v>
      </c>
      <c r="AM136" s="3">
        <v>0</v>
      </c>
      <c r="AN136" s="4">
        <f t="shared" si="229"/>
        <v>5842.1350000000002</v>
      </c>
      <c r="AO136" s="1">
        <f t="shared" si="230"/>
        <v>0</v>
      </c>
      <c r="AP136" s="41">
        <v>6</v>
      </c>
      <c r="AQ136" s="54">
        <f t="shared" si="231"/>
        <v>5930</v>
      </c>
    </row>
    <row r="137" spans="1:43" x14ac:dyDescent="0.35">
      <c r="A137" s="26" t="s">
        <v>196</v>
      </c>
      <c r="B137" s="44" t="s">
        <v>729</v>
      </c>
      <c r="C137" s="58" t="s">
        <v>329</v>
      </c>
      <c r="D137" s="60" t="s">
        <v>730</v>
      </c>
      <c r="E137" s="66" t="s">
        <v>210</v>
      </c>
      <c r="F137" s="68" t="s">
        <v>211</v>
      </c>
      <c r="G137" s="70" t="s">
        <v>526</v>
      </c>
      <c r="H137" s="72">
        <v>4000</v>
      </c>
      <c r="I137" s="72">
        <v>3000</v>
      </c>
      <c r="J137" s="9">
        <v>0</v>
      </c>
      <c r="K137" s="75">
        <v>1.05</v>
      </c>
      <c r="L137" s="9">
        <f t="shared" si="210"/>
        <v>3150</v>
      </c>
      <c r="M137" s="9"/>
      <c r="N137" s="9">
        <f t="shared" si="211"/>
        <v>30</v>
      </c>
      <c r="O137" s="9">
        <f t="shared" si="212"/>
        <v>0</v>
      </c>
      <c r="P137" s="10">
        <f t="shared" si="213"/>
        <v>133.33333333333334</v>
      </c>
      <c r="Q137" s="10">
        <f t="shared" si="214"/>
        <v>105</v>
      </c>
      <c r="R137" s="10">
        <f t="shared" si="215"/>
        <v>238.33333333333334</v>
      </c>
      <c r="S137" s="10">
        <f t="shared" si="216"/>
        <v>16.666666666666668</v>
      </c>
      <c r="T137" s="9">
        <v>0</v>
      </c>
      <c r="U137" s="9">
        <f t="shared" si="217"/>
        <v>0</v>
      </c>
      <c r="V137" s="9">
        <v>0</v>
      </c>
      <c r="W137" s="16">
        <f t="shared" si="218"/>
        <v>7150</v>
      </c>
      <c r="X137" s="49">
        <v>0</v>
      </c>
      <c r="Y137" s="11">
        <f t="shared" si="219"/>
        <v>0</v>
      </c>
      <c r="Z137" s="38">
        <v>0</v>
      </c>
      <c r="AA137" s="11">
        <f t="shared" si="220"/>
        <v>0</v>
      </c>
      <c r="AB137" s="11">
        <v>0</v>
      </c>
      <c r="AC137" s="11">
        <f t="shared" si="221"/>
        <v>0</v>
      </c>
      <c r="AD137" s="12">
        <f t="shared" si="222"/>
        <v>0</v>
      </c>
      <c r="AE137" s="4">
        <f t="shared" si="223"/>
        <v>7150</v>
      </c>
      <c r="AF137" s="3"/>
      <c r="AG137" s="3">
        <f t="shared" si="224"/>
        <v>0</v>
      </c>
      <c r="AH137" s="1">
        <v>1682.6666666666699</v>
      </c>
      <c r="AI137" s="1">
        <f t="shared" si="225"/>
        <v>65607.999999999971</v>
      </c>
      <c r="AJ137" s="1">
        <f t="shared" si="226"/>
        <v>257.59999999999962</v>
      </c>
      <c r="AK137" s="3">
        <f t="shared" si="227"/>
        <v>3.5750000000000002</v>
      </c>
      <c r="AL137" s="4">
        <f t="shared" si="228"/>
        <v>6888.8250000000007</v>
      </c>
      <c r="AM137" s="3">
        <v>0</v>
      </c>
      <c r="AN137" s="4">
        <f t="shared" si="229"/>
        <v>6888.8250000000007</v>
      </c>
      <c r="AO137" s="1">
        <f t="shared" si="230"/>
        <v>0</v>
      </c>
      <c r="AP137" s="41">
        <v>8</v>
      </c>
      <c r="AQ137" s="54">
        <f t="shared" si="231"/>
        <v>7150</v>
      </c>
    </row>
    <row r="138" spans="1:43" ht="18.5" x14ac:dyDescent="0.35">
      <c r="A138" s="2"/>
      <c r="B138" s="2"/>
      <c r="C138" s="2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13">
        <f>SUM(AN131:AN137)</f>
        <v>36509.029166666674</v>
      </c>
      <c r="AO138" s="2"/>
      <c r="AQ138" s="13">
        <f>SUM(AQ131:AQ137)</f>
        <v>37208.333333333336</v>
      </c>
    </row>
    <row r="139" spans="1:43" x14ac:dyDescent="0.35">
      <c r="A139" s="2"/>
      <c r="B139" s="2"/>
      <c r="C139" s="2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3" x14ac:dyDescent="0.35">
      <c r="A140" s="2"/>
      <c r="B140" s="2"/>
      <c r="C140" s="2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3" x14ac:dyDescent="0.35">
      <c r="A141" s="2"/>
      <c r="B141" s="2"/>
      <c r="C141" s="2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3" ht="16" thickBot="1" x14ac:dyDescent="0.4">
      <c r="A142" s="2"/>
      <c r="B142" s="2"/>
      <c r="C142" s="2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3" ht="19" thickBot="1" x14ac:dyDescent="0.4">
      <c r="A143" s="76" t="s">
        <v>260</v>
      </c>
      <c r="B143" s="77"/>
      <c r="C143" s="77"/>
      <c r="D143" s="85"/>
      <c r="E143" s="34">
        <f>+AN128+AN138</f>
        <v>835223.30596153822</v>
      </c>
      <c r="F143" s="29"/>
    </row>
    <row r="144" spans="1:43" ht="19" thickBot="1" x14ac:dyDescent="0.4">
      <c r="A144" s="76" t="s">
        <v>501</v>
      </c>
      <c r="B144" s="77"/>
      <c r="C144" s="77"/>
      <c r="D144" s="78"/>
      <c r="E144" s="34">
        <f>AQ128+AQ138</f>
        <v>1051232.948717948</v>
      </c>
    </row>
    <row r="148" spans="42:42" ht="14.5" x14ac:dyDescent="0.35">
      <c r="AP148"/>
    </row>
    <row r="149" spans="42:42" ht="14.5" x14ac:dyDescent="0.35">
      <c r="AP149"/>
    </row>
    <row r="153" spans="42:42" ht="18.5" x14ac:dyDescent="0.35">
      <c r="AP153" s="14"/>
    </row>
  </sheetData>
  <protectedRanges>
    <protectedRange sqref="A131:A137 A3:A127" name="Range3_1_2"/>
    <protectedRange sqref="A131:A137 A3:A127" name="Range2_1_2"/>
    <protectedRange sqref="C49 C41:C44" name="Range3_1_2_5"/>
    <protectedRange sqref="C49 C41:C44" name="Range2_1_2_5"/>
    <protectedRange sqref="C50:C51 C53:C64 C137 C24:C40 C45:C48 C131:C135 C3:C22" name="Range1_1_2_2"/>
    <protectedRange sqref="D26:D30 D32:D116 D131:D136 D3:D24 D118" name="Range3_1_2_3_1_1"/>
    <protectedRange sqref="D26:D30 D32:D116 D131:D136 D3:D24 D118" name="Range2_1_2_3_1_1"/>
    <protectedRange sqref="E63:E64" name="Range1_1_2_3"/>
    <protectedRange sqref="E66" name="Range1_1_2_2_1"/>
    <protectedRange algorithmName="SHA-512" hashValue="HPQuJwE1hjBfMtgPMPAUa0WVTR0E3BW6QvcTNwJIsBi6pugW6xHEJDiLUJUlHegYMO+QT6ifq5RF2/pG2dVZoQ==" saltValue="nhtcP3+XYiDsBG83UooSqw==" spinCount="100000" sqref="F44:F56 F135" name="Range1_3"/>
    <protectedRange algorithmName="SHA-512" hashValue="HPQuJwE1hjBfMtgPMPAUa0WVTR0E3BW6QvcTNwJIsBi6pugW6xHEJDiLUJUlHegYMO+QT6ifq5RF2/pG2dVZoQ==" saltValue="nhtcP3+XYiDsBG83UooSqw==" spinCount="100000" sqref="F57 F62" name="Range1_2_3"/>
    <protectedRange sqref="F66" name="Range1_2_2_2"/>
    <protectedRange sqref="D31 D117 D25 D119:E119 D121:D127 D137" name="Range3_1_2_2_1_9"/>
    <protectedRange sqref="D31 D117 D25 D119:E119 D121:D127 D137" name="Range2_1_2_2_1_9"/>
    <protectedRange sqref="C120:C127" name="Range1_1_2_2_2"/>
    <protectedRange sqref="D120" name="Range3_1_2_2_1"/>
    <protectedRange sqref="D120" name="Range2_1_2_2_1"/>
    <protectedRange algorithmName="SHA-512" hashValue="HPQuJwE1hjBfMtgPMPAUa0WVTR0E3BW6QvcTNwJIsBi6pugW6xHEJDiLUJUlHegYMO+QT6ifq5RF2/pG2dVZoQ==" saltValue="nhtcP3+XYiDsBG83UooSqw==" spinCount="100000" sqref="F120:F127" name="Range1_1_1"/>
  </protectedRanges>
  <autoFilter ref="A2:AP128">
    <sortState ref="A3:AP80">
      <sortCondition ref="E2:E71"/>
    </sortState>
  </autoFilter>
  <mergeCells count="5">
    <mergeCell ref="A144:D144"/>
    <mergeCell ref="A128:G128"/>
    <mergeCell ref="A143:D143"/>
    <mergeCell ref="A1:AQ1"/>
    <mergeCell ref="A130:AQ130"/>
  </mergeCells>
  <conditionalFormatting sqref="E4">
    <cfRule type="duplicateValues" dxfId="527" priority="568"/>
  </conditionalFormatting>
  <conditionalFormatting sqref="E6">
    <cfRule type="duplicateValues" dxfId="526" priority="565"/>
  </conditionalFormatting>
  <conditionalFormatting sqref="E7">
    <cfRule type="duplicateValues" dxfId="525" priority="564"/>
  </conditionalFormatting>
  <conditionalFormatting sqref="E9">
    <cfRule type="duplicateValues" dxfId="524" priority="563"/>
  </conditionalFormatting>
  <conditionalFormatting sqref="E15">
    <cfRule type="duplicateValues" dxfId="523" priority="562"/>
  </conditionalFormatting>
  <conditionalFormatting sqref="E19">
    <cfRule type="duplicateValues" dxfId="522" priority="561"/>
  </conditionalFormatting>
  <conditionalFormatting sqref="E22">
    <cfRule type="duplicateValues" dxfId="521" priority="559"/>
  </conditionalFormatting>
  <conditionalFormatting sqref="E23">
    <cfRule type="duplicateValues" dxfId="520" priority="560"/>
  </conditionalFormatting>
  <conditionalFormatting sqref="E27">
    <cfRule type="duplicateValues" dxfId="519" priority="558"/>
  </conditionalFormatting>
  <conditionalFormatting sqref="E35">
    <cfRule type="duplicateValues" dxfId="518" priority="557"/>
  </conditionalFormatting>
  <conditionalFormatting sqref="E39">
    <cfRule type="duplicateValues" dxfId="517" priority="556"/>
  </conditionalFormatting>
  <conditionalFormatting sqref="E43">
    <cfRule type="duplicateValues" dxfId="516" priority="570"/>
    <cfRule type="duplicateValues" dxfId="515" priority="571"/>
    <cfRule type="duplicateValues" dxfId="514" priority="572"/>
    <cfRule type="duplicateValues" dxfId="513" priority="573"/>
  </conditionalFormatting>
  <conditionalFormatting sqref="E44">
    <cfRule type="duplicateValues" dxfId="512" priority="569"/>
  </conditionalFormatting>
  <conditionalFormatting sqref="E45">
    <cfRule type="duplicateValues" dxfId="511" priority="574"/>
    <cfRule type="duplicateValues" dxfId="510" priority="575"/>
  </conditionalFormatting>
  <conditionalFormatting sqref="E58">
    <cfRule type="duplicateValues" dxfId="509" priority="567"/>
  </conditionalFormatting>
  <conditionalFormatting sqref="E59:E60 E62">
    <cfRule type="duplicateValues" dxfId="508" priority="566"/>
  </conditionalFormatting>
  <conditionalFormatting sqref="E61">
    <cfRule type="duplicateValues" dxfId="507" priority="555"/>
  </conditionalFormatting>
  <conditionalFormatting sqref="E66">
    <cfRule type="duplicateValues" dxfId="506" priority="553"/>
  </conditionalFormatting>
  <conditionalFormatting sqref="F66">
    <cfRule type="duplicateValues" dxfId="505" priority="542"/>
  </conditionalFormatting>
  <conditionalFormatting sqref="E67">
    <cfRule type="cellIs" dxfId="504" priority="537" operator="equal">
      <formula>$C$5</formula>
    </cfRule>
    <cfRule type="cellIs" dxfId="503" priority="538" operator="equal">
      <formula>$C$4</formula>
    </cfRule>
    <cfRule type="cellIs" dxfId="502" priority="539" operator="equal">
      <formula>$C$3</formula>
    </cfRule>
    <cfRule type="cellIs" dxfId="501" priority="540" operator="equal">
      <formula>$C$2</formula>
    </cfRule>
    <cfRule type="cellIs" dxfId="500" priority="541" operator="equal">
      <formula>$C$1</formula>
    </cfRule>
  </conditionalFormatting>
  <conditionalFormatting sqref="E67">
    <cfRule type="duplicateValues" dxfId="499" priority="533"/>
  </conditionalFormatting>
  <conditionalFormatting sqref="E67">
    <cfRule type="cellIs" dxfId="498" priority="535" operator="equal">
      <formula>$C$6</formula>
    </cfRule>
    <cfRule type="cellIs" dxfId="497" priority="536" operator="equal">
      <formula>$C$6+$C$6</formula>
    </cfRule>
  </conditionalFormatting>
  <conditionalFormatting sqref="E67">
    <cfRule type="duplicateValues" dxfId="496" priority="534"/>
  </conditionalFormatting>
  <conditionalFormatting sqref="E95">
    <cfRule type="cellIs" dxfId="495" priority="528" operator="equal">
      <formula>$C$5</formula>
    </cfRule>
    <cfRule type="cellIs" dxfId="494" priority="529" operator="equal">
      <formula>$C$4</formula>
    </cfRule>
    <cfRule type="cellIs" dxfId="493" priority="530" operator="equal">
      <formula>$C$3</formula>
    </cfRule>
    <cfRule type="cellIs" dxfId="492" priority="531" operator="equal">
      <formula>$C$2</formula>
    </cfRule>
    <cfRule type="cellIs" dxfId="491" priority="532" operator="equal">
      <formula>$C$1</formula>
    </cfRule>
  </conditionalFormatting>
  <conditionalFormatting sqref="E95">
    <cfRule type="duplicateValues" dxfId="490" priority="524"/>
  </conditionalFormatting>
  <conditionalFormatting sqref="E95">
    <cfRule type="cellIs" dxfId="489" priority="526" operator="equal">
      <formula>$C$6</formula>
    </cfRule>
    <cfRule type="cellIs" dxfId="488" priority="527" operator="equal">
      <formula>$C$6+$C$6</formula>
    </cfRule>
  </conditionalFormatting>
  <conditionalFormatting sqref="E95">
    <cfRule type="duplicateValues" dxfId="487" priority="525"/>
  </conditionalFormatting>
  <conditionalFormatting sqref="E117">
    <cfRule type="cellIs" dxfId="486" priority="510" operator="equal">
      <formula>$C$5</formula>
    </cfRule>
    <cfRule type="cellIs" dxfId="485" priority="511" operator="equal">
      <formula>$C$4</formula>
    </cfRule>
    <cfRule type="cellIs" dxfId="484" priority="512" operator="equal">
      <formula>$C$3</formula>
    </cfRule>
    <cfRule type="cellIs" dxfId="483" priority="513" operator="equal">
      <formula>$C$2</formula>
    </cfRule>
    <cfRule type="cellIs" dxfId="482" priority="514" operator="equal">
      <formula>$C$1</formula>
    </cfRule>
  </conditionalFormatting>
  <conditionalFormatting sqref="E117">
    <cfRule type="duplicateValues" dxfId="481" priority="506"/>
  </conditionalFormatting>
  <conditionalFormatting sqref="E117">
    <cfRule type="cellIs" dxfId="480" priority="508" operator="equal">
      <formula>$C$6</formula>
    </cfRule>
    <cfRule type="cellIs" dxfId="479" priority="509" operator="equal">
      <formula>$C$6+$C$6</formula>
    </cfRule>
  </conditionalFormatting>
  <conditionalFormatting sqref="E117">
    <cfRule type="duplicateValues" dxfId="478" priority="507"/>
  </conditionalFormatting>
  <conditionalFormatting sqref="E97">
    <cfRule type="cellIs" dxfId="477" priority="501" operator="equal">
      <formula>$C$5</formula>
    </cfRule>
    <cfRule type="cellIs" dxfId="476" priority="502" operator="equal">
      <formula>$C$4</formula>
    </cfRule>
    <cfRule type="cellIs" dxfId="475" priority="503" operator="equal">
      <formula>$C$3</formula>
    </cfRule>
    <cfRule type="cellIs" dxfId="474" priority="504" operator="equal">
      <formula>$C$2</formula>
    </cfRule>
    <cfRule type="cellIs" dxfId="473" priority="505" operator="equal">
      <formula>$C$1</formula>
    </cfRule>
  </conditionalFormatting>
  <conditionalFormatting sqref="E97">
    <cfRule type="duplicateValues" dxfId="472" priority="497"/>
  </conditionalFormatting>
  <conditionalFormatting sqref="E97">
    <cfRule type="cellIs" dxfId="471" priority="499" operator="equal">
      <formula>$C$6</formula>
    </cfRule>
    <cfRule type="cellIs" dxfId="470" priority="500" operator="equal">
      <formula>$C$6+$C$6</formula>
    </cfRule>
  </conditionalFormatting>
  <conditionalFormatting sqref="E97">
    <cfRule type="duplicateValues" dxfId="469" priority="498"/>
  </conditionalFormatting>
  <conditionalFormatting sqref="E96">
    <cfRule type="cellIs" dxfId="468" priority="492" operator="equal">
      <formula>$C$5</formula>
    </cfRule>
    <cfRule type="cellIs" dxfId="467" priority="493" operator="equal">
      <formula>$C$4</formula>
    </cfRule>
    <cfRule type="cellIs" dxfId="466" priority="494" operator="equal">
      <formula>$C$3</formula>
    </cfRule>
    <cfRule type="cellIs" dxfId="465" priority="495" operator="equal">
      <formula>$C$2</formula>
    </cfRule>
    <cfRule type="cellIs" dxfId="464" priority="496" operator="equal">
      <formula>$C$1</formula>
    </cfRule>
  </conditionalFormatting>
  <conditionalFormatting sqref="E96">
    <cfRule type="duplicateValues" dxfId="463" priority="488"/>
  </conditionalFormatting>
  <conditionalFormatting sqref="E96">
    <cfRule type="cellIs" dxfId="462" priority="490" operator="equal">
      <formula>$C$6</formula>
    </cfRule>
    <cfRule type="cellIs" dxfId="461" priority="491" operator="equal">
      <formula>$C$6+$C$6</formula>
    </cfRule>
  </conditionalFormatting>
  <conditionalFormatting sqref="E96">
    <cfRule type="duplicateValues" dxfId="460" priority="489"/>
  </conditionalFormatting>
  <conditionalFormatting sqref="E70">
    <cfRule type="cellIs" dxfId="459" priority="474" operator="equal">
      <formula>$C$5</formula>
    </cfRule>
    <cfRule type="cellIs" dxfId="458" priority="475" operator="equal">
      <formula>$C$4</formula>
    </cfRule>
    <cfRule type="cellIs" dxfId="457" priority="476" operator="equal">
      <formula>$C$3</formula>
    </cfRule>
    <cfRule type="cellIs" dxfId="456" priority="477" operator="equal">
      <formula>$C$2</formula>
    </cfRule>
    <cfRule type="cellIs" dxfId="455" priority="478" operator="equal">
      <formula>$C$1</formula>
    </cfRule>
  </conditionalFormatting>
  <conditionalFormatting sqref="E70">
    <cfRule type="cellIs" dxfId="454" priority="472" operator="equal">
      <formula>$C$6</formula>
    </cfRule>
    <cfRule type="cellIs" dxfId="453" priority="473" operator="equal">
      <formula>$C$6+$C$6</formula>
    </cfRule>
  </conditionalFormatting>
  <conditionalFormatting sqref="E70">
    <cfRule type="duplicateValues" dxfId="452" priority="470"/>
  </conditionalFormatting>
  <conditionalFormatting sqref="E70">
    <cfRule type="duplicateValues" dxfId="451" priority="471"/>
  </conditionalFormatting>
  <conditionalFormatting sqref="E68">
    <cfRule type="cellIs" dxfId="450" priority="465" operator="equal">
      <formula>$C$5</formula>
    </cfRule>
    <cfRule type="cellIs" dxfId="449" priority="466" operator="equal">
      <formula>$C$4</formula>
    </cfRule>
    <cfRule type="cellIs" dxfId="448" priority="467" operator="equal">
      <formula>$C$3</formula>
    </cfRule>
    <cfRule type="cellIs" dxfId="447" priority="468" operator="equal">
      <formula>$C$2</formula>
    </cfRule>
    <cfRule type="cellIs" dxfId="446" priority="469" operator="equal">
      <formula>$C$1</formula>
    </cfRule>
  </conditionalFormatting>
  <conditionalFormatting sqref="E68">
    <cfRule type="duplicateValues" dxfId="445" priority="461"/>
  </conditionalFormatting>
  <conditionalFormatting sqref="E68">
    <cfRule type="cellIs" dxfId="444" priority="463" operator="equal">
      <formula>$C$6</formula>
    </cfRule>
    <cfRule type="cellIs" dxfId="443" priority="464" operator="equal">
      <formula>$C$6+$C$6</formula>
    </cfRule>
  </conditionalFormatting>
  <conditionalFormatting sqref="E68">
    <cfRule type="duplicateValues" dxfId="442" priority="462"/>
  </conditionalFormatting>
  <conditionalFormatting sqref="E69">
    <cfRule type="cellIs" dxfId="441" priority="456" operator="equal">
      <formula>$C$5</formula>
    </cfRule>
    <cfRule type="cellIs" dxfId="440" priority="457" operator="equal">
      <formula>$C$4</formula>
    </cfRule>
    <cfRule type="cellIs" dxfId="439" priority="458" operator="equal">
      <formula>$C$3</formula>
    </cfRule>
    <cfRule type="cellIs" dxfId="438" priority="459" operator="equal">
      <formula>$C$2</formula>
    </cfRule>
    <cfRule type="cellIs" dxfId="437" priority="460" operator="equal">
      <formula>$C$1</formula>
    </cfRule>
  </conditionalFormatting>
  <conditionalFormatting sqref="E69">
    <cfRule type="duplicateValues" dxfId="436" priority="452"/>
  </conditionalFormatting>
  <conditionalFormatting sqref="E69">
    <cfRule type="cellIs" dxfId="435" priority="454" operator="equal">
      <formula>$C$6</formula>
    </cfRule>
    <cfRule type="cellIs" dxfId="434" priority="455" operator="equal">
      <formula>$C$6+$C$6</formula>
    </cfRule>
  </conditionalFormatting>
  <conditionalFormatting sqref="E69">
    <cfRule type="duplicateValues" dxfId="433" priority="453"/>
  </conditionalFormatting>
  <conditionalFormatting sqref="E94">
    <cfRule type="cellIs" dxfId="432" priority="447" operator="equal">
      <formula>$C$5</formula>
    </cfRule>
    <cfRule type="cellIs" dxfId="431" priority="448" operator="equal">
      <formula>$C$4</formula>
    </cfRule>
    <cfRule type="cellIs" dxfId="430" priority="449" operator="equal">
      <formula>$C$3</formula>
    </cfRule>
    <cfRule type="cellIs" dxfId="429" priority="450" operator="equal">
      <formula>$C$2</formula>
    </cfRule>
    <cfRule type="cellIs" dxfId="428" priority="451" operator="equal">
      <formula>$C$1</formula>
    </cfRule>
  </conditionalFormatting>
  <conditionalFormatting sqref="E94">
    <cfRule type="duplicateValues" dxfId="427" priority="443"/>
  </conditionalFormatting>
  <conditionalFormatting sqref="E94">
    <cfRule type="cellIs" dxfId="426" priority="445" operator="equal">
      <formula>$C$6</formula>
    </cfRule>
    <cfRule type="cellIs" dxfId="425" priority="446" operator="equal">
      <formula>$C$6+$C$6</formula>
    </cfRule>
  </conditionalFormatting>
  <conditionalFormatting sqref="E94">
    <cfRule type="duplicateValues" dxfId="424" priority="444"/>
  </conditionalFormatting>
  <conditionalFormatting sqref="E93">
    <cfRule type="cellIs" dxfId="423" priority="438" operator="equal">
      <formula>$C$5</formula>
    </cfRule>
    <cfRule type="cellIs" dxfId="422" priority="439" operator="equal">
      <formula>$C$4</formula>
    </cfRule>
    <cfRule type="cellIs" dxfId="421" priority="440" operator="equal">
      <formula>$C$3</formula>
    </cfRule>
    <cfRule type="cellIs" dxfId="420" priority="441" operator="equal">
      <formula>$C$2</formula>
    </cfRule>
    <cfRule type="cellIs" dxfId="419" priority="442" operator="equal">
      <formula>$C$1</formula>
    </cfRule>
  </conditionalFormatting>
  <conditionalFormatting sqref="E93">
    <cfRule type="duplicateValues" dxfId="418" priority="434"/>
  </conditionalFormatting>
  <conditionalFormatting sqref="E93">
    <cfRule type="cellIs" dxfId="417" priority="436" operator="equal">
      <formula>$C$6</formula>
    </cfRule>
    <cfRule type="cellIs" dxfId="416" priority="437" operator="equal">
      <formula>$C$6+$C$6</formula>
    </cfRule>
  </conditionalFormatting>
  <conditionalFormatting sqref="E93">
    <cfRule type="duplicateValues" dxfId="415" priority="435"/>
  </conditionalFormatting>
  <conditionalFormatting sqref="E71">
    <cfRule type="cellIs" dxfId="414" priority="429" operator="equal">
      <formula>$C$5</formula>
    </cfRule>
    <cfRule type="cellIs" dxfId="413" priority="430" operator="equal">
      <formula>$C$4</formula>
    </cfRule>
    <cfRule type="cellIs" dxfId="412" priority="431" operator="equal">
      <formula>$C$3</formula>
    </cfRule>
    <cfRule type="cellIs" dxfId="411" priority="432" operator="equal">
      <formula>$C$2</formula>
    </cfRule>
    <cfRule type="cellIs" dxfId="410" priority="433" operator="equal">
      <formula>$C$1</formula>
    </cfRule>
  </conditionalFormatting>
  <conditionalFormatting sqref="E71">
    <cfRule type="duplicateValues" dxfId="409" priority="425"/>
  </conditionalFormatting>
  <conditionalFormatting sqref="E71">
    <cfRule type="cellIs" dxfId="408" priority="427" operator="equal">
      <formula>$C$6</formula>
    </cfRule>
    <cfRule type="cellIs" dxfId="407" priority="428" operator="equal">
      <formula>$C$6+$C$6</formula>
    </cfRule>
  </conditionalFormatting>
  <conditionalFormatting sqref="E71">
    <cfRule type="duplicateValues" dxfId="406" priority="426"/>
  </conditionalFormatting>
  <conditionalFormatting sqref="E92">
    <cfRule type="cellIs" dxfId="405" priority="420" operator="equal">
      <formula>$C$5</formula>
    </cfRule>
    <cfRule type="cellIs" dxfId="404" priority="421" operator="equal">
      <formula>$C$4</formula>
    </cfRule>
    <cfRule type="cellIs" dxfId="403" priority="422" operator="equal">
      <formula>$C$3</formula>
    </cfRule>
    <cfRule type="cellIs" dxfId="402" priority="423" operator="equal">
      <formula>$C$2</formula>
    </cfRule>
    <cfRule type="cellIs" dxfId="401" priority="424" operator="equal">
      <formula>$C$1</formula>
    </cfRule>
  </conditionalFormatting>
  <conditionalFormatting sqref="E92">
    <cfRule type="duplicateValues" dxfId="400" priority="416"/>
  </conditionalFormatting>
  <conditionalFormatting sqref="E92">
    <cfRule type="cellIs" dxfId="399" priority="418" operator="equal">
      <formula>$C$6</formula>
    </cfRule>
    <cfRule type="cellIs" dxfId="398" priority="419" operator="equal">
      <formula>$C$6+$C$6</formula>
    </cfRule>
  </conditionalFormatting>
  <conditionalFormatting sqref="E92">
    <cfRule type="duplicateValues" dxfId="397" priority="417"/>
  </conditionalFormatting>
  <conditionalFormatting sqref="E72">
    <cfRule type="cellIs" dxfId="396" priority="411" operator="equal">
      <formula>$C$5</formula>
    </cfRule>
    <cfRule type="cellIs" dxfId="395" priority="412" operator="equal">
      <formula>$C$4</formula>
    </cfRule>
    <cfRule type="cellIs" dxfId="394" priority="413" operator="equal">
      <formula>$C$3</formula>
    </cfRule>
    <cfRule type="cellIs" dxfId="393" priority="414" operator="equal">
      <formula>$C$2</formula>
    </cfRule>
    <cfRule type="cellIs" dxfId="392" priority="415" operator="equal">
      <formula>$C$1</formula>
    </cfRule>
  </conditionalFormatting>
  <conditionalFormatting sqref="E72">
    <cfRule type="duplicateValues" dxfId="391" priority="407"/>
  </conditionalFormatting>
  <conditionalFormatting sqref="E72">
    <cfRule type="cellIs" dxfId="390" priority="409" operator="equal">
      <formula>$C$6</formula>
    </cfRule>
    <cfRule type="cellIs" dxfId="389" priority="410" operator="equal">
      <formula>$C$6+$C$6</formula>
    </cfRule>
  </conditionalFormatting>
  <conditionalFormatting sqref="E72">
    <cfRule type="duplicateValues" dxfId="388" priority="408"/>
  </conditionalFormatting>
  <conditionalFormatting sqref="E73">
    <cfRule type="cellIs" dxfId="387" priority="402" operator="equal">
      <formula>$C$5</formula>
    </cfRule>
    <cfRule type="cellIs" dxfId="386" priority="403" operator="equal">
      <formula>$C$4</formula>
    </cfRule>
    <cfRule type="cellIs" dxfId="385" priority="404" operator="equal">
      <formula>$C$3</formula>
    </cfRule>
    <cfRule type="cellIs" dxfId="384" priority="405" operator="equal">
      <formula>$C$2</formula>
    </cfRule>
    <cfRule type="cellIs" dxfId="383" priority="406" operator="equal">
      <formula>$C$1</formula>
    </cfRule>
  </conditionalFormatting>
  <conditionalFormatting sqref="E73">
    <cfRule type="duplicateValues" dxfId="382" priority="398"/>
  </conditionalFormatting>
  <conditionalFormatting sqref="E73">
    <cfRule type="cellIs" dxfId="381" priority="400" operator="equal">
      <formula>$C$6</formula>
    </cfRule>
    <cfRule type="cellIs" dxfId="380" priority="401" operator="equal">
      <formula>$C$6+$C$6</formula>
    </cfRule>
  </conditionalFormatting>
  <conditionalFormatting sqref="E73">
    <cfRule type="duplicateValues" dxfId="379" priority="399"/>
  </conditionalFormatting>
  <conditionalFormatting sqref="E74">
    <cfRule type="cellIs" dxfId="378" priority="393" operator="equal">
      <formula>$C$5</formula>
    </cfRule>
    <cfRule type="cellIs" dxfId="377" priority="394" operator="equal">
      <formula>$C$4</formula>
    </cfRule>
    <cfRule type="cellIs" dxfId="376" priority="395" operator="equal">
      <formula>$C$3</formula>
    </cfRule>
    <cfRule type="cellIs" dxfId="375" priority="396" operator="equal">
      <formula>$C$2</formula>
    </cfRule>
    <cfRule type="cellIs" dxfId="374" priority="397" operator="equal">
      <formula>$C$1</formula>
    </cfRule>
  </conditionalFormatting>
  <conditionalFormatting sqref="E74">
    <cfRule type="duplicateValues" dxfId="373" priority="389"/>
  </conditionalFormatting>
  <conditionalFormatting sqref="E74">
    <cfRule type="cellIs" dxfId="372" priority="391" operator="equal">
      <formula>$C$6</formula>
    </cfRule>
    <cfRule type="cellIs" dxfId="371" priority="392" operator="equal">
      <formula>$C$6+$C$6</formula>
    </cfRule>
  </conditionalFormatting>
  <conditionalFormatting sqref="E74">
    <cfRule type="duplicateValues" dxfId="370" priority="390"/>
  </conditionalFormatting>
  <conditionalFormatting sqref="E75">
    <cfRule type="cellIs" dxfId="369" priority="384" operator="equal">
      <formula>$C$5</formula>
    </cfRule>
    <cfRule type="cellIs" dxfId="368" priority="385" operator="equal">
      <formula>$C$4</formula>
    </cfRule>
    <cfRule type="cellIs" dxfId="367" priority="386" operator="equal">
      <formula>$C$3</formula>
    </cfRule>
    <cfRule type="cellIs" dxfId="366" priority="387" operator="equal">
      <formula>$C$2</formula>
    </cfRule>
    <cfRule type="cellIs" dxfId="365" priority="388" operator="equal">
      <formula>$C$1</formula>
    </cfRule>
  </conditionalFormatting>
  <conditionalFormatting sqref="E75">
    <cfRule type="duplicateValues" dxfId="364" priority="380"/>
  </conditionalFormatting>
  <conditionalFormatting sqref="E75">
    <cfRule type="cellIs" dxfId="363" priority="382" operator="equal">
      <formula>$C$6</formula>
    </cfRule>
    <cfRule type="cellIs" dxfId="362" priority="383" operator="equal">
      <formula>$C$6+$C$6</formula>
    </cfRule>
  </conditionalFormatting>
  <conditionalFormatting sqref="E75">
    <cfRule type="duplicateValues" dxfId="361" priority="381"/>
  </conditionalFormatting>
  <conditionalFormatting sqref="E76">
    <cfRule type="cellIs" dxfId="360" priority="375" operator="equal">
      <formula>$C$5</formula>
    </cfRule>
    <cfRule type="cellIs" dxfId="359" priority="376" operator="equal">
      <formula>$C$4</formula>
    </cfRule>
    <cfRule type="cellIs" dxfId="358" priority="377" operator="equal">
      <formula>$C$3</formula>
    </cfRule>
    <cfRule type="cellIs" dxfId="357" priority="378" operator="equal">
      <formula>$C$2</formula>
    </cfRule>
    <cfRule type="cellIs" dxfId="356" priority="379" operator="equal">
      <formula>$C$1</formula>
    </cfRule>
  </conditionalFormatting>
  <conditionalFormatting sqref="E76">
    <cfRule type="duplicateValues" dxfId="355" priority="371"/>
  </conditionalFormatting>
  <conditionalFormatting sqref="E76">
    <cfRule type="cellIs" dxfId="354" priority="373" operator="equal">
      <formula>$C$6</formula>
    </cfRule>
    <cfRule type="cellIs" dxfId="353" priority="374" operator="equal">
      <formula>$C$6+$C$6</formula>
    </cfRule>
  </conditionalFormatting>
  <conditionalFormatting sqref="E76">
    <cfRule type="duplicateValues" dxfId="352" priority="372"/>
  </conditionalFormatting>
  <conditionalFormatting sqref="E77">
    <cfRule type="cellIs" dxfId="351" priority="366" operator="equal">
      <formula>$C$5</formula>
    </cfRule>
    <cfRule type="cellIs" dxfId="350" priority="367" operator="equal">
      <formula>$C$4</formula>
    </cfRule>
    <cfRule type="cellIs" dxfId="349" priority="368" operator="equal">
      <formula>$C$3</formula>
    </cfRule>
    <cfRule type="cellIs" dxfId="348" priority="369" operator="equal">
      <formula>$C$2</formula>
    </cfRule>
    <cfRule type="cellIs" dxfId="347" priority="370" operator="equal">
      <formula>$C$1</formula>
    </cfRule>
  </conditionalFormatting>
  <conditionalFormatting sqref="E77">
    <cfRule type="duplicateValues" dxfId="346" priority="362"/>
  </conditionalFormatting>
  <conditionalFormatting sqref="E77">
    <cfRule type="cellIs" dxfId="345" priority="364" operator="equal">
      <formula>$C$6</formula>
    </cfRule>
    <cfRule type="cellIs" dxfId="344" priority="365" operator="equal">
      <formula>$C$6+$C$6</formula>
    </cfRule>
  </conditionalFormatting>
  <conditionalFormatting sqref="E77">
    <cfRule type="duplicateValues" dxfId="343" priority="363"/>
  </conditionalFormatting>
  <conditionalFormatting sqref="E136">
    <cfRule type="cellIs" dxfId="342" priority="357" operator="equal">
      <formula>$C$5</formula>
    </cfRule>
    <cfRule type="cellIs" dxfId="341" priority="358" operator="equal">
      <formula>$C$4</formula>
    </cfRule>
    <cfRule type="cellIs" dxfId="340" priority="359" operator="equal">
      <formula>$C$3</formula>
    </cfRule>
    <cfRule type="cellIs" dxfId="339" priority="360" operator="equal">
      <formula>$C$2</formula>
    </cfRule>
    <cfRule type="cellIs" dxfId="338" priority="361" operator="equal">
      <formula>$C$1</formula>
    </cfRule>
  </conditionalFormatting>
  <conditionalFormatting sqref="E136">
    <cfRule type="duplicateValues" dxfId="337" priority="353"/>
  </conditionalFormatting>
  <conditionalFormatting sqref="E136">
    <cfRule type="cellIs" dxfId="336" priority="355" operator="equal">
      <formula>$C$6</formula>
    </cfRule>
    <cfRule type="cellIs" dxfId="335" priority="356" operator="equal">
      <formula>$C$6+$C$6</formula>
    </cfRule>
  </conditionalFormatting>
  <conditionalFormatting sqref="E136">
    <cfRule type="duplicateValues" dxfId="334" priority="354"/>
  </conditionalFormatting>
  <conditionalFormatting sqref="E78">
    <cfRule type="cellIs" dxfId="333" priority="348" operator="equal">
      <formula>$C$5</formula>
    </cfRule>
    <cfRule type="cellIs" dxfId="332" priority="349" operator="equal">
      <formula>$C$4</formula>
    </cfRule>
    <cfRule type="cellIs" dxfId="331" priority="350" operator="equal">
      <formula>$C$3</formula>
    </cfRule>
    <cfRule type="cellIs" dxfId="330" priority="351" operator="equal">
      <formula>$C$2</formula>
    </cfRule>
    <cfRule type="cellIs" dxfId="329" priority="352" operator="equal">
      <formula>$C$1</formula>
    </cfRule>
  </conditionalFormatting>
  <conditionalFormatting sqref="E78">
    <cfRule type="duplicateValues" dxfId="328" priority="344"/>
  </conditionalFormatting>
  <conditionalFormatting sqref="E78">
    <cfRule type="cellIs" dxfId="327" priority="346" operator="equal">
      <formula>$C$6</formula>
    </cfRule>
    <cfRule type="cellIs" dxfId="326" priority="347" operator="equal">
      <formula>$C$6+$C$6</formula>
    </cfRule>
  </conditionalFormatting>
  <conditionalFormatting sqref="E78">
    <cfRule type="duplicateValues" dxfId="325" priority="345"/>
  </conditionalFormatting>
  <conditionalFormatting sqref="E79">
    <cfRule type="cellIs" dxfId="324" priority="339" operator="equal">
      <formula>$C$5</formula>
    </cfRule>
    <cfRule type="cellIs" dxfId="323" priority="340" operator="equal">
      <formula>$C$4</formula>
    </cfRule>
    <cfRule type="cellIs" dxfId="322" priority="341" operator="equal">
      <formula>$C$3</formula>
    </cfRule>
    <cfRule type="cellIs" dxfId="321" priority="342" operator="equal">
      <formula>$C$2</formula>
    </cfRule>
    <cfRule type="cellIs" dxfId="320" priority="343" operator="equal">
      <formula>$C$1</formula>
    </cfRule>
  </conditionalFormatting>
  <conditionalFormatting sqref="E79">
    <cfRule type="duplicateValues" dxfId="319" priority="335"/>
  </conditionalFormatting>
  <conditionalFormatting sqref="E79">
    <cfRule type="cellIs" dxfId="318" priority="337" operator="equal">
      <formula>$C$6</formula>
    </cfRule>
    <cfRule type="cellIs" dxfId="317" priority="338" operator="equal">
      <formula>$C$6+$C$6</formula>
    </cfRule>
  </conditionalFormatting>
  <conditionalFormatting sqref="E79">
    <cfRule type="duplicateValues" dxfId="316" priority="336"/>
  </conditionalFormatting>
  <conditionalFormatting sqref="E80">
    <cfRule type="cellIs" dxfId="315" priority="330" operator="equal">
      <formula>$C$5</formula>
    </cfRule>
    <cfRule type="cellIs" dxfId="314" priority="331" operator="equal">
      <formula>$C$4</formula>
    </cfRule>
    <cfRule type="cellIs" dxfId="313" priority="332" operator="equal">
      <formula>$C$3</formula>
    </cfRule>
    <cfRule type="cellIs" dxfId="312" priority="333" operator="equal">
      <formula>$C$2</formula>
    </cfRule>
    <cfRule type="cellIs" dxfId="311" priority="334" operator="equal">
      <formula>$C$1</formula>
    </cfRule>
  </conditionalFormatting>
  <conditionalFormatting sqref="E80">
    <cfRule type="duplicateValues" dxfId="310" priority="326"/>
  </conditionalFormatting>
  <conditionalFormatting sqref="E80">
    <cfRule type="cellIs" dxfId="309" priority="328" operator="equal">
      <formula>$C$6</formula>
    </cfRule>
    <cfRule type="cellIs" dxfId="308" priority="329" operator="equal">
      <formula>$C$6+$C$6</formula>
    </cfRule>
  </conditionalFormatting>
  <conditionalFormatting sqref="E80">
    <cfRule type="duplicateValues" dxfId="307" priority="327"/>
  </conditionalFormatting>
  <conditionalFormatting sqref="E81">
    <cfRule type="cellIs" dxfId="306" priority="321" operator="equal">
      <formula>$C$5</formula>
    </cfRule>
    <cfRule type="cellIs" dxfId="305" priority="322" operator="equal">
      <formula>$C$4</formula>
    </cfRule>
    <cfRule type="cellIs" dxfId="304" priority="323" operator="equal">
      <formula>$C$3</formula>
    </cfRule>
    <cfRule type="cellIs" dxfId="303" priority="324" operator="equal">
      <formula>$C$2</formula>
    </cfRule>
    <cfRule type="cellIs" dxfId="302" priority="325" operator="equal">
      <formula>$C$1</formula>
    </cfRule>
  </conditionalFormatting>
  <conditionalFormatting sqref="E81">
    <cfRule type="duplicateValues" dxfId="301" priority="317"/>
  </conditionalFormatting>
  <conditionalFormatting sqref="E81">
    <cfRule type="cellIs" dxfId="300" priority="319" operator="equal">
      <formula>$C$6</formula>
    </cfRule>
    <cfRule type="cellIs" dxfId="299" priority="320" operator="equal">
      <formula>$C$6+$C$6</formula>
    </cfRule>
  </conditionalFormatting>
  <conditionalFormatting sqref="E81">
    <cfRule type="duplicateValues" dxfId="298" priority="318"/>
  </conditionalFormatting>
  <conditionalFormatting sqref="E91">
    <cfRule type="cellIs" dxfId="297" priority="312" operator="equal">
      <formula>$C$5</formula>
    </cfRule>
    <cfRule type="cellIs" dxfId="296" priority="313" operator="equal">
      <formula>$C$4</formula>
    </cfRule>
    <cfRule type="cellIs" dxfId="295" priority="314" operator="equal">
      <formula>$C$3</formula>
    </cfRule>
    <cfRule type="cellIs" dxfId="294" priority="315" operator="equal">
      <formula>$C$2</formula>
    </cfRule>
    <cfRule type="cellIs" dxfId="293" priority="316" operator="equal">
      <formula>$C$1</formula>
    </cfRule>
  </conditionalFormatting>
  <conditionalFormatting sqref="E91">
    <cfRule type="duplicateValues" dxfId="292" priority="308"/>
  </conditionalFormatting>
  <conditionalFormatting sqref="E91">
    <cfRule type="cellIs" dxfId="291" priority="310" operator="equal">
      <formula>$C$6</formula>
    </cfRule>
    <cfRule type="cellIs" dxfId="290" priority="311" operator="equal">
      <formula>$C$6+$C$6</formula>
    </cfRule>
  </conditionalFormatting>
  <conditionalFormatting sqref="E91">
    <cfRule type="duplicateValues" dxfId="289" priority="309"/>
  </conditionalFormatting>
  <conditionalFormatting sqref="E82">
    <cfRule type="cellIs" dxfId="288" priority="303" operator="equal">
      <formula>$C$5</formula>
    </cfRule>
    <cfRule type="cellIs" dxfId="287" priority="304" operator="equal">
      <formula>$C$4</formula>
    </cfRule>
    <cfRule type="cellIs" dxfId="286" priority="305" operator="equal">
      <formula>$C$3</formula>
    </cfRule>
    <cfRule type="cellIs" dxfId="285" priority="306" operator="equal">
      <formula>$C$2</formula>
    </cfRule>
    <cfRule type="cellIs" dxfId="284" priority="307" operator="equal">
      <formula>$C$1</formula>
    </cfRule>
  </conditionalFormatting>
  <conditionalFormatting sqref="E82">
    <cfRule type="duplicateValues" dxfId="283" priority="299"/>
  </conditionalFormatting>
  <conditionalFormatting sqref="E82">
    <cfRule type="cellIs" dxfId="282" priority="301" operator="equal">
      <formula>$C$6</formula>
    </cfRule>
    <cfRule type="cellIs" dxfId="281" priority="302" operator="equal">
      <formula>$C$6+$C$6</formula>
    </cfRule>
  </conditionalFormatting>
  <conditionalFormatting sqref="E82">
    <cfRule type="duplicateValues" dxfId="280" priority="300"/>
  </conditionalFormatting>
  <conditionalFormatting sqref="E90">
    <cfRule type="cellIs" dxfId="279" priority="294" operator="equal">
      <formula>$C$5</formula>
    </cfRule>
    <cfRule type="cellIs" dxfId="278" priority="295" operator="equal">
      <formula>$C$4</formula>
    </cfRule>
    <cfRule type="cellIs" dxfId="277" priority="296" operator="equal">
      <formula>$C$3</formula>
    </cfRule>
    <cfRule type="cellIs" dxfId="276" priority="297" operator="equal">
      <formula>$C$2</formula>
    </cfRule>
    <cfRule type="cellIs" dxfId="275" priority="298" operator="equal">
      <formula>$C$1</formula>
    </cfRule>
  </conditionalFormatting>
  <conditionalFormatting sqref="E90">
    <cfRule type="duplicateValues" dxfId="274" priority="290"/>
  </conditionalFormatting>
  <conditionalFormatting sqref="E90">
    <cfRule type="cellIs" dxfId="273" priority="292" operator="equal">
      <formula>$C$6</formula>
    </cfRule>
    <cfRule type="cellIs" dxfId="272" priority="293" operator="equal">
      <formula>$C$6+$C$6</formula>
    </cfRule>
  </conditionalFormatting>
  <conditionalFormatting sqref="E90">
    <cfRule type="duplicateValues" dxfId="271" priority="291"/>
  </conditionalFormatting>
  <conditionalFormatting sqref="E83">
    <cfRule type="cellIs" dxfId="270" priority="285" operator="equal">
      <formula>$C$5</formula>
    </cfRule>
    <cfRule type="cellIs" dxfId="269" priority="286" operator="equal">
      <formula>$C$4</formula>
    </cfRule>
    <cfRule type="cellIs" dxfId="268" priority="287" operator="equal">
      <formula>$C$3</formula>
    </cfRule>
    <cfRule type="cellIs" dxfId="267" priority="288" operator="equal">
      <formula>$C$2</formula>
    </cfRule>
    <cfRule type="cellIs" dxfId="266" priority="289" operator="equal">
      <formula>$C$1</formula>
    </cfRule>
  </conditionalFormatting>
  <conditionalFormatting sqref="E83">
    <cfRule type="duplicateValues" dxfId="265" priority="281"/>
  </conditionalFormatting>
  <conditionalFormatting sqref="E83">
    <cfRule type="cellIs" dxfId="264" priority="283" operator="equal">
      <formula>$C$6</formula>
    </cfRule>
    <cfRule type="cellIs" dxfId="263" priority="284" operator="equal">
      <formula>$C$6+$C$6</formula>
    </cfRule>
  </conditionalFormatting>
  <conditionalFormatting sqref="E83">
    <cfRule type="duplicateValues" dxfId="262" priority="282"/>
  </conditionalFormatting>
  <conditionalFormatting sqref="E89">
    <cfRule type="cellIs" dxfId="261" priority="276" operator="equal">
      <formula>$C$5</formula>
    </cfRule>
    <cfRule type="cellIs" dxfId="260" priority="277" operator="equal">
      <formula>$C$4</formula>
    </cfRule>
    <cfRule type="cellIs" dxfId="259" priority="278" operator="equal">
      <formula>$C$3</formula>
    </cfRule>
    <cfRule type="cellIs" dxfId="258" priority="279" operator="equal">
      <formula>$C$2</formula>
    </cfRule>
    <cfRule type="cellIs" dxfId="257" priority="280" operator="equal">
      <formula>$C$1</formula>
    </cfRule>
  </conditionalFormatting>
  <conditionalFormatting sqref="E89">
    <cfRule type="duplicateValues" dxfId="256" priority="272"/>
  </conditionalFormatting>
  <conditionalFormatting sqref="E89">
    <cfRule type="cellIs" dxfId="255" priority="274" operator="equal">
      <formula>$C$6</formula>
    </cfRule>
    <cfRule type="cellIs" dxfId="254" priority="275" operator="equal">
      <formula>$C$6+$C$6</formula>
    </cfRule>
  </conditionalFormatting>
  <conditionalFormatting sqref="E89">
    <cfRule type="duplicateValues" dxfId="253" priority="273"/>
  </conditionalFormatting>
  <conditionalFormatting sqref="E88">
    <cfRule type="cellIs" dxfId="252" priority="267" operator="equal">
      <formula>$C$5</formula>
    </cfRule>
    <cfRule type="cellIs" dxfId="251" priority="268" operator="equal">
      <formula>$C$4</formula>
    </cfRule>
    <cfRule type="cellIs" dxfId="250" priority="269" operator="equal">
      <formula>$C$3</formula>
    </cfRule>
    <cfRule type="cellIs" dxfId="249" priority="270" operator="equal">
      <formula>$C$2</formula>
    </cfRule>
    <cfRule type="cellIs" dxfId="248" priority="271" operator="equal">
      <formula>$C$1</formula>
    </cfRule>
  </conditionalFormatting>
  <conditionalFormatting sqref="E88">
    <cfRule type="duplicateValues" dxfId="247" priority="263"/>
  </conditionalFormatting>
  <conditionalFormatting sqref="E88">
    <cfRule type="cellIs" dxfId="246" priority="265" operator="equal">
      <formula>$C$6</formula>
    </cfRule>
    <cfRule type="cellIs" dxfId="245" priority="266" operator="equal">
      <formula>$C$6+$C$6</formula>
    </cfRule>
  </conditionalFormatting>
  <conditionalFormatting sqref="E88">
    <cfRule type="duplicateValues" dxfId="244" priority="264"/>
  </conditionalFormatting>
  <conditionalFormatting sqref="E87">
    <cfRule type="cellIs" dxfId="243" priority="258" operator="equal">
      <formula>$C$5</formula>
    </cfRule>
    <cfRule type="cellIs" dxfId="242" priority="259" operator="equal">
      <formula>$C$4</formula>
    </cfRule>
    <cfRule type="cellIs" dxfId="241" priority="260" operator="equal">
      <formula>$C$3</formula>
    </cfRule>
    <cfRule type="cellIs" dxfId="240" priority="261" operator="equal">
      <formula>$C$2</formula>
    </cfRule>
    <cfRule type="cellIs" dxfId="239" priority="262" operator="equal">
      <formula>$C$1</formula>
    </cfRule>
  </conditionalFormatting>
  <conditionalFormatting sqref="E87">
    <cfRule type="duplicateValues" dxfId="238" priority="254"/>
  </conditionalFormatting>
  <conditionalFormatting sqref="E87">
    <cfRule type="cellIs" dxfId="237" priority="256" operator="equal">
      <formula>$C$6</formula>
    </cfRule>
    <cfRule type="cellIs" dxfId="236" priority="257" operator="equal">
      <formula>$C$6+$C$6</formula>
    </cfRule>
  </conditionalFormatting>
  <conditionalFormatting sqref="E87">
    <cfRule type="duplicateValues" dxfId="235" priority="255"/>
  </conditionalFormatting>
  <conditionalFormatting sqref="E84">
    <cfRule type="cellIs" dxfId="234" priority="249" operator="equal">
      <formula>$C$5</formula>
    </cfRule>
    <cfRule type="cellIs" dxfId="233" priority="250" operator="equal">
      <formula>$C$4</formula>
    </cfRule>
    <cfRule type="cellIs" dxfId="232" priority="251" operator="equal">
      <formula>$C$3</formula>
    </cfRule>
    <cfRule type="cellIs" dxfId="231" priority="252" operator="equal">
      <formula>$C$2</formula>
    </cfRule>
    <cfRule type="cellIs" dxfId="230" priority="253" operator="equal">
      <formula>$C$1</formula>
    </cfRule>
  </conditionalFormatting>
  <conditionalFormatting sqref="E84">
    <cfRule type="duplicateValues" dxfId="229" priority="245"/>
  </conditionalFormatting>
  <conditionalFormatting sqref="E84">
    <cfRule type="cellIs" dxfId="228" priority="247" operator="equal">
      <formula>$C$6</formula>
    </cfRule>
    <cfRule type="cellIs" dxfId="227" priority="248" operator="equal">
      <formula>$C$6+$C$6</formula>
    </cfRule>
  </conditionalFormatting>
  <conditionalFormatting sqref="E84">
    <cfRule type="duplicateValues" dxfId="226" priority="246"/>
  </conditionalFormatting>
  <conditionalFormatting sqref="E85">
    <cfRule type="cellIs" dxfId="225" priority="240" operator="equal">
      <formula>$C$5</formula>
    </cfRule>
    <cfRule type="cellIs" dxfId="224" priority="241" operator="equal">
      <formula>$C$4</formula>
    </cfRule>
    <cfRule type="cellIs" dxfId="223" priority="242" operator="equal">
      <formula>$C$3</formula>
    </cfRule>
    <cfRule type="cellIs" dxfId="222" priority="243" operator="equal">
      <formula>$C$2</formula>
    </cfRule>
    <cfRule type="cellIs" dxfId="221" priority="244" operator="equal">
      <formula>$C$1</formula>
    </cfRule>
  </conditionalFormatting>
  <conditionalFormatting sqref="E85">
    <cfRule type="duplicateValues" dxfId="220" priority="236"/>
  </conditionalFormatting>
  <conditionalFormatting sqref="E85">
    <cfRule type="cellIs" dxfId="219" priority="238" operator="equal">
      <formula>$C$6</formula>
    </cfRule>
    <cfRule type="cellIs" dxfId="218" priority="239" operator="equal">
      <formula>$C$6+$C$6</formula>
    </cfRule>
  </conditionalFormatting>
  <conditionalFormatting sqref="E85">
    <cfRule type="duplicateValues" dxfId="217" priority="237"/>
  </conditionalFormatting>
  <conditionalFormatting sqref="E86">
    <cfRule type="cellIs" dxfId="216" priority="231" operator="equal">
      <formula>$C$5</formula>
    </cfRule>
    <cfRule type="cellIs" dxfId="215" priority="232" operator="equal">
      <formula>$C$4</formula>
    </cfRule>
    <cfRule type="cellIs" dxfId="214" priority="233" operator="equal">
      <formula>$C$3</formula>
    </cfRule>
    <cfRule type="cellIs" dxfId="213" priority="234" operator="equal">
      <formula>$C$2</formula>
    </cfRule>
    <cfRule type="cellIs" dxfId="212" priority="235" operator="equal">
      <formula>$C$1</formula>
    </cfRule>
  </conditionalFormatting>
  <conditionalFormatting sqref="E86">
    <cfRule type="duplicateValues" dxfId="211" priority="227"/>
  </conditionalFormatting>
  <conditionalFormatting sqref="E86">
    <cfRule type="cellIs" dxfId="210" priority="229" operator="equal">
      <formula>$C$6</formula>
    </cfRule>
    <cfRule type="cellIs" dxfId="209" priority="230" operator="equal">
      <formula>$C$6+$C$6</formula>
    </cfRule>
  </conditionalFormatting>
  <conditionalFormatting sqref="E86">
    <cfRule type="duplicateValues" dxfId="208" priority="228"/>
  </conditionalFormatting>
  <conditionalFormatting sqref="E98">
    <cfRule type="cellIs" dxfId="207" priority="222" operator="equal">
      <formula>$C$5</formula>
    </cfRule>
    <cfRule type="cellIs" dxfId="206" priority="223" operator="equal">
      <formula>$C$4</formula>
    </cfRule>
    <cfRule type="cellIs" dxfId="205" priority="224" operator="equal">
      <formula>$C$3</formula>
    </cfRule>
    <cfRule type="cellIs" dxfId="204" priority="225" operator="equal">
      <formula>$C$2</formula>
    </cfRule>
    <cfRule type="cellIs" dxfId="203" priority="226" operator="equal">
      <formula>$C$1</formula>
    </cfRule>
  </conditionalFormatting>
  <conditionalFormatting sqref="E98">
    <cfRule type="duplicateValues" dxfId="202" priority="218"/>
  </conditionalFormatting>
  <conditionalFormatting sqref="E98">
    <cfRule type="cellIs" dxfId="201" priority="220" operator="equal">
      <formula>$C$6</formula>
    </cfRule>
    <cfRule type="cellIs" dxfId="200" priority="221" operator="equal">
      <formula>$C$6+$C$6</formula>
    </cfRule>
  </conditionalFormatting>
  <conditionalFormatting sqref="E98">
    <cfRule type="duplicateValues" dxfId="199" priority="219"/>
  </conditionalFormatting>
  <conditionalFormatting sqref="E99">
    <cfRule type="cellIs" dxfId="198" priority="213" operator="equal">
      <formula>$C$5</formula>
    </cfRule>
    <cfRule type="cellIs" dxfId="197" priority="214" operator="equal">
      <formula>$C$4</formula>
    </cfRule>
    <cfRule type="cellIs" dxfId="196" priority="215" operator="equal">
      <formula>$C$3</formula>
    </cfRule>
    <cfRule type="cellIs" dxfId="195" priority="216" operator="equal">
      <formula>$C$2</formula>
    </cfRule>
    <cfRule type="cellIs" dxfId="194" priority="217" operator="equal">
      <formula>$C$1</formula>
    </cfRule>
  </conditionalFormatting>
  <conditionalFormatting sqref="E99">
    <cfRule type="duplicateValues" dxfId="193" priority="209"/>
  </conditionalFormatting>
  <conditionalFormatting sqref="E99">
    <cfRule type="cellIs" dxfId="192" priority="211" operator="equal">
      <formula>$C$6</formula>
    </cfRule>
    <cfRule type="cellIs" dxfId="191" priority="212" operator="equal">
      <formula>$C$6+$C$6</formula>
    </cfRule>
  </conditionalFormatting>
  <conditionalFormatting sqref="E99">
    <cfRule type="duplicateValues" dxfId="190" priority="210"/>
  </conditionalFormatting>
  <conditionalFormatting sqref="E116">
    <cfRule type="cellIs" dxfId="189" priority="204" operator="equal">
      <formula>$C$5</formula>
    </cfRule>
    <cfRule type="cellIs" dxfId="188" priority="205" operator="equal">
      <formula>$C$4</formula>
    </cfRule>
    <cfRule type="cellIs" dxfId="187" priority="206" operator="equal">
      <formula>$C$3</formula>
    </cfRule>
    <cfRule type="cellIs" dxfId="186" priority="207" operator="equal">
      <formula>$C$2</formula>
    </cfRule>
    <cfRule type="cellIs" dxfId="185" priority="208" operator="equal">
      <formula>$C$1</formula>
    </cfRule>
  </conditionalFormatting>
  <conditionalFormatting sqref="E116">
    <cfRule type="duplicateValues" dxfId="184" priority="200"/>
  </conditionalFormatting>
  <conditionalFormatting sqref="E116">
    <cfRule type="cellIs" dxfId="183" priority="202" operator="equal">
      <formula>$C$6</formula>
    </cfRule>
    <cfRule type="cellIs" dxfId="182" priority="203" operator="equal">
      <formula>$C$6+$C$6</formula>
    </cfRule>
  </conditionalFormatting>
  <conditionalFormatting sqref="E116">
    <cfRule type="duplicateValues" dxfId="181" priority="201"/>
  </conditionalFormatting>
  <conditionalFormatting sqref="E100">
    <cfRule type="cellIs" dxfId="180" priority="195" operator="equal">
      <formula>$C$5</formula>
    </cfRule>
    <cfRule type="cellIs" dxfId="179" priority="196" operator="equal">
      <formula>$C$4</formula>
    </cfRule>
    <cfRule type="cellIs" dxfId="178" priority="197" operator="equal">
      <formula>$C$3</formula>
    </cfRule>
    <cfRule type="cellIs" dxfId="177" priority="198" operator="equal">
      <formula>$C$2</formula>
    </cfRule>
    <cfRule type="cellIs" dxfId="176" priority="199" operator="equal">
      <formula>$C$1</formula>
    </cfRule>
  </conditionalFormatting>
  <conditionalFormatting sqref="E100">
    <cfRule type="duplicateValues" dxfId="175" priority="191"/>
  </conditionalFormatting>
  <conditionalFormatting sqref="E100">
    <cfRule type="cellIs" dxfId="174" priority="193" operator="equal">
      <formula>$C$6</formula>
    </cfRule>
    <cfRule type="cellIs" dxfId="173" priority="194" operator="equal">
      <formula>$C$6+$C$6</formula>
    </cfRule>
  </conditionalFormatting>
  <conditionalFormatting sqref="E100">
    <cfRule type="duplicateValues" dxfId="172" priority="192"/>
  </conditionalFormatting>
  <conditionalFormatting sqref="E101">
    <cfRule type="cellIs" dxfId="171" priority="186" operator="equal">
      <formula>$C$5</formula>
    </cfRule>
    <cfRule type="cellIs" dxfId="170" priority="187" operator="equal">
      <formula>$C$4</formula>
    </cfRule>
    <cfRule type="cellIs" dxfId="169" priority="188" operator="equal">
      <formula>$C$3</formula>
    </cfRule>
    <cfRule type="cellIs" dxfId="168" priority="189" operator="equal">
      <formula>$C$2</formula>
    </cfRule>
    <cfRule type="cellIs" dxfId="167" priority="190" operator="equal">
      <formula>$C$1</formula>
    </cfRule>
  </conditionalFormatting>
  <conditionalFormatting sqref="E101">
    <cfRule type="duplicateValues" dxfId="166" priority="182"/>
  </conditionalFormatting>
  <conditionalFormatting sqref="E101">
    <cfRule type="cellIs" dxfId="165" priority="184" operator="equal">
      <formula>$C$6</formula>
    </cfRule>
    <cfRule type="cellIs" dxfId="164" priority="185" operator="equal">
      <formula>$C$6+$C$6</formula>
    </cfRule>
  </conditionalFormatting>
  <conditionalFormatting sqref="E101">
    <cfRule type="duplicateValues" dxfId="163" priority="183"/>
  </conditionalFormatting>
  <conditionalFormatting sqref="E102">
    <cfRule type="cellIs" dxfId="162" priority="177" operator="equal">
      <formula>$C$5</formula>
    </cfRule>
    <cfRule type="cellIs" dxfId="161" priority="178" operator="equal">
      <formula>$C$4</formula>
    </cfRule>
    <cfRule type="cellIs" dxfId="160" priority="179" operator="equal">
      <formula>$C$3</formula>
    </cfRule>
    <cfRule type="cellIs" dxfId="159" priority="180" operator="equal">
      <formula>$C$2</formula>
    </cfRule>
    <cfRule type="cellIs" dxfId="158" priority="181" operator="equal">
      <formula>$C$1</formula>
    </cfRule>
  </conditionalFormatting>
  <conditionalFormatting sqref="E102">
    <cfRule type="duplicateValues" dxfId="157" priority="173"/>
  </conditionalFormatting>
  <conditionalFormatting sqref="E102">
    <cfRule type="cellIs" dxfId="156" priority="175" operator="equal">
      <formula>$C$6</formula>
    </cfRule>
    <cfRule type="cellIs" dxfId="155" priority="176" operator="equal">
      <formula>$C$6+$C$6</formula>
    </cfRule>
  </conditionalFormatting>
  <conditionalFormatting sqref="E102">
    <cfRule type="duplicateValues" dxfId="154" priority="174"/>
  </conditionalFormatting>
  <conditionalFormatting sqref="E103">
    <cfRule type="cellIs" dxfId="153" priority="168" operator="equal">
      <formula>$C$5</formula>
    </cfRule>
    <cfRule type="cellIs" dxfId="152" priority="169" operator="equal">
      <formula>$C$4</formula>
    </cfRule>
    <cfRule type="cellIs" dxfId="151" priority="170" operator="equal">
      <formula>$C$3</formula>
    </cfRule>
    <cfRule type="cellIs" dxfId="150" priority="171" operator="equal">
      <formula>$C$2</formula>
    </cfRule>
    <cfRule type="cellIs" dxfId="149" priority="172" operator="equal">
      <formula>$C$1</formula>
    </cfRule>
  </conditionalFormatting>
  <conditionalFormatting sqref="E103">
    <cfRule type="duplicateValues" dxfId="148" priority="164"/>
  </conditionalFormatting>
  <conditionalFormatting sqref="E103">
    <cfRule type="cellIs" dxfId="147" priority="166" operator="equal">
      <formula>$C$6</formula>
    </cfRule>
    <cfRule type="cellIs" dxfId="146" priority="167" operator="equal">
      <formula>$C$6+$C$6</formula>
    </cfRule>
  </conditionalFormatting>
  <conditionalFormatting sqref="E103">
    <cfRule type="duplicateValues" dxfId="145" priority="165"/>
  </conditionalFormatting>
  <conditionalFormatting sqref="E104">
    <cfRule type="cellIs" dxfId="144" priority="159" operator="equal">
      <formula>$C$5</formula>
    </cfRule>
    <cfRule type="cellIs" dxfId="143" priority="160" operator="equal">
      <formula>$C$4</formula>
    </cfRule>
    <cfRule type="cellIs" dxfId="142" priority="161" operator="equal">
      <formula>$C$3</formula>
    </cfRule>
    <cfRule type="cellIs" dxfId="141" priority="162" operator="equal">
      <formula>$C$2</formula>
    </cfRule>
    <cfRule type="cellIs" dxfId="140" priority="163" operator="equal">
      <formula>$C$1</formula>
    </cfRule>
  </conditionalFormatting>
  <conditionalFormatting sqref="E104">
    <cfRule type="duplicateValues" dxfId="139" priority="155"/>
  </conditionalFormatting>
  <conditionalFormatting sqref="E104">
    <cfRule type="cellIs" dxfId="138" priority="157" operator="equal">
      <formula>$C$6</formula>
    </cfRule>
    <cfRule type="cellIs" dxfId="137" priority="158" operator="equal">
      <formula>$C$6+$C$6</formula>
    </cfRule>
  </conditionalFormatting>
  <conditionalFormatting sqref="E104">
    <cfRule type="duplicateValues" dxfId="136" priority="156"/>
  </conditionalFormatting>
  <conditionalFormatting sqref="E105">
    <cfRule type="cellIs" dxfId="135" priority="150" operator="equal">
      <formula>$C$5</formula>
    </cfRule>
    <cfRule type="cellIs" dxfId="134" priority="151" operator="equal">
      <formula>$C$4</formula>
    </cfRule>
    <cfRule type="cellIs" dxfId="133" priority="152" operator="equal">
      <formula>$C$3</formula>
    </cfRule>
    <cfRule type="cellIs" dxfId="132" priority="153" operator="equal">
      <formula>$C$2</formula>
    </cfRule>
    <cfRule type="cellIs" dxfId="131" priority="154" operator="equal">
      <formula>$C$1</formula>
    </cfRule>
  </conditionalFormatting>
  <conditionalFormatting sqref="E105">
    <cfRule type="duplicateValues" dxfId="130" priority="146"/>
  </conditionalFormatting>
  <conditionalFormatting sqref="E105">
    <cfRule type="cellIs" dxfId="129" priority="148" operator="equal">
      <formula>$C$6</formula>
    </cfRule>
    <cfRule type="cellIs" dxfId="128" priority="149" operator="equal">
      <formula>$C$6+$C$6</formula>
    </cfRule>
  </conditionalFormatting>
  <conditionalFormatting sqref="E105">
    <cfRule type="duplicateValues" dxfId="127" priority="147"/>
  </conditionalFormatting>
  <conditionalFormatting sqref="E106">
    <cfRule type="cellIs" dxfId="126" priority="141" operator="equal">
      <formula>$C$5</formula>
    </cfRule>
    <cfRule type="cellIs" dxfId="125" priority="142" operator="equal">
      <formula>$C$4</formula>
    </cfRule>
    <cfRule type="cellIs" dxfId="124" priority="143" operator="equal">
      <formula>$C$3</formula>
    </cfRule>
    <cfRule type="cellIs" dxfId="123" priority="144" operator="equal">
      <formula>$C$2</formula>
    </cfRule>
    <cfRule type="cellIs" dxfId="122" priority="145" operator="equal">
      <formula>$C$1</formula>
    </cfRule>
  </conditionalFormatting>
  <conditionalFormatting sqref="E106">
    <cfRule type="duplicateValues" dxfId="121" priority="137"/>
  </conditionalFormatting>
  <conditionalFormatting sqref="E106">
    <cfRule type="cellIs" dxfId="120" priority="139" operator="equal">
      <formula>$C$6</formula>
    </cfRule>
    <cfRule type="cellIs" dxfId="119" priority="140" operator="equal">
      <formula>$C$6+$C$6</formula>
    </cfRule>
  </conditionalFormatting>
  <conditionalFormatting sqref="E106">
    <cfRule type="duplicateValues" dxfId="118" priority="138"/>
  </conditionalFormatting>
  <conditionalFormatting sqref="E107">
    <cfRule type="cellIs" dxfId="117" priority="132" operator="equal">
      <formula>$C$5</formula>
    </cfRule>
    <cfRule type="cellIs" dxfId="116" priority="133" operator="equal">
      <formula>$C$4</formula>
    </cfRule>
    <cfRule type="cellIs" dxfId="115" priority="134" operator="equal">
      <formula>$C$3</formula>
    </cfRule>
    <cfRule type="cellIs" dxfId="114" priority="135" operator="equal">
      <formula>$C$2</formula>
    </cfRule>
    <cfRule type="cellIs" dxfId="113" priority="136" operator="equal">
      <formula>$C$1</formula>
    </cfRule>
  </conditionalFormatting>
  <conditionalFormatting sqref="E107">
    <cfRule type="duplicateValues" dxfId="112" priority="128"/>
  </conditionalFormatting>
  <conditionalFormatting sqref="E107">
    <cfRule type="cellIs" dxfId="111" priority="130" operator="equal">
      <formula>$C$6</formula>
    </cfRule>
    <cfRule type="cellIs" dxfId="110" priority="131" operator="equal">
      <formula>$C$6+$C$6</formula>
    </cfRule>
  </conditionalFormatting>
  <conditionalFormatting sqref="E107">
    <cfRule type="duplicateValues" dxfId="109" priority="129"/>
  </conditionalFormatting>
  <conditionalFormatting sqref="E108">
    <cfRule type="cellIs" dxfId="108" priority="123" operator="equal">
      <formula>$C$5</formula>
    </cfRule>
    <cfRule type="cellIs" dxfId="107" priority="124" operator="equal">
      <formula>$C$4</formula>
    </cfRule>
    <cfRule type="cellIs" dxfId="106" priority="125" operator="equal">
      <formula>$C$3</formula>
    </cfRule>
    <cfRule type="cellIs" dxfId="105" priority="126" operator="equal">
      <formula>$C$2</formula>
    </cfRule>
    <cfRule type="cellIs" dxfId="104" priority="127" operator="equal">
      <formula>$C$1</formula>
    </cfRule>
  </conditionalFormatting>
  <conditionalFormatting sqref="E108">
    <cfRule type="duplicateValues" dxfId="103" priority="119"/>
  </conditionalFormatting>
  <conditionalFormatting sqref="E108">
    <cfRule type="cellIs" dxfId="102" priority="121" operator="equal">
      <formula>$C$6</formula>
    </cfRule>
    <cfRule type="cellIs" dxfId="101" priority="122" operator="equal">
      <formula>$C$6+$C$6</formula>
    </cfRule>
  </conditionalFormatting>
  <conditionalFormatting sqref="E108">
    <cfRule type="duplicateValues" dxfId="100" priority="120"/>
  </conditionalFormatting>
  <conditionalFormatting sqref="E109">
    <cfRule type="cellIs" dxfId="99" priority="114" operator="equal">
      <formula>$C$5</formula>
    </cfRule>
    <cfRule type="cellIs" dxfId="98" priority="115" operator="equal">
      <formula>$C$4</formula>
    </cfRule>
    <cfRule type="cellIs" dxfId="97" priority="116" operator="equal">
      <formula>$C$3</formula>
    </cfRule>
    <cfRule type="cellIs" dxfId="96" priority="117" operator="equal">
      <formula>$C$2</formula>
    </cfRule>
    <cfRule type="cellIs" dxfId="95" priority="118" operator="equal">
      <formula>$C$1</formula>
    </cfRule>
  </conditionalFormatting>
  <conditionalFormatting sqref="E109">
    <cfRule type="duplicateValues" dxfId="94" priority="110"/>
  </conditionalFormatting>
  <conditionalFormatting sqref="E109">
    <cfRule type="cellIs" dxfId="93" priority="112" operator="equal">
      <formula>$C$6</formula>
    </cfRule>
    <cfRule type="cellIs" dxfId="92" priority="113" operator="equal">
      <formula>$C$6+$C$6</formula>
    </cfRule>
  </conditionalFormatting>
  <conditionalFormatting sqref="E109">
    <cfRule type="duplicateValues" dxfId="91" priority="111"/>
  </conditionalFormatting>
  <conditionalFormatting sqref="E110">
    <cfRule type="cellIs" dxfId="90" priority="105" operator="equal">
      <formula>$C$5</formula>
    </cfRule>
    <cfRule type="cellIs" dxfId="89" priority="106" operator="equal">
      <formula>$C$4</formula>
    </cfRule>
    <cfRule type="cellIs" dxfId="88" priority="107" operator="equal">
      <formula>$C$3</formula>
    </cfRule>
    <cfRule type="cellIs" dxfId="87" priority="108" operator="equal">
      <formula>$C$2</formula>
    </cfRule>
    <cfRule type="cellIs" dxfId="86" priority="109" operator="equal">
      <formula>$C$1</formula>
    </cfRule>
  </conditionalFormatting>
  <conditionalFormatting sqref="E110">
    <cfRule type="duplicateValues" dxfId="85" priority="101"/>
  </conditionalFormatting>
  <conditionalFormatting sqref="E110">
    <cfRule type="cellIs" dxfId="84" priority="103" operator="equal">
      <formula>$C$6</formula>
    </cfRule>
    <cfRule type="cellIs" dxfId="83" priority="104" operator="equal">
      <formula>$C$6+$C$6</formula>
    </cfRule>
  </conditionalFormatting>
  <conditionalFormatting sqref="E110">
    <cfRule type="duplicateValues" dxfId="82" priority="102"/>
  </conditionalFormatting>
  <conditionalFormatting sqref="E112">
    <cfRule type="cellIs" dxfId="81" priority="87" operator="equal">
      <formula>$C$5</formula>
    </cfRule>
    <cfRule type="cellIs" dxfId="80" priority="88" operator="equal">
      <formula>$C$4</formula>
    </cfRule>
    <cfRule type="cellIs" dxfId="79" priority="89" operator="equal">
      <formula>$C$3</formula>
    </cfRule>
    <cfRule type="cellIs" dxfId="78" priority="90" operator="equal">
      <formula>$C$2</formula>
    </cfRule>
    <cfRule type="cellIs" dxfId="77" priority="91" operator="equal">
      <formula>$C$1</formula>
    </cfRule>
  </conditionalFormatting>
  <conditionalFormatting sqref="E112">
    <cfRule type="duplicateValues" dxfId="76" priority="83"/>
  </conditionalFormatting>
  <conditionalFormatting sqref="E112">
    <cfRule type="cellIs" dxfId="75" priority="85" operator="equal">
      <formula>$C$6</formula>
    </cfRule>
    <cfRule type="cellIs" dxfId="74" priority="86" operator="equal">
      <formula>$C$6+$C$6</formula>
    </cfRule>
  </conditionalFormatting>
  <conditionalFormatting sqref="E112">
    <cfRule type="duplicateValues" dxfId="73" priority="84"/>
  </conditionalFormatting>
  <conditionalFormatting sqref="E111">
    <cfRule type="cellIs" dxfId="72" priority="78" operator="equal">
      <formula>$C$5</formula>
    </cfRule>
    <cfRule type="cellIs" dxfId="71" priority="79" operator="equal">
      <formula>$C$4</formula>
    </cfRule>
    <cfRule type="cellIs" dxfId="70" priority="80" operator="equal">
      <formula>$C$3</formula>
    </cfRule>
    <cfRule type="cellIs" dxfId="69" priority="81" operator="equal">
      <formula>$C$2</formula>
    </cfRule>
    <cfRule type="cellIs" dxfId="68" priority="82" operator="equal">
      <formula>$C$1</formula>
    </cfRule>
  </conditionalFormatting>
  <conditionalFormatting sqref="E111">
    <cfRule type="duplicateValues" dxfId="67" priority="74"/>
  </conditionalFormatting>
  <conditionalFormatting sqref="E111">
    <cfRule type="cellIs" dxfId="66" priority="76" operator="equal">
      <formula>$C$6</formula>
    </cfRule>
    <cfRule type="cellIs" dxfId="65" priority="77" operator="equal">
      <formula>$C$6+$C$6</formula>
    </cfRule>
  </conditionalFormatting>
  <conditionalFormatting sqref="E111">
    <cfRule type="duplicateValues" dxfId="64" priority="75"/>
  </conditionalFormatting>
  <conditionalFormatting sqref="E113">
    <cfRule type="cellIs" dxfId="63" priority="69" operator="equal">
      <formula>$C$5</formula>
    </cfRule>
    <cfRule type="cellIs" dxfId="62" priority="70" operator="equal">
      <formula>$C$4</formula>
    </cfRule>
    <cfRule type="cellIs" dxfId="61" priority="71" operator="equal">
      <formula>$C$3</formula>
    </cfRule>
    <cfRule type="cellIs" dxfId="60" priority="72" operator="equal">
      <formula>$C$2</formula>
    </cfRule>
    <cfRule type="cellIs" dxfId="59" priority="73" operator="equal">
      <formula>$C$1</formula>
    </cfRule>
  </conditionalFormatting>
  <conditionalFormatting sqref="E113">
    <cfRule type="duplicateValues" dxfId="58" priority="65"/>
  </conditionalFormatting>
  <conditionalFormatting sqref="E113">
    <cfRule type="cellIs" dxfId="57" priority="67" operator="equal">
      <formula>$C$6</formula>
    </cfRule>
    <cfRule type="cellIs" dxfId="56" priority="68" operator="equal">
      <formula>$C$6+$C$6</formula>
    </cfRule>
  </conditionalFormatting>
  <conditionalFormatting sqref="E113">
    <cfRule type="duplicateValues" dxfId="55" priority="66"/>
  </conditionalFormatting>
  <conditionalFormatting sqref="E114">
    <cfRule type="cellIs" dxfId="54" priority="60" operator="equal">
      <formula>$C$5</formula>
    </cfRule>
    <cfRule type="cellIs" dxfId="53" priority="61" operator="equal">
      <formula>$C$4</formula>
    </cfRule>
    <cfRule type="cellIs" dxfId="52" priority="62" operator="equal">
      <formula>$C$3</formula>
    </cfRule>
    <cfRule type="cellIs" dxfId="51" priority="63" operator="equal">
      <formula>$C$2</formula>
    </cfRule>
    <cfRule type="cellIs" dxfId="50" priority="64" operator="equal">
      <formula>$C$1</formula>
    </cfRule>
  </conditionalFormatting>
  <conditionalFormatting sqref="E114">
    <cfRule type="duplicateValues" dxfId="49" priority="56"/>
  </conditionalFormatting>
  <conditionalFormatting sqref="E114">
    <cfRule type="cellIs" dxfId="48" priority="58" operator="equal">
      <formula>$C$6</formula>
    </cfRule>
    <cfRule type="cellIs" dxfId="47" priority="59" operator="equal">
      <formula>$C$6+$C$6</formula>
    </cfRule>
  </conditionalFormatting>
  <conditionalFormatting sqref="E114">
    <cfRule type="duplicateValues" dxfId="46" priority="57"/>
  </conditionalFormatting>
  <conditionalFormatting sqref="E115">
    <cfRule type="cellIs" dxfId="45" priority="51" operator="equal">
      <formula>$C$5</formula>
    </cfRule>
    <cfRule type="cellIs" dxfId="44" priority="52" operator="equal">
      <formula>$C$4</formula>
    </cfRule>
    <cfRule type="cellIs" dxfId="43" priority="53" operator="equal">
      <formula>$C$3</formula>
    </cfRule>
    <cfRule type="cellIs" dxfId="42" priority="54" operator="equal">
      <formula>$C$2</formula>
    </cfRule>
    <cfRule type="cellIs" dxfId="41" priority="55" operator="equal">
      <formula>$C$1</formula>
    </cfRule>
  </conditionalFormatting>
  <conditionalFormatting sqref="E115">
    <cfRule type="duplicateValues" dxfId="40" priority="47"/>
  </conditionalFormatting>
  <conditionalFormatting sqref="E115">
    <cfRule type="cellIs" dxfId="39" priority="49" operator="equal">
      <formula>$C$6</formula>
    </cfRule>
    <cfRule type="cellIs" dxfId="38" priority="50" operator="equal">
      <formula>$C$6+$C$6</formula>
    </cfRule>
  </conditionalFormatting>
  <conditionalFormatting sqref="E115">
    <cfRule type="duplicateValues" dxfId="37" priority="48"/>
  </conditionalFormatting>
  <conditionalFormatting sqref="E118">
    <cfRule type="cellIs" dxfId="36" priority="32" operator="equal">
      <formula>$C$5</formula>
    </cfRule>
    <cfRule type="cellIs" dxfId="35" priority="33" operator="equal">
      <formula>$C$4</formula>
    </cfRule>
    <cfRule type="cellIs" dxfId="34" priority="34" operator="equal">
      <formula>$C$3</formula>
    </cfRule>
    <cfRule type="cellIs" dxfId="33" priority="35" operator="equal">
      <formula>$C$2</formula>
    </cfRule>
    <cfRule type="cellIs" dxfId="32" priority="36" operator="equal">
      <formula>$C$1</formula>
    </cfRule>
  </conditionalFormatting>
  <conditionalFormatting sqref="E118">
    <cfRule type="duplicateValues" dxfId="31" priority="28"/>
  </conditionalFormatting>
  <conditionalFormatting sqref="E118">
    <cfRule type="cellIs" dxfId="30" priority="30" operator="equal">
      <formula>$C$6</formula>
    </cfRule>
    <cfRule type="cellIs" dxfId="29" priority="31" operator="equal">
      <formula>$C$6+$C$6</formula>
    </cfRule>
  </conditionalFormatting>
  <conditionalFormatting sqref="E118">
    <cfRule type="duplicateValues" dxfId="28" priority="29"/>
  </conditionalFormatting>
  <conditionalFormatting sqref="E119">
    <cfRule type="cellIs" dxfId="27" priority="23" operator="equal">
      <formula>$C$5</formula>
    </cfRule>
    <cfRule type="cellIs" dxfId="26" priority="24" operator="equal">
      <formula>$C$4</formula>
    </cfRule>
    <cfRule type="cellIs" dxfId="25" priority="25" operator="equal">
      <formula>$C$3</formula>
    </cfRule>
    <cfRule type="cellIs" dxfId="24" priority="26" operator="equal">
      <formula>$C$2</formula>
    </cfRule>
    <cfRule type="cellIs" dxfId="23" priority="27" operator="equal">
      <formula>$C$1</formula>
    </cfRule>
  </conditionalFormatting>
  <conditionalFormatting sqref="E119">
    <cfRule type="duplicateValues" dxfId="22" priority="19"/>
  </conditionalFormatting>
  <conditionalFormatting sqref="E119">
    <cfRule type="cellIs" dxfId="21" priority="21" operator="equal">
      <formula>$C$6</formula>
    </cfRule>
    <cfRule type="cellIs" dxfId="20" priority="22" operator="equal">
      <formula>$C$6+$C$6</formula>
    </cfRule>
  </conditionalFormatting>
  <conditionalFormatting sqref="E119">
    <cfRule type="duplicateValues" dxfId="19" priority="20"/>
  </conditionalFormatting>
  <conditionalFormatting sqref="F131:F135 F3:F64 F137">
    <cfRule type="duplicateValues" dxfId="18" priority="990"/>
  </conditionalFormatting>
  <conditionalFormatting sqref="E120">
    <cfRule type="duplicateValues" dxfId="17" priority="15"/>
  </conditionalFormatting>
  <conditionalFormatting sqref="F120">
    <cfRule type="duplicateValues" dxfId="16" priority="16"/>
  </conditionalFormatting>
  <conditionalFormatting sqref="E121">
    <cfRule type="duplicateValues" dxfId="15" priority="13"/>
  </conditionalFormatting>
  <conditionalFormatting sqref="F121">
    <cfRule type="duplicateValues" dxfId="14" priority="14"/>
  </conditionalFormatting>
  <conditionalFormatting sqref="E122">
    <cfRule type="duplicateValues" dxfId="13" priority="11"/>
  </conditionalFormatting>
  <conditionalFormatting sqref="F122">
    <cfRule type="duplicateValues" dxfId="12" priority="12"/>
  </conditionalFormatting>
  <conditionalFormatting sqref="E123">
    <cfRule type="duplicateValues" dxfId="11" priority="9"/>
  </conditionalFormatting>
  <conditionalFormatting sqref="F123">
    <cfRule type="duplicateValues" dxfId="10" priority="10"/>
  </conditionalFormatting>
  <conditionalFormatting sqref="E124">
    <cfRule type="duplicateValues" dxfId="9" priority="7"/>
  </conditionalFormatting>
  <conditionalFormatting sqref="F124">
    <cfRule type="duplicateValues" dxfId="8" priority="8"/>
  </conditionalFormatting>
  <conditionalFormatting sqref="E125">
    <cfRule type="duplicateValues" dxfId="7" priority="5"/>
  </conditionalFormatting>
  <conditionalFormatting sqref="F125">
    <cfRule type="duplicateValues" dxfId="6" priority="6"/>
  </conditionalFormatting>
  <conditionalFormatting sqref="E126">
    <cfRule type="duplicateValues" dxfId="5" priority="3"/>
  </conditionalFormatting>
  <conditionalFormatting sqref="F126">
    <cfRule type="duplicateValues" dxfId="4" priority="4"/>
  </conditionalFormatting>
  <conditionalFormatting sqref="E127">
    <cfRule type="duplicateValues" dxfId="3" priority="1"/>
  </conditionalFormatting>
  <conditionalFormatting sqref="F127">
    <cfRule type="duplicateValues" dxfId="2" priority="2"/>
  </conditionalFormatting>
  <conditionalFormatting sqref="E65">
    <cfRule type="duplicateValues" dxfId="1" priority="992"/>
  </conditionalFormatting>
  <conditionalFormatting sqref="E131:E135 E45:E57 E3 E5 E8 E10:E14 E137 E16:E18 E20:E21 E28:E34 E36:E38 E40:E42 E24:E26">
    <cfRule type="duplicateValues" dxfId="0" priority="997"/>
  </conditionalFormatting>
  <dataValidations count="1">
    <dataValidation allowBlank="1" showInputMessage="1" sqref="E138:E143 A2:AP2 E63:E64 A145:E1048576 B138:D142 F138:AP1048576 B129:AP129 I131:AE137 AR128:XFD129 D26:D30 C120:C127 P120:P127 D19:D24 I19:I32 C19:C40 D32:D40 I34:I40 C41:D48 C49:C64 C131:D135 AG78:AK127 AL78:AP119 W3:AE119 D136 D49:D116 AR131:XFD1048576 AR1:XFD119 A131:A143 A3:A129 AG131:AP137 AG3:AP77 K3:K127 AQ138 H128:U128 C3:D18 C137 J19:J40 I41:J119 I3:J18 L3:U119 W128:AQ128 V3:V128 D118"/>
  </dataValidations>
  <pageMargins left="0.7" right="0.7" top="0.75" bottom="0.75" header="0.3" footer="0.3"/>
  <pageSetup paperSize="9" orientation="portrait" r:id="rId1"/>
  <ignoredErrors>
    <ignoredError sqref="C3:C8 F6:F8 C9:C16 F9:F16 C19:C40 F19:F40 C41:C48 F41:F48 C49:C77 F49:F77 C78:C127 F78:F127 C17:C18 F17:F18 F136:F137 C131:C137" numberStoredAsText="1"/>
    <ignoredError sqref="AM12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Hussien</vt:lpstr>
      <vt:lpstr>Mosky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Ayman</cp:lastModifiedBy>
  <dcterms:created xsi:type="dcterms:W3CDTF">2015-06-05T18:17:20Z</dcterms:created>
  <dcterms:modified xsi:type="dcterms:W3CDTF">2026-02-28T19:17:40Z</dcterms:modified>
</cp:coreProperties>
</file>
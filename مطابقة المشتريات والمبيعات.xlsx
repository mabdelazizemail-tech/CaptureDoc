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oftware\PBK\"/>
    </mc:Choice>
  </mc:AlternateContent>
  <xr:revisionPtr revIDLastSave="0" documentId="8_{873E627D-51BA-4DAB-BEA3-A268E6C327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1" l="1"/>
  <c r="V59" i="1" l="1"/>
  <c r="P33" i="1"/>
  <c r="G63" i="1"/>
  <c r="H63" i="1"/>
  <c r="I63" i="1" s="1"/>
  <c r="P63" i="1"/>
  <c r="Q63" i="1"/>
  <c r="R63" i="1" s="1"/>
  <c r="T63" i="1"/>
  <c r="G62" i="1"/>
  <c r="H62" i="1"/>
  <c r="I62" i="1"/>
  <c r="P62" i="1"/>
  <c r="Q62" i="1"/>
  <c r="R62" i="1" s="1"/>
  <c r="T62" i="1"/>
  <c r="G61" i="1"/>
  <c r="H61" i="1"/>
  <c r="I61" i="1"/>
  <c r="P61" i="1"/>
  <c r="Q61" i="1"/>
  <c r="R61" i="1" s="1"/>
  <c r="T61" i="1"/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G60" i="1"/>
  <c r="H60" i="1"/>
  <c r="I60" i="1"/>
  <c r="P60" i="1"/>
  <c r="Q60" i="1"/>
  <c r="R60" i="1" s="1"/>
  <c r="G59" i="1"/>
  <c r="H59" i="1"/>
  <c r="I59" i="1" s="1"/>
  <c r="P59" i="1"/>
  <c r="Q59" i="1"/>
  <c r="R59" i="1" s="1"/>
  <c r="G58" i="1"/>
  <c r="H58" i="1"/>
  <c r="I58" i="1" s="1"/>
  <c r="P58" i="1"/>
  <c r="Q58" i="1"/>
  <c r="R58" i="1" s="1"/>
  <c r="G57" i="1"/>
  <c r="H57" i="1"/>
  <c r="I57" i="1" s="1"/>
  <c r="P57" i="1"/>
  <c r="Q57" i="1"/>
  <c r="R57" i="1" s="1"/>
  <c r="G33" i="1" l="1"/>
  <c r="H33" i="1"/>
  <c r="I33" i="1" s="1"/>
  <c r="Q33" i="1"/>
  <c r="R33" i="1"/>
  <c r="G56" i="1" l="1"/>
  <c r="H56" i="1"/>
  <c r="I56" i="1" s="1"/>
  <c r="P56" i="1"/>
  <c r="Q56" i="1"/>
  <c r="R56" i="1"/>
  <c r="G55" i="1"/>
  <c r="H55" i="1"/>
  <c r="I55" i="1" s="1"/>
  <c r="P55" i="1"/>
  <c r="Q55" i="1"/>
  <c r="R55" i="1" s="1"/>
  <c r="G54" i="1"/>
  <c r="H54" i="1"/>
  <c r="I54" i="1" s="1"/>
  <c r="P54" i="1"/>
  <c r="Q54" i="1"/>
  <c r="R54" i="1" s="1"/>
  <c r="G53" i="1"/>
  <c r="H53" i="1"/>
  <c r="I53" i="1" s="1"/>
  <c r="P53" i="1"/>
  <c r="Q53" i="1"/>
  <c r="R53" i="1" s="1"/>
  <c r="G52" i="1"/>
  <c r="H52" i="1"/>
  <c r="I52" i="1" s="1"/>
  <c r="P52" i="1"/>
  <c r="Q52" i="1"/>
  <c r="R52" i="1" s="1"/>
  <c r="G51" i="1"/>
  <c r="H51" i="1"/>
  <c r="I51" i="1" s="1"/>
  <c r="P51" i="1"/>
  <c r="Q51" i="1"/>
  <c r="R51" i="1" s="1"/>
  <c r="P47" i="1"/>
  <c r="Q47" i="1"/>
  <c r="R47" i="1" s="1"/>
  <c r="G50" i="1" l="1"/>
  <c r="H50" i="1"/>
  <c r="I50" i="1" s="1"/>
  <c r="P50" i="1"/>
  <c r="Q50" i="1"/>
  <c r="R50" i="1" s="1"/>
  <c r="G49" i="1"/>
  <c r="H49" i="1"/>
  <c r="I49" i="1" s="1"/>
  <c r="P49" i="1"/>
  <c r="Q49" i="1"/>
  <c r="R49" i="1" s="1"/>
  <c r="G48" i="1"/>
  <c r="H48" i="1"/>
  <c r="I48" i="1" s="1"/>
  <c r="P48" i="1"/>
  <c r="Q48" i="1"/>
  <c r="R48" i="1" s="1"/>
  <c r="G47" i="1"/>
  <c r="H47" i="1"/>
  <c r="I47" i="1" s="1"/>
  <c r="G46" i="1"/>
  <c r="H46" i="1"/>
  <c r="I46" i="1" s="1"/>
  <c r="P46" i="1"/>
  <c r="R46" i="1"/>
  <c r="G45" i="1"/>
  <c r="H45" i="1"/>
  <c r="I45" i="1" s="1"/>
  <c r="P45" i="1"/>
  <c r="R45" i="1"/>
  <c r="G44" i="1"/>
  <c r="H44" i="1"/>
  <c r="I44" i="1" s="1"/>
  <c r="P44" i="1"/>
  <c r="Q44" i="1"/>
  <c r="R44" i="1" s="1"/>
  <c r="G43" i="1"/>
  <c r="H43" i="1"/>
  <c r="I43" i="1" s="1"/>
  <c r="P43" i="1"/>
  <c r="R43" i="1"/>
  <c r="G42" i="1"/>
  <c r="H42" i="1"/>
  <c r="I42" i="1" s="1"/>
  <c r="P42" i="1"/>
  <c r="R42" i="1"/>
  <c r="G41" i="1"/>
  <c r="H41" i="1"/>
  <c r="I41" i="1" s="1"/>
  <c r="P41" i="1"/>
  <c r="R41" i="1"/>
  <c r="G40" i="1"/>
  <c r="H40" i="1"/>
  <c r="I40" i="1" s="1"/>
  <c r="P40" i="1"/>
  <c r="Q40" i="1"/>
  <c r="R40" i="1" s="1"/>
  <c r="G39" i="1"/>
  <c r="H39" i="1"/>
  <c r="I39" i="1" s="1"/>
  <c r="P39" i="1"/>
  <c r="R39" i="1"/>
  <c r="G38" i="1"/>
  <c r="H38" i="1"/>
  <c r="I38" i="1" s="1"/>
  <c r="P38" i="1"/>
  <c r="Q38" i="1"/>
  <c r="R38" i="1" s="1"/>
  <c r="G37" i="1"/>
  <c r="H37" i="1"/>
  <c r="I37" i="1" s="1"/>
  <c r="P37" i="1"/>
  <c r="R37" i="1"/>
  <c r="G36" i="1"/>
  <c r="H36" i="1"/>
  <c r="I36" i="1" s="1"/>
  <c r="P36" i="1"/>
  <c r="Q36" i="1"/>
  <c r="R36" i="1" s="1"/>
  <c r="G35" i="1"/>
  <c r="H35" i="1"/>
  <c r="I35" i="1" s="1"/>
  <c r="P35" i="1"/>
  <c r="R35" i="1"/>
  <c r="G34" i="1"/>
  <c r="H34" i="1"/>
  <c r="I34" i="1" s="1"/>
  <c r="P34" i="1"/>
  <c r="R34" i="1"/>
  <c r="G32" i="1"/>
  <c r="H32" i="1"/>
  <c r="I32" i="1" s="1"/>
  <c r="P32" i="1"/>
  <c r="Q32" i="1"/>
  <c r="R32" i="1" s="1"/>
  <c r="G31" i="1"/>
  <c r="H31" i="1"/>
  <c r="I31" i="1" s="1"/>
  <c r="P31" i="1"/>
  <c r="Q31" i="1"/>
  <c r="R31" i="1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Q18" i="1"/>
  <c r="Q19" i="1"/>
  <c r="Q20" i="1"/>
  <c r="Q21" i="1"/>
  <c r="Q22" i="1"/>
  <c r="Q24" i="1"/>
  <c r="Q26" i="1"/>
  <c r="Q29" i="1"/>
  <c r="Q30" i="1"/>
  <c r="P4" i="1" l="1"/>
  <c r="Q4" i="1"/>
  <c r="R30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H30" i="1" l="1"/>
  <c r="I30" i="1" s="1"/>
  <c r="H29" i="1"/>
  <c r="I29" i="1" s="1"/>
  <c r="R29" i="1"/>
  <c r="H28" i="1"/>
  <c r="I28" i="1" s="1"/>
  <c r="R28" i="1"/>
  <c r="H27" i="1"/>
  <c r="I27" i="1" s="1"/>
  <c r="R27" i="1"/>
  <c r="H26" i="1"/>
  <c r="I26" i="1" s="1"/>
  <c r="R26" i="1"/>
  <c r="H25" i="1"/>
  <c r="I25" i="1" s="1"/>
  <c r="R25" i="1"/>
  <c r="H24" i="1"/>
  <c r="I24" i="1" s="1"/>
  <c r="R24" i="1"/>
  <c r="H23" i="1"/>
  <c r="I23" i="1" s="1"/>
  <c r="R23" i="1"/>
  <c r="H22" i="1"/>
  <c r="I22" i="1" s="1"/>
  <c r="R22" i="1"/>
  <c r="H21" i="1"/>
  <c r="I21" i="1" s="1"/>
  <c r="R21" i="1"/>
  <c r="H20" i="1"/>
  <c r="I20" i="1" s="1"/>
  <c r="R20" i="1"/>
  <c r="H19" i="1"/>
  <c r="I19" i="1" s="1"/>
  <c r="R19" i="1"/>
  <c r="H18" i="1" l="1"/>
  <c r="I18" i="1" s="1"/>
  <c r="H17" i="1"/>
  <c r="I17" i="1" s="1"/>
  <c r="R17" i="1"/>
  <c r="R16" i="1"/>
  <c r="R18" i="1" l="1"/>
  <c r="H16" i="1"/>
  <c r="I16" i="1" s="1"/>
  <c r="R6" i="1"/>
  <c r="N4" i="1" l="1"/>
  <c r="E4" i="1"/>
  <c r="H15" i="1"/>
  <c r="I15" i="1" s="1"/>
  <c r="R15" i="1"/>
  <c r="H14" i="1"/>
  <c r="I14" i="1" s="1"/>
  <c r="R14" i="1"/>
  <c r="H13" i="1"/>
  <c r="I13" i="1" s="1"/>
  <c r="R13" i="1"/>
  <c r="H12" i="1"/>
  <c r="I12" i="1" s="1"/>
  <c r="R12" i="1"/>
  <c r="H11" i="1"/>
  <c r="I11" i="1" s="1"/>
  <c r="R11" i="1"/>
  <c r="H10" i="1"/>
  <c r="I10" i="1" s="1"/>
  <c r="R10" i="1"/>
  <c r="H9" i="1"/>
  <c r="I9" i="1" s="1"/>
  <c r="R9" i="1"/>
  <c r="H8" i="1"/>
  <c r="I8" i="1" s="1"/>
  <c r="R8" i="1"/>
  <c r="H7" i="1"/>
  <c r="I7" i="1" s="1"/>
  <c r="R7" i="1"/>
  <c r="H6" i="1"/>
  <c r="I6" i="1" s="1"/>
  <c r="R4" i="1" l="1"/>
  <c r="I4" i="1"/>
  <c r="H4" i="1"/>
  <c r="J2" i="1" s="1"/>
  <c r="R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N33" authorId="0" shapeId="0" xr:uid="{E0CAD09F-0939-4C83-8EAD-4A1C50E20F0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المتبقى من اصل الفاتوره </t>
        </r>
      </text>
    </comment>
  </commentList>
</comments>
</file>

<file path=xl/sharedStrings.xml><?xml version="1.0" encoding="utf-8"?>
<sst xmlns="http://schemas.openxmlformats.org/spreadsheetml/2006/main" count="210" uniqueCount="67">
  <si>
    <t>المورد</t>
  </si>
  <si>
    <t>الصنف</t>
  </si>
  <si>
    <t xml:space="preserve">الكمية </t>
  </si>
  <si>
    <t>السعر</t>
  </si>
  <si>
    <t xml:space="preserve">القيمة المضافة </t>
  </si>
  <si>
    <t>الإجمالي</t>
  </si>
  <si>
    <t>تاريخ فاتورة البيع</t>
  </si>
  <si>
    <t>المشتري</t>
  </si>
  <si>
    <t>رقم الفاتورة</t>
  </si>
  <si>
    <t>الكمية</t>
  </si>
  <si>
    <t>القيمة المضافة</t>
  </si>
  <si>
    <t>السعر2</t>
  </si>
  <si>
    <t>الاجمالي3</t>
  </si>
  <si>
    <t>تاريخ فاتورة المشتريات</t>
  </si>
  <si>
    <t>سيفتى باك</t>
  </si>
  <si>
    <t>نموذج 2</t>
  </si>
  <si>
    <t>نموذج 3</t>
  </si>
  <si>
    <t>رقم الفاتورة2</t>
  </si>
  <si>
    <t>نموذج 1</t>
  </si>
  <si>
    <t>كارتون باك</t>
  </si>
  <si>
    <t>اوبن توب خس</t>
  </si>
  <si>
    <t>الفشاوي</t>
  </si>
  <si>
    <t>16-2026</t>
  </si>
  <si>
    <t>17-2026</t>
  </si>
  <si>
    <t>18/2026</t>
  </si>
  <si>
    <t>19-2026</t>
  </si>
  <si>
    <t>20-2026</t>
  </si>
  <si>
    <t>21-2026</t>
  </si>
  <si>
    <t>22-2026</t>
  </si>
  <si>
    <t>23/24-2026</t>
  </si>
  <si>
    <t>24-2026</t>
  </si>
  <si>
    <t>23-2026</t>
  </si>
  <si>
    <t>فاتورة ا/رانيا</t>
  </si>
  <si>
    <t>نموذج 4</t>
  </si>
  <si>
    <t>نموذج 3 po</t>
  </si>
  <si>
    <t>براميدز</t>
  </si>
  <si>
    <t>نموذج 10</t>
  </si>
  <si>
    <t>اشعار دائن</t>
  </si>
  <si>
    <t>الاجمالي4</t>
  </si>
  <si>
    <t>33/35</t>
  </si>
  <si>
    <t>Column1</t>
  </si>
  <si>
    <t>السعر3</t>
  </si>
  <si>
    <t>عسل</t>
  </si>
  <si>
    <t>5-7042026</t>
  </si>
  <si>
    <t>21/4</t>
  </si>
  <si>
    <t>23/4</t>
  </si>
  <si>
    <t>الفيشاوي جديد</t>
  </si>
  <si>
    <t>26/4</t>
  </si>
  <si>
    <t>54-55</t>
  </si>
  <si>
    <t>الفيشاوي جديد+بيراميدز</t>
  </si>
  <si>
    <t>28/4</t>
  </si>
  <si>
    <t>الفنيه للصناعات المتخصصه</t>
  </si>
  <si>
    <t>ورق فلوت فاخر معالج 112 +125 جم</t>
  </si>
  <si>
    <t>ورق تست معالج 150 جم</t>
  </si>
  <si>
    <t>صندوق سنجل مقاس 58.5*38*28.8 G81</t>
  </si>
  <si>
    <t>كرتون LOP نموذج 10</t>
  </si>
  <si>
    <t>الفيشاوى</t>
  </si>
  <si>
    <t>بيراميدز</t>
  </si>
  <si>
    <t>الفيشاوي</t>
  </si>
  <si>
    <t>ستار باك</t>
  </si>
  <si>
    <t>كرتون gro نموذج 5</t>
  </si>
  <si>
    <t>احمد حسين عوض مرسى الفيشاوى وشريكه</t>
  </si>
  <si>
    <t>الاجمالي5</t>
  </si>
  <si>
    <t>كرتون شورتينج ماليزي هارد 25ك شوريتنج</t>
  </si>
  <si>
    <t>شركه ستار باك لمواد التعبئه والتغليف</t>
  </si>
  <si>
    <t>العربيه الخليجيه لعصر وتكرير وتعب~ه الزيوت</t>
  </si>
  <si>
    <t>العربيه الخليجيه لعصر وتكرير وتعبئه الزيوت النباتيه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</si>
</sst>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45">
    <xf numFmtId="0" fontId="0" fillId="0" borderId="0" xfId="0"/>
    <xf numFmtId="38" fontId="0" fillId="0" borderId="0" xfId="0" applyNumberFormat="1"/>
    <xf numFmtId="38" fontId="4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8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38" fontId="2" fillId="0" borderId="8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38" fontId="2" fillId="2" borderId="8" xfId="0" applyNumberFormat="1" applyFont="1" applyFill="1" applyBorder="1" applyAlignment="1">
      <alignment horizontal="center"/>
    </xf>
    <xf numFmtId="14" fontId="2" fillId="2" borderId="8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2" borderId="0" xfId="0" applyFill="1"/>
    <xf numFmtId="14" fontId="2" fillId="3" borderId="5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8" fontId="2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3" borderId="0" xfId="0" applyFill="1"/>
    <xf numFmtId="40" fontId="2" fillId="0" borderId="8" xfId="0" applyNumberFormat="1" applyFont="1" applyBorder="1" applyAlignment="1">
      <alignment horizontal="center"/>
    </xf>
    <xf numFmtId="38" fontId="7" fillId="0" borderId="8" xfId="0" applyNumberFormat="1" applyFont="1" applyBorder="1" applyAlignment="1">
      <alignment horizontal="center"/>
    </xf>
    <xf numFmtId="14" fontId="2" fillId="4" borderId="7" xfId="0" applyNumberFormat="1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38" fontId="2" fillId="4" borderId="8" xfId="0" applyNumberFormat="1" applyFont="1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4" borderId="0" xfId="0" applyFill="1"/>
    <xf numFmtId="43" fontId="2" fillId="3" borderId="6" xfId="1" applyFont="1" applyFill="1" applyBorder="1" applyAlignment="1">
      <alignment horizontal="center"/>
    </xf>
    <xf numFmtId="43" fontId="2" fillId="0" borderId="3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0" fillId="0" borderId="0" xfId="1" applyFont="1"/>
    <xf numFmtId="43" fontId="2" fillId="2" borderId="9" xfId="1" applyFont="1" applyFill="1" applyBorder="1" applyAlignment="1">
      <alignment horizontal="center"/>
    </xf>
    <xf numFmtId="43" fontId="2" fillId="4" borderId="9" xfId="1" applyFont="1" applyFill="1" applyBorder="1" applyAlignment="1">
      <alignment horizontal="center"/>
    </xf>
    <xf numFmtId="43" fontId="2" fillId="0" borderId="8" xfId="1" applyFont="1" applyFill="1" applyBorder="1" applyAlignment="1">
      <alignment horizontal="center"/>
    </xf>
    <xf numFmtId="43" fontId="0" fillId="4" borderId="0" xfId="1" applyFont="1" applyFill="1"/>
    <xf numFmtId="43" fontId="0" fillId="4" borderId="0" xfId="0" applyNumberFormat="1" applyFill="1"/>
  </cellXfs>
  <cellStyles count="2">
    <cellStyle name="Comma" xfId="1" builtinId="3"/>
    <cellStyle name="Normal" xfId="0" builtinId="0"/>
  </cellStyles>
  <dxfs count="25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6" formatCode="#,##0_);[Red]\(#,##0\)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dd/mm/yy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6" formatCode="#,##0_);[Red]\(#,##0\)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6" formatCode="#,##0_);[Red]\(#,##0\)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6" formatCode="#,##0_);[Red]\(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6" formatCode="#,##0_);[Red]\(#,##0\)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03BB0-F1F2-43E6-B784-06D2396555B2}" name="Table1" displayName="Table1" ref="A5:T63" totalsRowShown="0" headerRowDxfId="24" dataDxfId="22" headerRowBorderDxfId="23" tableBorderDxfId="21" totalsRowBorderDxfId="20">
  <autoFilter ref="A5:T63" xr:uid="{1ED03BB0-F1F2-43E6-B784-06D2396555B2}"/>
  <tableColumns count="20">
    <tableColumn id="1" xr3:uid="{10A5BE95-C4ED-48CE-B628-00FD10CE8FFF}" name="تاريخ فاتورة المشتريات" dataDxfId="19"/>
    <tableColumn id="15" xr3:uid="{DA058174-2215-4772-A059-0B76E0BB0C42}" name="رقم الفاتورة" dataDxfId="18"/>
    <tableColumn id="2" xr3:uid="{ED637151-1C1E-44E7-80A3-63492633A57E}" name="المورد" dataDxfId="17"/>
    <tableColumn id="3" xr3:uid="{DAA8515C-9307-45AA-9F0E-2ED561493862}" name="الصنف" dataDxfId="16"/>
    <tableColumn id="4" xr3:uid="{519D8D6D-9D58-4A5B-950F-4744D321AB6A}" name="الكمية " dataDxfId="15"/>
    <tableColumn id="5" xr3:uid="{971456BE-8CE0-4521-BA81-0F1BFDA8865D}" name="السعر" dataDxfId="14"/>
    <tableColumn id="18" xr3:uid="{BE181DD5-8A9C-49CF-8A54-69F1D02FFF5C}" name="Column1" dataDxfId="13">
      <calculatedColumnFormula>Table1[[#This Row],[الكمية ]]*Table1[[#This Row],[السعر]]</calculatedColumnFormula>
    </tableColumn>
    <tableColumn id="6" xr3:uid="{2EB584BD-C4DB-4208-B49E-999400B53641}" name="القيمة المضافة " dataDxfId="12">
      <calculatedColumnFormula>Table1[[#This Row],[الكمية ]]*Table1[[#This Row],[السعر]]*0.14</calculatedColumnFormula>
    </tableColumn>
    <tableColumn id="7" xr3:uid="{9BDF37D4-9E3B-44F5-8B6B-D5EC9FEA48C4}" name="الإجمالي" dataDxfId="11">
      <calculatedColumnFormula>Table1[[#This Row],[الكمية ]]*Table1[[#This Row],[السعر]]+Table1[[#This Row],[القيمة المضافة ]]</calculatedColumnFormula>
    </tableColumn>
    <tableColumn id="8" xr3:uid="{415BA116-A09C-4FAD-88F2-803F242C31B2}" name="تاريخ فاتورة البيع" dataDxfId="10"/>
    <tableColumn id="9" xr3:uid="{680FD8AF-3FEC-4F68-8A07-BF6C975AA58B}" name="المشتري" dataDxfId="9"/>
    <tableColumn id="16" xr3:uid="{A2551C99-38B7-4FEA-9250-1E888914F552}" name="فاتورة ا/رانيا" dataDxfId="8"/>
    <tableColumn id="10" xr3:uid="{2B959BAF-9A60-4450-A4F9-2BC7F7077F3B}" name="رقم الفاتورة2" dataDxfId="7"/>
    <tableColumn id="11" xr3:uid="{7C894807-CE87-4322-BA41-5B6032682AC2}" name="الكمية" dataDxfId="6"/>
    <tableColumn id="12" xr3:uid="{7C710851-E2F1-4E14-809B-44EC53EB8AB4}" name="السعر2" dataDxfId="5"/>
    <tableColumn id="19" xr3:uid="{6BA20C20-09E3-4273-918E-40ABF4D6779A}" name="السعر3" dataDxfId="4">
      <calculatedColumnFormula>Table1[[#This Row],[السعر2]]*Table1[[#This Row],[الكمية]]</calculatedColumnFormula>
    </tableColumn>
    <tableColumn id="13" xr3:uid="{8DF6FC0A-3F22-4FDE-A2DD-C382B78B273E}" name="القيمة المضافة" dataDxfId="3">
      <calculatedColumnFormula>Table1[[#This Row],[الكمية]]*Table1[[#This Row],[السعر2]]*0.14</calculatedColumnFormula>
    </tableColumn>
    <tableColumn id="14" xr3:uid="{A8912BBA-6134-43F9-9BEE-9BBC15FC391C}" name="الاجمالي3" dataDxfId="2">
      <calculatedColumnFormula>Table1[[#This Row],[الكمية]]*Table1[[#This Row],[السعر2]]+Table1[[#This Row],[القيمة المضافة]]</calculatedColumnFormula>
    </tableColumn>
    <tableColumn id="17" xr3:uid="{12035C3D-F963-4F22-AE3C-BA0E465B8129}" name="الاجمالي4" dataDxfId="1"/>
    <tableColumn id="20" xr3:uid="{33B1356B-F711-4C29-A6FE-4F81E5A64CB3}" name="الاجمالي5" dataDxfId="0" dataCellStyle="Comma">
      <calculatedColumnFormula>Table1[[#This Row],[الكمية ]]-Table1[[#This Row],[الكمية]]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89"/>
  <sheetViews>
    <sheetView rightToLeft="1" tabSelected="1" zoomScale="70" zoomScaleNormal="70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27.81640625" bestFit="1" customWidth="1"/>
    <col min="2" max="2" width="17.54296875" bestFit="1" customWidth="1"/>
    <col min="3" max="3" width="25.81640625" bestFit="1" customWidth="1"/>
    <col min="4" max="4" width="39.81640625" bestFit="1" customWidth="1"/>
    <col min="5" max="5" width="13.36328125" bestFit="1" customWidth="1"/>
    <col min="6" max="6" width="12.6328125" bestFit="1" customWidth="1"/>
    <col min="7" max="7" width="16.90625" bestFit="1" customWidth="1"/>
    <col min="8" max="8" width="21.36328125" bestFit="1" customWidth="1"/>
    <col min="9" max="9" width="14.1796875" bestFit="1" customWidth="1"/>
    <col min="10" max="10" width="23.36328125" bestFit="1" customWidth="1"/>
    <col min="11" max="11" width="30.453125" customWidth="1"/>
    <col min="12" max="12" width="47.1796875" customWidth="1"/>
    <col min="13" max="13" width="18.90625" bestFit="1" customWidth="1"/>
    <col min="14" max="14" width="13.08984375" bestFit="1" customWidth="1"/>
    <col min="15" max="16" width="13.90625" bestFit="1" customWidth="1"/>
    <col min="17" max="17" width="20.54296875" bestFit="1" customWidth="1"/>
    <col min="18" max="20" width="15.54296875" bestFit="1" customWidth="1"/>
    <col min="22" max="22" width="11.08984375" bestFit="1" customWidth="1"/>
  </cols>
  <sheetData>
    <row r="2" spans="1:20" x14ac:dyDescent="0.35">
      <c r="J2" s="1">
        <f>Q4-H4</f>
        <v>-480538.51300000015</v>
      </c>
      <c r="R2" s="1">
        <f>R4-I4</f>
        <v>788906.53700000048</v>
      </c>
    </row>
    <row r="4" spans="1:20" ht="15.5" x14ac:dyDescent="0.35">
      <c r="C4" s="2"/>
      <c r="D4" s="2"/>
      <c r="E4" s="2">
        <f>SUBTOTAL(9,Table1[[الكمية ]])</f>
        <v>515846.66</v>
      </c>
      <c r="F4" s="2"/>
      <c r="G4" s="2"/>
      <c r="H4" s="2">
        <f>SUBTOTAL(9,Table1[[القيمة المضافة ]])</f>
        <v>1148663.9430000002</v>
      </c>
      <c r="I4" s="2">
        <f>SUBTOTAL(9,Table1[الإجمالي])</f>
        <v>9353406.3930000011</v>
      </c>
      <c r="J4" s="2"/>
      <c r="K4" s="2"/>
      <c r="L4" s="2"/>
      <c r="M4" s="2"/>
      <c r="N4" s="2">
        <f>SUBTOTAL(9,Table1[الكمية])</f>
        <v>530765</v>
      </c>
      <c r="O4" s="2"/>
      <c r="P4" s="2">
        <f>SUBTOTAL(9,P6:P69)</f>
        <v>9474187.5</v>
      </c>
      <c r="Q4" s="2">
        <f>SUBTOTAL(9,Table1[القيمة المضافة])</f>
        <v>668125.43000000005</v>
      </c>
      <c r="R4" s="2">
        <f>SUBTOTAL(9,Table1[الاجمالي3])</f>
        <v>10142312.930000002</v>
      </c>
    </row>
    <row r="5" spans="1:20" ht="24" customHeight="1" x14ac:dyDescent="0.35">
      <c r="A5" s="3" t="s">
        <v>13</v>
      </c>
      <c r="B5" s="4" t="s">
        <v>8</v>
      </c>
      <c r="C5" s="4" t="s">
        <v>0</v>
      </c>
      <c r="D5" s="4" t="s">
        <v>1</v>
      </c>
      <c r="E5" s="4" t="s">
        <v>2</v>
      </c>
      <c r="F5" s="4" t="s">
        <v>3</v>
      </c>
      <c r="G5" s="4" t="s">
        <v>40</v>
      </c>
      <c r="H5" s="4" t="s">
        <v>4</v>
      </c>
      <c r="I5" s="4" t="s">
        <v>5</v>
      </c>
      <c r="J5" s="4" t="s">
        <v>6</v>
      </c>
      <c r="K5" s="4" t="s">
        <v>7</v>
      </c>
      <c r="L5" s="4" t="s">
        <v>32</v>
      </c>
      <c r="M5" s="4" t="s">
        <v>17</v>
      </c>
      <c r="N5" s="4" t="s">
        <v>9</v>
      </c>
      <c r="O5" s="4" t="s">
        <v>11</v>
      </c>
      <c r="P5" s="4" t="s">
        <v>41</v>
      </c>
      <c r="Q5" s="4" t="s">
        <v>10</v>
      </c>
      <c r="R5" s="4" t="s">
        <v>12</v>
      </c>
      <c r="S5" s="5" t="s">
        <v>38</v>
      </c>
      <c r="T5" s="4" t="s">
        <v>62</v>
      </c>
    </row>
    <row r="6" spans="1:20" ht="18.5" x14ac:dyDescent="0.45">
      <c r="A6" s="6">
        <v>46026</v>
      </c>
      <c r="B6" s="7">
        <v>14426</v>
      </c>
      <c r="C6" s="7" t="s">
        <v>14</v>
      </c>
      <c r="D6" s="7" t="s">
        <v>15</v>
      </c>
      <c r="E6" s="8">
        <v>24000</v>
      </c>
      <c r="F6" s="7">
        <v>9</v>
      </c>
      <c r="G6" s="8">
        <f>Table1[[#This Row],[الكمية ]]*Table1[[#This Row],[السعر]]</f>
        <v>216000</v>
      </c>
      <c r="H6" s="8">
        <f>Table1[[#This Row],[الكمية ]]*Table1[[#This Row],[السعر]]*0.14</f>
        <v>30240.000000000004</v>
      </c>
      <c r="I6" s="8">
        <f>Table1[[#This Row],[الكمية ]]*Table1[[#This Row],[السعر]]+Table1[[#This Row],[القيمة المضافة ]]</f>
        <v>246240</v>
      </c>
      <c r="J6" s="9">
        <v>46040</v>
      </c>
      <c r="K6" s="7" t="s">
        <v>21</v>
      </c>
      <c r="L6" s="7">
        <v>1012026</v>
      </c>
      <c r="M6" s="7" t="s">
        <v>25</v>
      </c>
      <c r="N6" s="8">
        <v>24000</v>
      </c>
      <c r="O6" s="7">
        <v>10.5</v>
      </c>
      <c r="P6" s="7">
        <f>Table1[[#This Row],[السعر2]]*Table1[[#This Row],[الكمية]]</f>
        <v>252000</v>
      </c>
      <c r="Q6" s="7">
        <v>0</v>
      </c>
      <c r="R6" s="7">
        <f>Table1[[#This Row],[الكمية]]*Table1[[#This Row],[السعر2]]+Table1[[#This Row],[القيمة المضافة]]</f>
        <v>252000</v>
      </c>
      <c r="S6" s="10"/>
      <c r="T6" s="37">
        <f>Table1[[#This Row],[الكمية ]]-Table1[[#This Row],[الكمية]]</f>
        <v>0</v>
      </c>
    </row>
    <row r="7" spans="1:20" ht="18.5" x14ac:dyDescent="0.45">
      <c r="A7" s="6">
        <v>46026</v>
      </c>
      <c r="B7" s="7">
        <v>14426</v>
      </c>
      <c r="C7" s="7" t="s">
        <v>14</v>
      </c>
      <c r="D7" s="7" t="s">
        <v>15</v>
      </c>
      <c r="E7" s="8">
        <v>12000</v>
      </c>
      <c r="F7" s="7">
        <v>9</v>
      </c>
      <c r="G7" s="8">
        <f>Table1[[#This Row],[الكمية ]]*Table1[[#This Row],[السعر]]</f>
        <v>108000</v>
      </c>
      <c r="H7" s="8">
        <f>Table1[[#This Row],[الكمية ]]*Table1[[#This Row],[السعر]]*0.14</f>
        <v>15120.000000000002</v>
      </c>
      <c r="I7" s="8">
        <f>Table1[[#This Row],[الكمية ]]*Table1[[#This Row],[السعر]]+Table1[[#This Row],[القيمة المضافة ]]</f>
        <v>123120</v>
      </c>
      <c r="J7" s="9">
        <v>46040</v>
      </c>
      <c r="K7" s="7" t="s">
        <v>21</v>
      </c>
      <c r="L7" s="7">
        <v>2012026</v>
      </c>
      <c r="M7" s="7" t="s">
        <v>26</v>
      </c>
      <c r="N7" s="8">
        <v>12000</v>
      </c>
      <c r="O7" s="7">
        <v>10.5</v>
      </c>
      <c r="P7" s="7">
        <f>Table1[[#This Row],[السعر2]]*Table1[[#This Row],[الكمية]]</f>
        <v>126000</v>
      </c>
      <c r="Q7" s="7">
        <v>0</v>
      </c>
      <c r="R7" s="7">
        <f>Table1[[#This Row],[الكمية]]*Table1[[#This Row],[السعر2]]+Table1[[#This Row],[القيمة المضافة]]</f>
        <v>126000</v>
      </c>
      <c r="S7" s="10"/>
      <c r="T7" s="38">
        <f>Table1[[#This Row],[الكمية ]]-Table1[[#This Row],[الكمية]]</f>
        <v>0</v>
      </c>
    </row>
    <row r="8" spans="1:20" ht="18.5" x14ac:dyDescent="0.45">
      <c r="A8" s="6">
        <v>46026</v>
      </c>
      <c r="B8" s="7">
        <v>14426</v>
      </c>
      <c r="C8" s="7" t="s">
        <v>14</v>
      </c>
      <c r="D8" s="7" t="s">
        <v>15</v>
      </c>
      <c r="E8" s="8">
        <v>14150</v>
      </c>
      <c r="F8" s="7">
        <v>9</v>
      </c>
      <c r="G8" s="8">
        <f>Table1[[#This Row],[الكمية ]]*Table1[[#This Row],[السعر]]</f>
        <v>127350</v>
      </c>
      <c r="H8" s="8">
        <f>Table1[[#This Row],[الكمية ]]*Table1[[#This Row],[السعر]]*0.14</f>
        <v>17829</v>
      </c>
      <c r="I8" s="8">
        <f>Table1[[#This Row],[الكمية ]]*Table1[[#This Row],[السعر]]+Table1[[#This Row],[القيمة المضافة ]]</f>
        <v>145179</v>
      </c>
      <c r="J8" s="9">
        <v>46040</v>
      </c>
      <c r="K8" s="7" t="s">
        <v>21</v>
      </c>
      <c r="L8" s="7">
        <v>2012026</v>
      </c>
      <c r="M8" s="7" t="s">
        <v>27</v>
      </c>
      <c r="N8" s="8">
        <v>14150</v>
      </c>
      <c r="O8" s="7">
        <v>10.5</v>
      </c>
      <c r="P8" s="7">
        <f>Table1[[#This Row],[السعر2]]*Table1[[#This Row],[الكمية]]</f>
        <v>148575</v>
      </c>
      <c r="Q8" s="7">
        <v>0</v>
      </c>
      <c r="R8" s="7">
        <f>Table1[[#This Row],[الكمية]]*Table1[[#This Row],[السعر2]]+Table1[[#This Row],[القيمة المضافة]]</f>
        <v>148575</v>
      </c>
      <c r="S8" s="10"/>
      <c r="T8" s="38">
        <f>Table1[[#This Row],[الكمية ]]-Table1[[#This Row],[الكمية]]</f>
        <v>0</v>
      </c>
    </row>
    <row r="9" spans="1:20" ht="18.5" x14ac:dyDescent="0.45">
      <c r="A9" s="6">
        <v>46034</v>
      </c>
      <c r="B9" s="7">
        <v>14504</v>
      </c>
      <c r="C9" s="7" t="s">
        <v>14</v>
      </c>
      <c r="D9" s="7" t="s">
        <v>18</v>
      </c>
      <c r="E9" s="8">
        <v>15325</v>
      </c>
      <c r="F9" s="7">
        <v>9.5</v>
      </c>
      <c r="G9" s="8">
        <f>Table1[[#This Row],[الكمية ]]*Table1[[#This Row],[السعر]]</f>
        <v>145587.5</v>
      </c>
      <c r="H9" s="8">
        <f>Table1[[#This Row],[الكمية ]]*Table1[[#This Row],[السعر]]*0.14</f>
        <v>20382.250000000004</v>
      </c>
      <c r="I9" s="8">
        <f>Table1[[#This Row],[الكمية ]]*Table1[[#This Row],[السعر]]+Table1[[#This Row],[القيمة المضافة ]]</f>
        <v>165969.75</v>
      </c>
      <c r="J9" s="9">
        <v>46040</v>
      </c>
      <c r="K9" s="7" t="s">
        <v>21</v>
      </c>
      <c r="L9" s="7"/>
      <c r="M9" s="7" t="s">
        <v>22</v>
      </c>
      <c r="N9" s="8">
        <v>15325</v>
      </c>
      <c r="O9" s="7">
        <v>11</v>
      </c>
      <c r="P9" s="7">
        <f>Table1[[#This Row],[السعر2]]*Table1[[#This Row],[الكمية]]</f>
        <v>168575</v>
      </c>
      <c r="Q9" s="7">
        <v>0</v>
      </c>
      <c r="R9" s="7">
        <f>Table1[[#This Row],[الكمية]]*Table1[[#This Row],[السعر2]]+Table1[[#This Row],[القيمة المضافة]]</f>
        <v>168575</v>
      </c>
      <c r="S9" s="10"/>
      <c r="T9" s="38">
        <f>Table1[[#This Row],[الكمية ]]-Table1[[#This Row],[الكمية]]</f>
        <v>0</v>
      </c>
    </row>
    <row r="10" spans="1:20" ht="18.5" x14ac:dyDescent="0.45">
      <c r="A10" s="6">
        <v>46034</v>
      </c>
      <c r="B10" s="7">
        <v>14504</v>
      </c>
      <c r="C10" s="7" t="s">
        <v>14</v>
      </c>
      <c r="D10" s="7" t="s">
        <v>18</v>
      </c>
      <c r="E10" s="8">
        <v>36000</v>
      </c>
      <c r="F10" s="7">
        <v>9.5</v>
      </c>
      <c r="G10" s="8">
        <f>Table1[[#This Row],[الكمية ]]*Table1[[#This Row],[السعر]]</f>
        <v>342000</v>
      </c>
      <c r="H10" s="8">
        <f>Table1[[#This Row],[الكمية ]]*Table1[[#This Row],[السعر]]*0.14</f>
        <v>47880.000000000007</v>
      </c>
      <c r="I10" s="8">
        <f>Table1[[#This Row],[الكمية ]]*Table1[[#This Row],[السعر]]+Table1[[#This Row],[القيمة المضافة ]]</f>
        <v>389880</v>
      </c>
      <c r="J10" s="9">
        <v>46040</v>
      </c>
      <c r="K10" s="7" t="s">
        <v>21</v>
      </c>
      <c r="L10" s="7"/>
      <c r="M10" s="7" t="s">
        <v>23</v>
      </c>
      <c r="N10" s="8">
        <v>36000</v>
      </c>
      <c r="O10" s="7">
        <v>11</v>
      </c>
      <c r="P10" s="7">
        <f>Table1[[#This Row],[السعر2]]*Table1[[#This Row],[الكمية]]</f>
        <v>396000</v>
      </c>
      <c r="Q10" s="7">
        <v>0</v>
      </c>
      <c r="R10" s="7">
        <f>Table1[[#This Row],[الكمية]]*Table1[[#This Row],[السعر2]]+Table1[[#This Row],[القيمة المضافة]]</f>
        <v>396000</v>
      </c>
      <c r="S10" s="10"/>
      <c r="T10" s="38">
        <f>Table1[[#This Row],[الكمية ]]-Table1[[#This Row],[الكمية]]</f>
        <v>0</v>
      </c>
    </row>
    <row r="11" spans="1:20" ht="18.5" x14ac:dyDescent="0.45">
      <c r="A11" s="6">
        <v>46036</v>
      </c>
      <c r="B11" s="7">
        <v>14538</v>
      </c>
      <c r="C11" s="7" t="s">
        <v>14</v>
      </c>
      <c r="D11" s="7" t="s">
        <v>16</v>
      </c>
      <c r="E11" s="8">
        <v>9900</v>
      </c>
      <c r="F11" s="7">
        <v>19.5</v>
      </c>
      <c r="G11" s="8">
        <f>Table1[[#This Row],[الكمية ]]*Table1[[#This Row],[السعر]]</f>
        <v>193050</v>
      </c>
      <c r="H11" s="8">
        <f>Table1[[#This Row],[الكمية ]]*Table1[[#This Row],[السعر]]*0.14</f>
        <v>27027.000000000004</v>
      </c>
      <c r="I11" s="8">
        <f>Table1[[#This Row],[الكمية ]]*Table1[[#This Row],[السعر]]+Table1[[#This Row],[القيمة المضافة ]]</f>
        <v>220077</v>
      </c>
      <c r="J11" s="9">
        <v>46040</v>
      </c>
      <c r="K11" s="7" t="s">
        <v>21</v>
      </c>
      <c r="L11" s="7"/>
      <c r="M11" s="7" t="s">
        <v>24</v>
      </c>
      <c r="N11" s="8">
        <v>9900</v>
      </c>
      <c r="O11" s="7">
        <v>22.5</v>
      </c>
      <c r="P11" s="7">
        <f>Table1[[#This Row],[السعر2]]*Table1[[#This Row],[الكمية]]</f>
        <v>222750</v>
      </c>
      <c r="Q11" s="7">
        <v>0</v>
      </c>
      <c r="R11" s="7">
        <f>Table1[[#This Row],[الكمية]]*Table1[[#This Row],[السعر2]]+Table1[[#This Row],[القيمة المضافة]]</f>
        <v>222750</v>
      </c>
      <c r="S11" s="10"/>
      <c r="T11" s="38">
        <f>Table1[[#This Row],[الكمية ]]-Table1[[#This Row],[الكمية]]</f>
        <v>0</v>
      </c>
    </row>
    <row r="12" spans="1:20" ht="18.5" x14ac:dyDescent="0.45">
      <c r="A12" s="6">
        <v>46036</v>
      </c>
      <c r="B12" s="7">
        <v>14538</v>
      </c>
      <c r="C12" s="7" t="s">
        <v>14</v>
      </c>
      <c r="D12" s="7" t="s">
        <v>16</v>
      </c>
      <c r="E12" s="8">
        <v>10162</v>
      </c>
      <c r="F12" s="7">
        <v>19.5</v>
      </c>
      <c r="G12" s="8">
        <f>Table1[[#This Row],[الكمية ]]*Table1[[#This Row],[السعر]]</f>
        <v>198159</v>
      </c>
      <c r="H12" s="8">
        <f>Table1[[#This Row],[الكمية ]]*Table1[[#This Row],[السعر]]*0.14</f>
        <v>27742.260000000002</v>
      </c>
      <c r="I12" s="8">
        <f>Table1[[#This Row],[الكمية ]]*Table1[[#This Row],[السعر]]+Table1[[#This Row],[القيمة المضافة ]]</f>
        <v>225901.26</v>
      </c>
      <c r="J12" s="9">
        <v>46040</v>
      </c>
      <c r="K12" s="7" t="s">
        <v>21</v>
      </c>
      <c r="L12" s="7">
        <v>8012026</v>
      </c>
      <c r="M12" s="7" t="s">
        <v>28</v>
      </c>
      <c r="N12" s="8">
        <v>10162</v>
      </c>
      <c r="O12" s="7">
        <v>22.5</v>
      </c>
      <c r="P12" s="7">
        <f>Table1[[#This Row],[السعر2]]*Table1[[#This Row],[الكمية]]</f>
        <v>228645</v>
      </c>
      <c r="Q12" s="7">
        <v>0</v>
      </c>
      <c r="R12" s="7">
        <f>Table1[[#This Row],[الكمية]]*Table1[[#This Row],[السعر2]]+Table1[[#This Row],[القيمة المضافة]]</f>
        <v>228645</v>
      </c>
      <c r="S12" s="10"/>
      <c r="T12" s="38">
        <f>Table1[[#This Row],[الكمية ]]-Table1[[#This Row],[الكمية]]</f>
        <v>0</v>
      </c>
    </row>
    <row r="13" spans="1:20" ht="18.5" x14ac:dyDescent="0.45">
      <c r="A13" s="6">
        <v>46037</v>
      </c>
      <c r="B13" s="7">
        <v>611</v>
      </c>
      <c r="C13" s="7" t="s">
        <v>19</v>
      </c>
      <c r="D13" s="7" t="s">
        <v>16</v>
      </c>
      <c r="E13" s="8">
        <v>3940</v>
      </c>
      <c r="F13" s="7">
        <v>27</v>
      </c>
      <c r="G13" s="8">
        <f>Table1[[#This Row],[الكمية ]]*Table1[[#This Row],[السعر]]</f>
        <v>106380</v>
      </c>
      <c r="H13" s="8">
        <f>Table1[[#This Row],[الكمية ]]*Table1[[#This Row],[السعر]]*0.14</f>
        <v>14893.2</v>
      </c>
      <c r="I13" s="8">
        <f>Table1[[#This Row],[الكمية ]]*Table1[[#This Row],[السعر]]+Table1[[#This Row],[القيمة المضافة ]]</f>
        <v>121273.2</v>
      </c>
      <c r="J13" s="9">
        <v>46040</v>
      </c>
      <c r="K13" s="7" t="s">
        <v>21</v>
      </c>
      <c r="L13" s="7">
        <v>2012026</v>
      </c>
      <c r="M13" s="7" t="s">
        <v>31</v>
      </c>
      <c r="N13" s="8">
        <v>3940</v>
      </c>
      <c r="O13" s="7">
        <v>32</v>
      </c>
      <c r="P13" s="7">
        <f>Table1[[#This Row],[السعر2]]*Table1[[#This Row],[الكمية]]</f>
        <v>126080</v>
      </c>
      <c r="Q13" s="7">
        <v>0</v>
      </c>
      <c r="R13" s="7">
        <f>Table1[[#This Row],[الكمية]]*Table1[[#This Row],[السعر2]]+Table1[[#This Row],[القيمة المضافة]]</f>
        <v>126080</v>
      </c>
      <c r="S13" s="10"/>
      <c r="T13" s="38">
        <f>Table1[[#This Row],[الكمية ]]-Table1[[#This Row],[الكمية]]</f>
        <v>0</v>
      </c>
    </row>
    <row r="14" spans="1:20" ht="18.5" x14ac:dyDescent="0.45">
      <c r="A14" s="6">
        <v>46037</v>
      </c>
      <c r="B14" s="7">
        <v>611</v>
      </c>
      <c r="C14" s="7" t="s">
        <v>19</v>
      </c>
      <c r="D14" s="7" t="s">
        <v>16</v>
      </c>
      <c r="E14" s="8">
        <v>1510</v>
      </c>
      <c r="F14" s="7">
        <v>25.3</v>
      </c>
      <c r="G14" s="8">
        <f>Table1[[#This Row],[الكمية ]]*Table1[[#This Row],[السعر]]</f>
        <v>38203</v>
      </c>
      <c r="H14" s="8">
        <f>Table1[[#This Row],[الكمية ]]*Table1[[#This Row],[السعر]]*0.14</f>
        <v>5348.42</v>
      </c>
      <c r="I14" s="8">
        <f>Table1[[#This Row],[الكمية ]]*Table1[[#This Row],[السعر]]+Table1[[#This Row],[القيمة المضافة ]]</f>
        <v>43551.42</v>
      </c>
      <c r="J14" s="9">
        <v>46040</v>
      </c>
      <c r="K14" s="7" t="s">
        <v>21</v>
      </c>
      <c r="L14" s="7">
        <v>10012026</v>
      </c>
      <c r="M14" s="7" t="s">
        <v>30</v>
      </c>
      <c r="N14" s="8">
        <v>1510</v>
      </c>
      <c r="O14" s="7">
        <v>29</v>
      </c>
      <c r="P14" s="7">
        <f>Table1[[#This Row],[السعر2]]*Table1[[#This Row],[الكمية]]</f>
        <v>43790</v>
      </c>
      <c r="Q14" s="7">
        <v>0</v>
      </c>
      <c r="R14" s="7">
        <f>Table1[[#This Row],[الكمية]]*Table1[[#This Row],[السعر2]]+Table1[[#This Row],[القيمة المضافة]]</f>
        <v>43790</v>
      </c>
      <c r="S14" s="10"/>
      <c r="T14" s="38">
        <f>Table1[[#This Row],[الكمية ]]-Table1[[#This Row],[الكمية]]</f>
        <v>0</v>
      </c>
    </row>
    <row r="15" spans="1:20" ht="18.5" x14ac:dyDescent="0.45">
      <c r="A15" s="6">
        <v>46037</v>
      </c>
      <c r="B15" s="7">
        <v>611</v>
      </c>
      <c r="C15" s="7" t="s">
        <v>19</v>
      </c>
      <c r="D15" s="7" t="s">
        <v>20</v>
      </c>
      <c r="E15" s="8">
        <v>3000</v>
      </c>
      <c r="F15" s="7">
        <v>28.9</v>
      </c>
      <c r="G15" s="8">
        <f>Table1[[#This Row],[الكمية ]]*Table1[[#This Row],[السعر]]</f>
        <v>86700</v>
      </c>
      <c r="H15" s="8">
        <f>Table1[[#This Row],[الكمية ]]*Table1[[#This Row],[السعر]]*0.14</f>
        <v>12138.000000000002</v>
      </c>
      <c r="I15" s="8">
        <f>Table1[[#This Row],[الكمية ]]*Table1[[#This Row],[السعر]]+Table1[[#This Row],[القيمة المضافة ]]</f>
        <v>98838</v>
      </c>
      <c r="J15" s="9">
        <v>46040</v>
      </c>
      <c r="K15" s="7" t="s">
        <v>21</v>
      </c>
      <c r="L15" s="7"/>
      <c r="M15" s="7" t="s">
        <v>29</v>
      </c>
      <c r="N15" s="8">
        <v>3000</v>
      </c>
      <c r="O15" s="7">
        <v>36</v>
      </c>
      <c r="P15" s="7">
        <f>Table1[[#This Row],[السعر2]]*Table1[[#This Row],[الكمية]]</f>
        <v>108000</v>
      </c>
      <c r="Q15" s="7">
        <v>0</v>
      </c>
      <c r="R15" s="7">
        <f>Table1[[#This Row],[الكمية]]*Table1[[#This Row],[السعر2]]+Table1[[#This Row],[القيمة المضافة]]</f>
        <v>108000</v>
      </c>
      <c r="S15" s="10"/>
      <c r="T15" s="38">
        <f>Table1[[#This Row],[الكمية ]]-Table1[[#This Row],[الكمية]]</f>
        <v>0</v>
      </c>
    </row>
    <row r="16" spans="1:20" ht="18.5" x14ac:dyDescent="0.45">
      <c r="A16" s="6">
        <v>46043</v>
      </c>
      <c r="B16" s="7">
        <v>617</v>
      </c>
      <c r="C16" s="7" t="s">
        <v>19</v>
      </c>
      <c r="D16" s="7" t="s">
        <v>33</v>
      </c>
      <c r="E16" s="8">
        <v>5400</v>
      </c>
      <c r="F16" s="7">
        <v>28.9</v>
      </c>
      <c r="G16" s="8">
        <f>Table1[[#This Row],[الكمية ]]*Table1[[#This Row],[السعر]]</f>
        <v>156060</v>
      </c>
      <c r="H16" s="8">
        <f>Table1[[#This Row],[الكمية ]]*Table1[[#This Row],[السعر]]*0.14</f>
        <v>21848.400000000001</v>
      </c>
      <c r="I16" s="8">
        <f>Table1[[#This Row],[الكمية ]]*Table1[[#This Row],[السعر]]+Table1[[#This Row],[القيمة المضافة ]]</f>
        <v>177908.4</v>
      </c>
      <c r="J16" s="9">
        <v>46044</v>
      </c>
      <c r="K16" s="7" t="s">
        <v>21</v>
      </c>
      <c r="L16" s="7">
        <v>11012026</v>
      </c>
      <c r="M16" s="7">
        <v>25</v>
      </c>
      <c r="N16" s="8">
        <v>5400</v>
      </c>
      <c r="O16" s="7">
        <v>36</v>
      </c>
      <c r="P16" s="7">
        <f>Table1[[#This Row],[السعر2]]*Table1[[#This Row],[الكمية]]</f>
        <v>194400</v>
      </c>
      <c r="Q16" s="7">
        <v>0</v>
      </c>
      <c r="R16" s="7">
        <f>Table1[[#This Row],[الكمية]]*Table1[[#This Row],[السعر2]]+Table1[[#This Row],[القيمة المضافة]]</f>
        <v>194400</v>
      </c>
      <c r="S16" s="10"/>
      <c r="T16" s="38">
        <f>Table1[[#This Row],[الكمية ]]-Table1[[#This Row],[الكمية]]</f>
        <v>0</v>
      </c>
    </row>
    <row r="17" spans="1:20" ht="18.5" x14ac:dyDescent="0.45">
      <c r="A17" s="6">
        <v>46040</v>
      </c>
      <c r="B17" s="7">
        <v>14536</v>
      </c>
      <c r="C17" s="7" t="s">
        <v>14</v>
      </c>
      <c r="D17" s="7" t="s">
        <v>34</v>
      </c>
      <c r="E17" s="8">
        <v>5158</v>
      </c>
      <c r="F17" s="7">
        <v>27.75</v>
      </c>
      <c r="G17" s="8">
        <f>Table1[[#This Row],[الكمية ]]*Table1[[#This Row],[السعر]]</f>
        <v>143134.5</v>
      </c>
      <c r="H17" s="8">
        <f>Table1[[#This Row],[الكمية ]]*Table1[[#This Row],[السعر]]*0.14</f>
        <v>20038.830000000002</v>
      </c>
      <c r="I17" s="8">
        <f>Table1[[#This Row],[الكمية ]]*Table1[[#This Row],[السعر]]+Table1[[#This Row],[القيمة المضافة ]]</f>
        <v>163173.33000000002</v>
      </c>
      <c r="J17" s="9">
        <v>46047</v>
      </c>
      <c r="K17" s="7" t="s">
        <v>21</v>
      </c>
      <c r="L17" s="7">
        <v>9012026</v>
      </c>
      <c r="M17" s="7">
        <v>26</v>
      </c>
      <c r="N17" s="8">
        <v>5158</v>
      </c>
      <c r="O17" s="7">
        <v>29</v>
      </c>
      <c r="P17" s="7">
        <f>Table1[[#This Row],[السعر2]]*Table1[[#This Row],[الكمية]]</f>
        <v>149582</v>
      </c>
      <c r="Q17" s="7">
        <v>0</v>
      </c>
      <c r="R17" s="7">
        <f>Table1[[#This Row],[الكمية]]*Table1[[#This Row],[السعر2]]+Table1[[#This Row],[القيمة المضافة]]</f>
        <v>149582</v>
      </c>
      <c r="S17" s="10"/>
      <c r="T17" s="38">
        <f>Table1[[#This Row],[الكمية ]]-Table1[[#This Row],[الكمية]]</f>
        <v>0</v>
      </c>
    </row>
    <row r="18" spans="1:20" ht="18.5" x14ac:dyDescent="0.45">
      <c r="A18" s="6">
        <v>46042</v>
      </c>
      <c r="B18" s="7">
        <v>14528</v>
      </c>
      <c r="C18" s="7" t="s">
        <v>14</v>
      </c>
      <c r="D18" s="7" t="s">
        <v>18</v>
      </c>
      <c r="E18" s="8">
        <v>14107</v>
      </c>
      <c r="F18" s="7">
        <v>7</v>
      </c>
      <c r="G18" s="8">
        <f>Table1[[#This Row],[الكمية ]]*Table1[[#This Row],[السعر]]</f>
        <v>98749</v>
      </c>
      <c r="H18" s="8">
        <f>Table1[[#This Row],[الكمية ]]*Table1[[#This Row],[السعر]]*0.14</f>
        <v>13824.86</v>
      </c>
      <c r="I18" s="8">
        <f>Table1[[#This Row],[الكمية ]]*Table1[[#This Row],[السعر]]+Table1[[#This Row],[القيمة المضافة ]]</f>
        <v>112573.86</v>
      </c>
      <c r="J18" s="9">
        <v>46047</v>
      </c>
      <c r="K18" s="7" t="s">
        <v>35</v>
      </c>
      <c r="L18" s="7">
        <v>14012026</v>
      </c>
      <c r="M18" s="7">
        <v>27</v>
      </c>
      <c r="N18" s="8">
        <v>14107</v>
      </c>
      <c r="O18" s="7">
        <v>11</v>
      </c>
      <c r="P18" s="7">
        <f>Table1[[#This Row],[السعر2]]*Table1[[#This Row],[الكمية]]</f>
        <v>155177</v>
      </c>
      <c r="Q18" s="7">
        <f>Table1[[#This Row],[الكمية]]*Table1[[#This Row],[السعر2]]*0.14</f>
        <v>21724.780000000002</v>
      </c>
      <c r="R18" s="7">
        <f>Table1[[#This Row],[الكمية]]*Table1[[#This Row],[السعر2]]+Table1[[#This Row],[القيمة المضافة]]</f>
        <v>176901.78</v>
      </c>
      <c r="S18" s="10"/>
      <c r="T18" s="38">
        <f>Table1[[#This Row],[الكمية ]]-Table1[[#This Row],[الكمية]]</f>
        <v>0</v>
      </c>
    </row>
    <row r="19" spans="1:20" ht="18.5" x14ac:dyDescent="0.45">
      <c r="A19" s="6">
        <v>46047</v>
      </c>
      <c r="B19" s="7">
        <v>635</v>
      </c>
      <c r="C19" s="7" t="s">
        <v>19</v>
      </c>
      <c r="D19" s="7" t="s">
        <v>33</v>
      </c>
      <c r="E19" s="8">
        <v>3000</v>
      </c>
      <c r="F19" s="7">
        <v>28.9</v>
      </c>
      <c r="G19" s="8">
        <f>Table1[[#This Row],[الكمية ]]*Table1[[#This Row],[السعر]]</f>
        <v>86700</v>
      </c>
      <c r="H19" s="8">
        <f>Table1[[#This Row],[الكمية ]]*Table1[[#This Row],[السعر]]*0.14</f>
        <v>12138.000000000002</v>
      </c>
      <c r="I19" s="8">
        <f>Table1[[#This Row],[الكمية ]]*Table1[[#This Row],[السعر]]+Table1[[#This Row],[القيمة المضافة ]]</f>
        <v>98838</v>
      </c>
      <c r="J19" s="9">
        <v>46048</v>
      </c>
      <c r="K19" s="7" t="s">
        <v>35</v>
      </c>
      <c r="L19" s="7">
        <v>16012026</v>
      </c>
      <c r="M19" s="7">
        <v>29</v>
      </c>
      <c r="N19" s="8">
        <v>3000</v>
      </c>
      <c r="O19" s="7">
        <v>36</v>
      </c>
      <c r="P19" s="7">
        <f>Table1[[#This Row],[السعر2]]*Table1[[#This Row],[الكمية]]</f>
        <v>108000</v>
      </c>
      <c r="Q19" s="7">
        <f>Table1[[#This Row],[الكمية]]*Table1[[#This Row],[السعر2]]*0.14</f>
        <v>15120.000000000002</v>
      </c>
      <c r="R19" s="7">
        <f>Table1[[#This Row],[الكمية]]*Table1[[#This Row],[السعر2]]+Table1[[#This Row],[القيمة المضافة]]</f>
        <v>123120</v>
      </c>
      <c r="S19" s="10"/>
      <c r="T19" s="38">
        <f>Table1[[#This Row],[الكمية ]]-Table1[[#This Row],[الكمية]]</f>
        <v>0</v>
      </c>
    </row>
    <row r="20" spans="1:20" ht="18.5" x14ac:dyDescent="0.45">
      <c r="A20" s="6">
        <v>46047</v>
      </c>
      <c r="B20" s="7">
        <v>641</v>
      </c>
      <c r="C20" s="7" t="s">
        <v>19</v>
      </c>
      <c r="D20" s="7" t="s">
        <v>36</v>
      </c>
      <c r="E20" s="8">
        <v>3000</v>
      </c>
      <c r="F20" s="7">
        <v>28.9</v>
      </c>
      <c r="G20" s="8">
        <f>Table1[[#This Row],[الكمية ]]*Table1[[#This Row],[السعر]]</f>
        <v>86700</v>
      </c>
      <c r="H20" s="8">
        <f>Table1[[#This Row],[الكمية ]]*Table1[[#This Row],[السعر]]*0.14</f>
        <v>12138.000000000002</v>
      </c>
      <c r="I20" s="8">
        <f>Table1[[#This Row],[الكمية ]]*Table1[[#This Row],[السعر]]+Table1[[#This Row],[القيمة المضافة ]]</f>
        <v>98838</v>
      </c>
      <c r="J20" s="9">
        <v>46057</v>
      </c>
      <c r="K20" s="7" t="s">
        <v>35</v>
      </c>
      <c r="L20" s="7">
        <v>17012026</v>
      </c>
      <c r="M20" s="7">
        <v>30</v>
      </c>
      <c r="N20" s="8">
        <v>3000</v>
      </c>
      <c r="O20" s="7">
        <v>36</v>
      </c>
      <c r="P20" s="7">
        <f>Table1[[#This Row],[السعر2]]*Table1[[#This Row],[الكمية]]</f>
        <v>108000</v>
      </c>
      <c r="Q20" s="7">
        <f>Table1[[#This Row],[الكمية]]*Table1[[#This Row],[السعر2]]*0.14</f>
        <v>15120.000000000002</v>
      </c>
      <c r="R20" s="7">
        <f>Table1[[#This Row],[الكمية]]*Table1[[#This Row],[السعر2]]+Table1[[#This Row],[القيمة المضافة]]</f>
        <v>123120</v>
      </c>
      <c r="S20" s="10"/>
      <c r="T20" s="38">
        <f>Table1[[#This Row],[الكمية ]]-Table1[[#This Row],[الكمية]]</f>
        <v>0</v>
      </c>
    </row>
    <row r="21" spans="1:20" ht="18.5" x14ac:dyDescent="0.45">
      <c r="A21" s="6">
        <v>46047</v>
      </c>
      <c r="B21" s="7">
        <v>14628</v>
      </c>
      <c r="C21" s="7" t="s">
        <v>14</v>
      </c>
      <c r="D21" s="7" t="s">
        <v>15</v>
      </c>
      <c r="E21" s="8">
        <v>28800</v>
      </c>
      <c r="F21" s="7">
        <v>9</v>
      </c>
      <c r="G21" s="8">
        <f>Table1[[#This Row],[الكمية ]]*Table1[[#This Row],[السعر]]</f>
        <v>259200</v>
      </c>
      <c r="H21" s="8">
        <f>Table1[[#This Row],[الكمية ]]*Table1[[#This Row],[السعر]]*0.14</f>
        <v>36288</v>
      </c>
      <c r="I21" s="8">
        <f>Table1[[#This Row],[الكمية ]]*Table1[[#This Row],[السعر]]+Table1[[#This Row],[القيمة المضافة ]]</f>
        <v>295488</v>
      </c>
      <c r="J21" s="9">
        <v>46048</v>
      </c>
      <c r="K21" s="7" t="s">
        <v>35</v>
      </c>
      <c r="L21" s="7">
        <v>15012026</v>
      </c>
      <c r="M21" s="7">
        <v>28</v>
      </c>
      <c r="N21" s="8">
        <v>28800</v>
      </c>
      <c r="O21" s="7">
        <v>10.5</v>
      </c>
      <c r="P21" s="7">
        <f>Table1[[#This Row],[السعر2]]*Table1[[#This Row],[الكمية]]</f>
        <v>302400</v>
      </c>
      <c r="Q21" s="7">
        <f>Table1[[#This Row],[الكمية]]*Table1[[#This Row],[السعر2]]*0.14</f>
        <v>42336.000000000007</v>
      </c>
      <c r="R21" s="7">
        <f>Table1[[#This Row],[الكمية]]*Table1[[#This Row],[السعر2]]+Table1[[#This Row],[القيمة المضافة]]</f>
        <v>344736</v>
      </c>
      <c r="S21" s="10" t="s">
        <v>37</v>
      </c>
      <c r="T21" s="38">
        <f>Table1[[#This Row],[الكمية ]]-Table1[[#This Row],[الكمية]]</f>
        <v>0</v>
      </c>
    </row>
    <row r="22" spans="1:20" ht="18.5" x14ac:dyDescent="0.45">
      <c r="A22" s="6">
        <v>46048</v>
      </c>
      <c r="B22" s="7">
        <v>14628</v>
      </c>
      <c r="C22" s="7" t="s">
        <v>14</v>
      </c>
      <c r="D22" s="7" t="s">
        <v>15</v>
      </c>
      <c r="E22" s="8">
        <v>2058</v>
      </c>
      <c r="F22" s="7">
        <v>9</v>
      </c>
      <c r="G22" s="8">
        <f>Table1[[#This Row],[الكمية ]]*Table1[[#This Row],[السعر]]</f>
        <v>18522</v>
      </c>
      <c r="H22" s="8">
        <f>Table1[[#This Row],[الكمية ]]*Table1[[#This Row],[السعر]]*0.14</f>
        <v>2593.0800000000004</v>
      </c>
      <c r="I22" s="8">
        <f>Table1[[#This Row],[الكمية ]]*Table1[[#This Row],[السعر]]+Table1[[#This Row],[القيمة المضافة ]]</f>
        <v>21115.08</v>
      </c>
      <c r="J22" s="9">
        <v>46048</v>
      </c>
      <c r="K22" s="7" t="s">
        <v>35</v>
      </c>
      <c r="L22" s="7"/>
      <c r="M22" s="7">
        <v>28</v>
      </c>
      <c r="N22" s="8">
        <v>2085</v>
      </c>
      <c r="O22" s="7">
        <v>10.5</v>
      </c>
      <c r="P22" s="7">
        <f>Table1[[#This Row],[السعر2]]*Table1[[#This Row],[الكمية]]</f>
        <v>21892.5</v>
      </c>
      <c r="Q22" s="7">
        <f>Table1[[#This Row],[الكمية]]*Table1[[#This Row],[السعر2]]*0.14</f>
        <v>3064.9500000000003</v>
      </c>
      <c r="R22" s="7">
        <f>Table1[[#This Row],[الكمية]]*Table1[[#This Row],[السعر2]]+Table1[[#This Row],[القيمة المضافة]]</f>
        <v>24957.45</v>
      </c>
      <c r="S22" s="10" t="s">
        <v>37</v>
      </c>
      <c r="T22" s="38">
        <f>Table1[[#This Row],[الكمية ]]-Table1[[#This Row],[الكمية]]</f>
        <v>-27</v>
      </c>
    </row>
    <row r="23" spans="1:20" ht="18.5" x14ac:dyDescent="0.45">
      <c r="A23" s="6">
        <v>46051</v>
      </c>
      <c r="B23" s="7">
        <v>645</v>
      </c>
      <c r="C23" s="7" t="s">
        <v>19</v>
      </c>
      <c r="D23" s="7" t="s">
        <v>33</v>
      </c>
      <c r="E23" s="8">
        <v>620</v>
      </c>
      <c r="F23" s="7">
        <v>28.9</v>
      </c>
      <c r="G23" s="8">
        <f>Table1[[#This Row],[الكمية ]]*Table1[[#This Row],[السعر]]</f>
        <v>17918</v>
      </c>
      <c r="H23" s="8">
        <f>Table1[[#This Row],[الكمية ]]*Table1[[#This Row],[السعر]]*0.14</f>
        <v>2508.5200000000004</v>
      </c>
      <c r="I23" s="8">
        <f>Table1[[#This Row],[الكمية ]]*Table1[[#This Row],[السعر]]+Table1[[#This Row],[القيمة المضافة ]]</f>
        <v>20426.52</v>
      </c>
      <c r="J23" s="9">
        <v>46057</v>
      </c>
      <c r="K23" s="7" t="s">
        <v>21</v>
      </c>
      <c r="L23" s="7">
        <v>19012026</v>
      </c>
      <c r="M23" s="7">
        <v>32</v>
      </c>
      <c r="N23" s="8">
        <v>620</v>
      </c>
      <c r="O23" s="7">
        <v>36</v>
      </c>
      <c r="P23" s="7">
        <f>Table1[[#This Row],[السعر2]]*Table1[[#This Row],[الكمية]]</f>
        <v>22320</v>
      </c>
      <c r="Q23" s="7">
        <v>0</v>
      </c>
      <c r="R23" s="7">
        <f>Table1[[#This Row],[الكمية]]*Table1[[#This Row],[السعر2]]+Table1[[#This Row],[القيمة المضافة]]</f>
        <v>22320</v>
      </c>
      <c r="S23" s="10"/>
      <c r="T23" s="38">
        <f>Table1[[#This Row],[الكمية ]]-Table1[[#This Row],[الكمية]]</f>
        <v>0</v>
      </c>
    </row>
    <row r="24" spans="1:20" ht="18.5" x14ac:dyDescent="0.45">
      <c r="A24" s="6">
        <v>46051</v>
      </c>
      <c r="B24" s="7">
        <v>645</v>
      </c>
      <c r="C24" s="7" t="s">
        <v>19</v>
      </c>
      <c r="D24" s="7" t="s">
        <v>36</v>
      </c>
      <c r="E24" s="8">
        <v>2345</v>
      </c>
      <c r="F24" s="7">
        <v>28.9</v>
      </c>
      <c r="G24" s="8">
        <f>Table1[[#This Row],[الكمية ]]*Table1[[#This Row],[السعر]]</f>
        <v>67770.5</v>
      </c>
      <c r="H24" s="8">
        <f>Table1[[#This Row],[الكمية ]]*Table1[[#This Row],[السعر]]*0.14</f>
        <v>9487.8700000000008</v>
      </c>
      <c r="I24" s="8">
        <f>Table1[[#This Row],[الكمية ]]*Table1[[#This Row],[السعر]]+Table1[[#This Row],[القيمة المضافة ]]</f>
        <v>77258.37</v>
      </c>
      <c r="J24" s="9">
        <v>46057</v>
      </c>
      <c r="K24" s="7" t="s">
        <v>35</v>
      </c>
      <c r="L24" s="7">
        <v>18012026</v>
      </c>
      <c r="M24" s="7">
        <v>31</v>
      </c>
      <c r="N24" s="8">
        <v>2345</v>
      </c>
      <c r="O24" s="7">
        <v>36</v>
      </c>
      <c r="P24" s="7">
        <f>Table1[[#This Row],[السعر2]]*Table1[[#This Row],[الكمية]]</f>
        <v>84420</v>
      </c>
      <c r="Q24" s="7">
        <f>Table1[[#This Row],[الكمية]]*Table1[[#This Row],[السعر2]]*0.14</f>
        <v>11818.800000000001</v>
      </c>
      <c r="R24" s="7">
        <f>Table1[[#This Row],[الكمية]]*Table1[[#This Row],[السعر2]]+Table1[[#This Row],[القيمة المضافة]]</f>
        <v>96238.8</v>
      </c>
      <c r="S24" s="10"/>
      <c r="T24" s="38">
        <f>Table1[[#This Row],[الكمية ]]-Table1[[#This Row],[الكمية]]</f>
        <v>0</v>
      </c>
    </row>
    <row r="25" spans="1:20" ht="18.5" x14ac:dyDescent="0.45">
      <c r="A25" s="6">
        <v>46062</v>
      </c>
      <c r="B25" s="7">
        <v>672</v>
      </c>
      <c r="C25" s="7" t="s">
        <v>19</v>
      </c>
      <c r="D25" s="7" t="s">
        <v>33</v>
      </c>
      <c r="E25" s="8">
        <v>9412</v>
      </c>
      <c r="F25" s="7">
        <v>27.9</v>
      </c>
      <c r="G25" s="8">
        <f>Table1[[#This Row],[الكمية ]]*Table1[[#This Row],[السعر]]</f>
        <v>262594.8</v>
      </c>
      <c r="H25" s="8">
        <f>Table1[[#This Row],[الكمية ]]*Table1[[#This Row],[السعر]]*0.14</f>
        <v>36763.272000000004</v>
      </c>
      <c r="I25" s="8">
        <f>Table1[[#This Row],[الكمية ]]*Table1[[#This Row],[السعر]]+Table1[[#This Row],[القيمة المضافة ]]</f>
        <v>299358.07199999999</v>
      </c>
      <c r="J25" s="9">
        <v>46069</v>
      </c>
      <c r="K25" s="7" t="s">
        <v>21</v>
      </c>
      <c r="L25" s="7"/>
      <c r="M25" s="7" t="s">
        <v>39</v>
      </c>
      <c r="N25" s="8">
        <f>4800+4612</f>
        <v>9412</v>
      </c>
      <c r="O25" s="7">
        <v>36</v>
      </c>
      <c r="P25" s="7">
        <f>Table1[[#This Row],[السعر2]]*Table1[[#This Row],[الكمية]]</f>
        <v>338832</v>
      </c>
      <c r="Q25" s="7"/>
      <c r="R25" s="7">
        <f>Table1[[#This Row],[الكمية]]*Table1[[#This Row],[السعر2]]+Table1[[#This Row],[القيمة المضافة]]</f>
        <v>338832</v>
      </c>
      <c r="S25" s="10"/>
      <c r="T25" s="38">
        <f>Table1[[#This Row],[الكمية ]]-Table1[[#This Row],[الكمية]]</f>
        <v>0</v>
      </c>
    </row>
    <row r="26" spans="1:20" ht="18.5" x14ac:dyDescent="0.45">
      <c r="A26" s="6">
        <v>46062</v>
      </c>
      <c r="B26" s="7">
        <v>672</v>
      </c>
      <c r="C26" s="7" t="s">
        <v>19</v>
      </c>
      <c r="D26" s="7" t="s">
        <v>36</v>
      </c>
      <c r="E26" s="8">
        <v>545</v>
      </c>
      <c r="F26" s="7">
        <v>28.9</v>
      </c>
      <c r="G26" s="8">
        <f>Table1[[#This Row],[الكمية ]]*Table1[[#This Row],[السعر]]</f>
        <v>15750.5</v>
      </c>
      <c r="H26" s="8">
        <f>Table1[[#This Row],[الكمية ]]*Table1[[#This Row],[السعر]]*0.14</f>
        <v>2205.0700000000002</v>
      </c>
      <c r="I26" s="8">
        <f>Table1[[#This Row],[الكمية ]]*Table1[[#This Row],[السعر]]+Table1[[#This Row],[القيمة المضافة ]]</f>
        <v>17955.57</v>
      </c>
      <c r="J26" s="9">
        <v>46069</v>
      </c>
      <c r="K26" s="7" t="s">
        <v>35</v>
      </c>
      <c r="L26" s="7">
        <v>2022026</v>
      </c>
      <c r="M26" s="7">
        <v>34</v>
      </c>
      <c r="N26" s="8">
        <v>545</v>
      </c>
      <c r="O26" s="7">
        <v>36</v>
      </c>
      <c r="P26" s="7">
        <f>Table1[[#This Row],[السعر2]]*Table1[[#This Row],[الكمية]]</f>
        <v>19620</v>
      </c>
      <c r="Q26" s="7">
        <f>Table1[[#This Row],[الكمية]]*Table1[[#This Row],[السعر2]]*0.14</f>
        <v>2746.8</v>
      </c>
      <c r="R26" s="7">
        <f>Table1[[#This Row],[الكمية]]*Table1[[#This Row],[السعر2]]+Table1[[#This Row],[القيمة المضافة]]</f>
        <v>22366.799999999999</v>
      </c>
      <c r="S26" s="10"/>
      <c r="T26" s="38">
        <f>Table1[[#This Row],[الكمية ]]-Table1[[#This Row],[الكمية]]</f>
        <v>0</v>
      </c>
    </row>
    <row r="27" spans="1:20" ht="18.5" x14ac:dyDescent="0.45">
      <c r="A27" s="6">
        <v>46062</v>
      </c>
      <c r="B27" s="7">
        <v>672</v>
      </c>
      <c r="C27" s="7" t="s">
        <v>19</v>
      </c>
      <c r="D27" s="7" t="s">
        <v>16</v>
      </c>
      <c r="E27" s="8">
        <v>7537</v>
      </c>
      <c r="F27" s="7">
        <v>27</v>
      </c>
      <c r="G27" s="8">
        <f>Table1[[#This Row],[الكمية ]]*Table1[[#This Row],[السعر]]</f>
        <v>203499</v>
      </c>
      <c r="H27" s="8">
        <f>Table1[[#This Row],[الكمية ]]*Table1[[#This Row],[السعر]]*0.14</f>
        <v>28489.860000000004</v>
      </c>
      <c r="I27" s="8">
        <f>Table1[[#This Row],[الكمية ]]*Table1[[#This Row],[السعر]]+Table1[[#This Row],[القيمة المضافة ]]</f>
        <v>231988.86000000002</v>
      </c>
      <c r="J27" s="9">
        <v>46069</v>
      </c>
      <c r="K27" s="7" t="s">
        <v>21</v>
      </c>
      <c r="L27" s="7"/>
      <c r="M27" s="7">
        <v>33</v>
      </c>
      <c r="N27" s="8">
        <v>7537</v>
      </c>
      <c r="O27" s="7">
        <v>32</v>
      </c>
      <c r="P27" s="7">
        <f>Table1[[#This Row],[السعر2]]*Table1[[#This Row],[الكمية]]</f>
        <v>241184</v>
      </c>
      <c r="Q27" s="7">
        <v>0</v>
      </c>
      <c r="R27" s="7">
        <f>Table1[[#This Row],[الكمية]]*Table1[[#This Row],[السعر2]]+Table1[[#This Row],[القيمة المضافة]]</f>
        <v>241184</v>
      </c>
      <c r="S27" s="10"/>
      <c r="T27" s="38">
        <f>Table1[[#This Row],[الكمية ]]-Table1[[#This Row],[الكمية]]</f>
        <v>0</v>
      </c>
    </row>
    <row r="28" spans="1:20" ht="18.5" x14ac:dyDescent="0.45">
      <c r="A28" s="6">
        <v>46072</v>
      </c>
      <c r="B28" s="7">
        <v>689</v>
      </c>
      <c r="C28" s="7" t="s">
        <v>19</v>
      </c>
      <c r="D28" s="7" t="s">
        <v>16</v>
      </c>
      <c r="E28" s="8">
        <v>3250</v>
      </c>
      <c r="F28" s="7">
        <v>27</v>
      </c>
      <c r="G28" s="8">
        <f>Table1[[#This Row],[الكمية ]]*Table1[[#This Row],[السعر]]</f>
        <v>87750</v>
      </c>
      <c r="H28" s="8">
        <f>Table1[[#This Row],[الكمية ]]*Table1[[#This Row],[السعر]]*0.14</f>
        <v>12285.000000000002</v>
      </c>
      <c r="I28" s="8">
        <f>Table1[[#This Row],[الكمية ]]*Table1[[#This Row],[السعر]]+Table1[[#This Row],[القيمة المضافة ]]</f>
        <v>100035</v>
      </c>
      <c r="J28" s="9">
        <v>46079</v>
      </c>
      <c r="K28" s="7" t="s">
        <v>21</v>
      </c>
      <c r="L28" s="7">
        <v>5022026</v>
      </c>
      <c r="M28" s="7">
        <v>36</v>
      </c>
      <c r="N28" s="8">
        <v>3250</v>
      </c>
      <c r="O28" s="7">
        <v>32</v>
      </c>
      <c r="P28" s="7">
        <f>Table1[[#This Row],[السعر2]]*Table1[[#This Row],[الكمية]]</f>
        <v>104000</v>
      </c>
      <c r="Q28" s="7">
        <v>0</v>
      </c>
      <c r="R28" s="7">
        <f>Table1[[#This Row],[الكمية]]*Table1[[#This Row],[السعر2]]+Table1[[#This Row],[القيمة المضافة]]</f>
        <v>104000</v>
      </c>
      <c r="S28" s="10"/>
      <c r="T28" s="38">
        <f>Table1[[#This Row],[الكمية ]]-Table1[[#This Row],[الكمية]]</f>
        <v>0</v>
      </c>
    </row>
    <row r="29" spans="1:20" ht="18.5" x14ac:dyDescent="0.45">
      <c r="A29" s="6">
        <v>46072</v>
      </c>
      <c r="B29" s="7">
        <v>689</v>
      </c>
      <c r="C29" s="7" t="s">
        <v>19</v>
      </c>
      <c r="D29" s="7" t="s">
        <v>36</v>
      </c>
      <c r="E29" s="8">
        <v>5400</v>
      </c>
      <c r="F29" s="7">
        <v>27.9</v>
      </c>
      <c r="G29" s="8">
        <f>Table1[[#This Row],[الكمية ]]*Table1[[#This Row],[السعر]]</f>
        <v>150660</v>
      </c>
      <c r="H29" s="8">
        <f>Table1[[#This Row],[الكمية ]]*Table1[[#This Row],[السعر]]*0.14</f>
        <v>21092.400000000001</v>
      </c>
      <c r="I29" s="8">
        <f>Table1[[#This Row],[الكمية ]]*Table1[[#This Row],[السعر]]+Table1[[#This Row],[القيمة المضافة ]]</f>
        <v>171752.4</v>
      </c>
      <c r="J29" s="9">
        <v>46079</v>
      </c>
      <c r="K29" s="7" t="s">
        <v>35</v>
      </c>
      <c r="L29" s="7"/>
      <c r="M29" s="7">
        <v>37</v>
      </c>
      <c r="N29" s="8">
        <v>5400</v>
      </c>
      <c r="O29" s="7">
        <v>36</v>
      </c>
      <c r="P29" s="7">
        <f>Table1[[#This Row],[السعر2]]*Table1[[#This Row],[الكمية]]</f>
        <v>194400</v>
      </c>
      <c r="Q29" s="7">
        <f>Table1[[#This Row],[الكمية]]*Table1[[#This Row],[السعر2]]*0.14</f>
        <v>27216.000000000004</v>
      </c>
      <c r="R29" s="7">
        <f>Table1[[#This Row],[الكمية]]*Table1[[#This Row],[السعر2]]+Table1[[#This Row],[القيمة المضافة]]</f>
        <v>221616</v>
      </c>
      <c r="S29" s="10"/>
      <c r="T29" s="38">
        <f>Table1[[#This Row],[الكمية ]]-Table1[[#This Row],[الكمية]]</f>
        <v>0</v>
      </c>
    </row>
    <row r="30" spans="1:20" ht="18.5" x14ac:dyDescent="0.45">
      <c r="A30" s="6">
        <v>46075</v>
      </c>
      <c r="B30" s="7">
        <v>697</v>
      </c>
      <c r="C30" s="7" t="s">
        <v>19</v>
      </c>
      <c r="D30" s="7" t="s">
        <v>36</v>
      </c>
      <c r="E30" s="8">
        <v>4800</v>
      </c>
      <c r="F30" s="7">
        <v>27.9</v>
      </c>
      <c r="G30" s="8">
        <f>Table1[[#This Row],[الكمية ]]*Table1[[#This Row],[السعر]]</f>
        <v>133920</v>
      </c>
      <c r="H30" s="8">
        <f>Table1[[#This Row],[الكمية ]]*Table1[[#This Row],[السعر]]*0.14</f>
        <v>18748.800000000003</v>
      </c>
      <c r="I30" s="8">
        <f>Table1[[#This Row],[الكمية ]]*Table1[[#This Row],[السعر]]+Table1[[#This Row],[القيمة المضافة ]]</f>
        <v>152668.79999999999</v>
      </c>
      <c r="J30" s="9">
        <v>46079</v>
      </c>
      <c r="K30" s="7" t="s">
        <v>35</v>
      </c>
      <c r="L30" s="7">
        <v>4022026</v>
      </c>
      <c r="M30" s="7">
        <v>38</v>
      </c>
      <c r="N30" s="8">
        <v>4800</v>
      </c>
      <c r="O30" s="7">
        <v>36</v>
      </c>
      <c r="P30" s="7">
        <f>Table1[[#This Row],[السعر2]]*Table1[[#This Row],[الكمية]]</f>
        <v>172800</v>
      </c>
      <c r="Q30" s="7">
        <f>Table1[[#This Row],[الكمية]]*Table1[[#This Row],[السعر2]]*0.14</f>
        <v>24192.000000000004</v>
      </c>
      <c r="R30" s="7">
        <f>Table1[[#This Row],[الكمية]]*Table1[[#This Row],[السعر2]]+Table1[[#This Row],[القيمة المضافة]]</f>
        <v>196992</v>
      </c>
      <c r="S30" s="10"/>
      <c r="T30" s="38">
        <f>Table1[[#This Row],[الكمية ]]-Table1[[#This Row],[الكمية]]</f>
        <v>0</v>
      </c>
    </row>
    <row r="31" spans="1:20" s="27" customFormat="1" ht="18.5" x14ac:dyDescent="0.45">
      <c r="A31" s="22">
        <v>46086</v>
      </c>
      <c r="B31" s="23">
        <v>15014</v>
      </c>
      <c r="C31" s="23" t="s">
        <v>14</v>
      </c>
      <c r="D31" s="23" t="s">
        <v>42</v>
      </c>
      <c r="E31" s="24">
        <v>3600</v>
      </c>
      <c r="F31" s="23">
        <v>17.5</v>
      </c>
      <c r="G31" s="24">
        <f>Table1[[#This Row],[الكمية ]]*Table1[[#This Row],[السعر]]</f>
        <v>63000</v>
      </c>
      <c r="H31" s="24">
        <f>Table1[[#This Row],[الكمية ]]*Table1[[#This Row],[السعر]]*0.14</f>
        <v>8820</v>
      </c>
      <c r="I31" s="24">
        <f>Table1[[#This Row],[الكمية ]]*Table1[[#This Row],[السعر]]+Table1[[#This Row],[القيمة المضافة ]]</f>
        <v>71820</v>
      </c>
      <c r="J31" s="25">
        <v>46156.619687500002</v>
      </c>
      <c r="K31" s="23" t="s">
        <v>66</v>
      </c>
      <c r="L31" s="23"/>
      <c r="M31" s="23">
        <v>56</v>
      </c>
      <c r="N31" s="24">
        <v>3600</v>
      </c>
      <c r="O31" s="23">
        <v>16</v>
      </c>
      <c r="P31" s="23">
        <f>Table1[[#This Row],[السعر2]]*Table1[[#This Row],[الكمية]]</f>
        <v>57600</v>
      </c>
      <c r="Q31" s="23">
        <f>Table1[[#This Row],[الكمية]]*Table1[[#This Row],[السعر2]]*0.14</f>
        <v>8064.0000000000009</v>
      </c>
      <c r="R31" s="23">
        <f>Table1[[#This Row],[الكمية]]*Table1[[#This Row],[السعر2]]+Table1[[#This Row],[القيمة المضافة]]</f>
        <v>65664</v>
      </c>
      <c r="S31" s="26"/>
      <c r="T31" s="36">
        <f>Table1[[#This Row],[الكمية ]]-Table1[[#This Row],[الكمية]]</f>
        <v>0</v>
      </c>
    </row>
    <row r="32" spans="1:20" s="27" customFormat="1" ht="18.5" x14ac:dyDescent="0.45">
      <c r="A32" s="22">
        <v>46086</v>
      </c>
      <c r="B32" s="23">
        <v>15014</v>
      </c>
      <c r="C32" s="23" t="s">
        <v>14</v>
      </c>
      <c r="D32" s="23" t="s">
        <v>42</v>
      </c>
      <c r="E32" s="24">
        <v>1566</v>
      </c>
      <c r="F32" s="23">
        <v>17.5</v>
      </c>
      <c r="G32" s="24">
        <f>Table1[[#This Row],[الكمية ]]*Table1[[#This Row],[السعر]]</f>
        <v>27405</v>
      </c>
      <c r="H32" s="24">
        <f>Table1[[#This Row],[الكمية ]]*Table1[[#This Row],[السعر]]*0.14</f>
        <v>3836.7000000000003</v>
      </c>
      <c r="I32" s="24">
        <f>Table1[[#This Row],[الكمية ]]*Table1[[#This Row],[السعر]]+Table1[[#This Row],[القيمة المضافة ]]</f>
        <v>31241.7</v>
      </c>
      <c r="J32" s="25">
        <v>46156.619687500002</v>
      </c>
      <c r="K32" s="23" t="s">
        <v>66</v>
      </c>
      <c r="L32" s="23"/>
      <c r="M32" s="23">
        <v>56</v>
      </c>
      <c r="N32" s="24">
        <v>1470</v>
      </c>
      <c r="O32" s="23">
        <v>16</v>
      </c>
      <c r="P32" s="23">
        <f>Table1[[#This Row],[السعر2]]*Table1[[#This Row],[الكمية]]</f>
        <v>23520</v>
      </c>
      <c r="Q32" s="23">
        <f>Table1[[#This Row],[الكمية]]*Table1[[#This Row],[السعر2]]*0.14</f>
        <v>3292.8</v>
      </c>
      <c r="R32" s="23">
        <f>Table1[[#This Row],[الكمية]]*Table1[[#This Row],[السعر2]]+Table1[[#This Row],[القيمة المضافة]]</f>
        <v>26812.799999999999</v>
      </c>
      <c r="S32" s="26"/>
      <c r="T32" s="36">
        <f>Table1[[#This Row],[الكمية ]]-Table1[[#This Row],[الكمية]]</f>
        <v>96</v>
      </c>
    </row>
    <row r="33" spans="1:20" s="27" customFormat="1" ht="18.5" x14ac:dyDescent="0.45">
      <c r="A33" s="22"/>
      <c r="B33" s="23"/>
      <c r="C33" s="23"/>
      <c r="D33" s="23"/>
      <c r="E33" s="24"/>
      <c r="F33" s="23"/>
      <c r="G33" s="24">
        <f>Table1[[#This Row],[الكمية ]]*Table1[[#This Row],[السعر]]</f>
        <v>0</v>
      </c>
      <c r="H33" s="24">
        <f>Table1[[#This Row],[الكمية ]]*Table1[[#This Row],[السعر]]*0.14</f>
        <v>0</v>
      </c>
      <c r="I33" s="24">
        <f>Table1[[#This Row],[الكمية ]]*Table1[[#This Row],[السعر]]+Table1[[#This Row],[القيمة المضافة ]]</f>
        <v>0</v>
      </c>
      <c r="J33" s="25"/>
      <c r="K33" s="23" t="s">
        <v>66</v>
      </c>
      <c r="L33" s="23"/>
      <c r="M33" s="23">
        <v>56</v>
      </c>
      <c r="N33" s="24">
        <v>96</v>
      </c>
      <c r="O33" s="23"/>
      <c r="P33" s="23">
        <f>Table1[[#This Row],[السعر2]]*Table1[[#This Row],[الكمية]]</f>
        <v>0</v>
      </c>
      <c r="Q33" s="23">
        <f>Table1[[#This Row],[الكمية]]*Table1[[#This Row],[السعر2]]*0.14</f>
        <v>0</v>
      </c>
      <c r="R33" s="23">
        <f>Table1[[#This Row],[الكمية]]*Table1[[#This Row],[السعر2]]+Table1[[#This Row],[القيمة المضافة]]</f>
        <v>0</v>
      </c>
      <c r="S33" s="26"/>
      <c r="T33" s="36">
        <f>Table1[[#This Row],[الكمية ]]-Table1[[#This Row],[الكمية]]</f>
        <v>-96</v>
      </c>
    </row>
    <row r="34" spans="1:20" ht="18.5" x14ac:dyDescent="0.45">
      <c r="A34" s="6">
        <v>46099</v>
      </c>
      <c r="B34" s="7">
        <v>15132</v>
      </c>
      <c r="C34" s="7" t="s">
        <v>14</v>
      </c>
      <c r="D34" s="7" t="s">
        <v>18</v>
      </c>
      <c r="E34" s="8">
        <v>28800</v>
      </c>
      <c r="F34" s="7">
        <v>9.25</v>
      </c>
      <c r="G34" s="8">
        <f>Table1[[#This Row],[الكمية ]]*Table1[[#This Row],[السعر]]</f>
        <v>266400</v>
      </c>
      <c r="H34" s="8">
        <f>Table1[[#This Row],[الكمية ]]*Table1[[#This Row],[السعر]]*0.14</f>
        <v>37296</v>
      </c>
      <c r="I34" s="8">
        <f>Table1[[#This Row],[الكمية ]]*Table1[[#This Row],[السعر]]+Table1[[#This Row],[القيمة المضافة ]]</f>
        <v>303696</v>
      </c>
      <c r="J34" s="9">
        <v>46110</v>
      </c>
      <c r="K34" s="7" t="s">
        <v>21</v>
      </c>
      <c r="L34" s="7">
        <v>1032026</v>
      </c>
      <c r="M34" s="7">
        <v>39</v>
      </c>
      <c r="N34" s="8">
        <v>28800</v>
      </c>
      <c r="O34" s="7">
        <v>11</v>
      </c>
      <c r="P34" s="7">
        <f>Table1[[#This Row],[السعر2]]*Table1[[#This Row],[الكمية]]</f>
        <v>316800</v>
      </c>
      <c r="Q34" s="7">
        <v>0</v>
      </c>
      <c r="R34" s="7">
        <f>Table1[[#This Row],[الكمية]]*Table1[[#This Row],[السعر2]]+Table1[[#This Row],[القيمة المضافة]]</f>
        <v>316800</v>
      </c>
      <c r="S34" s="10"/>
      <c r="T34" s="38">
        <f>Table1[[#This Row],[الكمية ]]-Table1[[#This Row],[الكمية]]</f>
        <v>0</v>
      </c>
    </row>
    <row r="35" spans="1:20" ht="18.5" x14ac:dyDescent="0.45">
      <c r="A35" s="6">
        <v>46099</v>
      </c>
      <c r="B35" s="7">
        <v>15132</v>
      </c>
      <c r="C35" s="7" t="s">
        <v>14</v>
      </c>
      <c r="D35" s="7" t="s">
        <v>18</v>
      </c>
      <c r="E35" s="8">
        <v>1050</v>
      </c>
      <c r="F35" s="7">
        <v>9.25</v>
      </c>
      <c r="G35" s="8">
        <f>Table1[[#This Row],[الكمية ]]*Table1[[#This Row],[السعر]]</f>
        <v>9712.5</v>
      </c>
      <c r="H35" s="8">
        <f>Table1[[#This Row],[الكمية ]]*Table1[[#This Row],[السعر]]*0.14</f>
        <v>1359.7500000000002</v>
      </c>
      <c r="I35" s="8">
        <f>Table1[[#This Row],[الكمية ]]*Table1[[#This Row],[السعر]]+Table1[[#This Row],[القيمة المضافة ]]</f>
        <v>11072.25</v>
      </c>
      <c r="J35" s="9">
        <v>46110</v>
      </c>
      <c r="K35" s="7" t="s">
        <v>21</v>
      </c>
      <c r="L35" s="7">
        <v>1032026</v>
      </c>
      <c r="M35" s="7">
        <v>39</v>
      </c>
      <c r="N35" s="8">
        <v>1050</v>
      </c>
      <c r="O35" s="7">
        <v>11</v>
      </c>
      <c r="P35" s="7">
        <f>Table1[[#This Row],[السعر2]]*Table1[[#This Row],[الكمية]]</f>
        <v>11550</v>
      </c>
      <c r="Q35" s="7">
        <v>0</v>
      </c>
      <c r="R35" s="7">
        <f>Table1[[#This Row],[الكمية]]*Table1[[#This Row],[السعر2]]+Table1[[#This Row],[القيمة المضافة]]</f>
        <v>11550</v>
      </c>
      <c r="S35" s="10"/>
      <c r="T35" s="38">
        <f>Table1[[#This Row],[الكمية ]]-Table1[[#This Row],[الكمية]]</f>
        <v>0</v>
      </c>
    </row>
    <row r="36" spans="1:20" ht="18.5" x14ac:dyDescent="0.45">
      <c r="A36" s="11">
        <v>46099</v>
      </c>
      <c r="B36" s="12">
        <v>15132</v>
      </c>
      <c r="C36" s="12" t="s">
        <v>14</v>
      </c>
      <c r="D36" s="12" t="s">
        <v>18</v>
      </c>
      <c r="E36" s="13">
        <v>9318</v>
      </c>
      <c r="F36" s="12">
        <v>9.25</v>
      </c>
      <c r="G36" s="13">
        <f>Table1[[#This Row],[الكمية ]]*Table1[[#This Row],[السعر]]</f>
        <v>86191.5</v>
      </c>
      <c r="H36" s="13">
        <f>Table1[[#This Row],[الكمية ]]*Table1[[#This Row],[السعر]]*0.14</f>
        <v>12066.810000000001</v>
      </c>
      <c r="I36" s="13">
        <f>Table1[[#This Row],[الكمية ]]*Table1[[#This Row],[السعر]]+Table1[[#This Row],[القيمة المضافة ]]</f>
        <v>98258.31</v>
      </c>
      <c r="J36" s="14">
        <v>46110</v>
      </c>
      <c r="K36" s="12" t="s">
        <v>35</v>
      </c>
      <c r="L36" s="12">
        <v>2032026</v>
      </c>
      <c r="M36" s="12">
        <v>40</v>
      </c>
      <c r="N36" s="13">
        <v>9318</v>
      </c>
      <c r="O36" s="12">
        <v>11</v>
      </c>
      <c r="P36" s="12">
        <f>Table1[[#This Row],[السعر2]]*Table1[[#This Row],[الكمية]]</f>
        <v>102498</v>
      </c>
      <c r="Q36" s="12">
        <f>Table1[[#This Row],[الكمية]]*Table1[[#This Row],[السعر2]]*0.14</f>
        <v>14349.720000000001</v>
      </c>
      <c r="R36" s="12">
        <f>Table1[[#This Row],[الكمية]]*Table1[[#This Row],[السعر2]]+Table1[[#This Row],[القيمة المضافة]]</f>
        <v>116847.72</v>
      </c>
      <c r="S36" s="15"/>
      <c r="T36" s="38">
        <f>Table1[[#This Row],[الكمية ]]-Table1[[#This Row],[الكمية]]</f>
        <v>0</v>
      </c>
    </row>
    <row r="37" spans="1:20" ht="18.5" x14ac:dyDescent="0.45">
      <c r="A37" s="11">
        <v>46112</v>
      </c>
      <c r="B37" s="12">
        <v>15208</v>
      </c>
      <c r="C37" s="12" t="s">
        <v>14</v>
      </c>
      <c r="D37" s="12" t="s">
        <v>18</v>
      </c>
      <c r="E37" s="13">
        <v>18000</v>
      </c>
      <c r="F37" s="12">
        <v>9.25</v>
      </c>
      <c r="G37" s="13">
        <f>Table1[[#This Row],[الكمية ]]*Table1[[#This Row],[السعر]]</f>
        <v>166500</v>
      </c>
      <c r="H37" s="13">
        <f>Table1[[#This Row],[الكمية ]]*Table1[[#This Row],[السعر]]*0.14</f>
        <v>23310.000000000004</v>
      </c>
      <c r="I37" s="13">
        <f>Table1[[#This Row],[الكمية ]]*Table1[[#This Row],[السعر]]+Table1[[#This Row],[القيمة المضافة ]]</f>
        <v>189810</v>
      </c>
      <c r="J37" s="14">
        <v>46120</v>
      </c>
      <c r="K37" s="12" t="s">
        <v>21</v>
      </c>
      <c r="L37" s="12">
        <v>3032026</v>
      </c>
      <c r="M37" s="12">
        <v>41</v>
      </c>
      <c r="N37" s="13">
        <v>18000</v>
      </c>
      <c r="O37" s="12">
        <v>11</v>
      </c>
      <c r="P37" s="12">
        <f>Table1[[#This Row],[السعر2]]*Table1[[#This Row],[الكمية]]</f>
        <v>198000</v>
      </c>
      <c r="Q37" s="12">
        <v>0</v>
      </c>
      <c r="R37" s="12">
        <f>Table1[[#This Row],[الكمية]]*Table1[[#This Row],[السعر2]]+Table1[[#This Row],[القيمة المضافة]]</f>
        <v>198000</v>
      </c>
      <c r="S37" s="15"/>
      <c r="T37" s="38">
        <f>Table1[[#This Row],[الكمية ]]-Table1[[#This Row],[الكمية]]</f>
        <v>0</v>
      </c>
    </row>
    <row r="38" spans="1:20" ht="18.5" x14ac:dyDescent="0.45">
      <c r="A38" s="11">
        <v>46112</v>
      </c>
      <c r="B38" s="12">
        <v>15208</v>
      </c>
      <c r="C38" s="12" t="s">
        <v>14</v>
      </c>
      <c r="D38" s="12" t="s">
        <v>18</v>
      </c>
      <c r="E38" s="13">
        <v>18000</v>
      </c>
      <c r="F38" s="12">
        <v>9.25</v>
      </c>
      <c r="G38" s="13">
        <f>Table1[[#This Row],[الكمية ]]*Table1[[#This Row],[السعر]]</f>
        <v>166500</v>
      </c>
      <c r="H38" s="13">
        <f>Table1[[#This Row],[الكمية ]]*Table1[[#This Row],[السعر]]*0.14</f>
        <v>23310.000000000004</v>
      </c>
      <c r="I38" s="13">
        <f>Table1[[#This Row],[الكمية ]]*Table1[[#This Row],[السعر]]+Table1[[#This Row],[القيمة المضافة ]]</f>
        <v>189810</v>
      </c>
      <c r="J38" s="14">
        <v>46120</v>
      </c>
      <c r="K38" s="12" t="s">
        <v>35</v>
      </c>
      <c r="L38" s="12">
        <v>4032026</v>
      </c>
      <c r="M38" s="12">
        <v>42</v>
      </c>
      <c r="N38" s="13">
        <v>18000</v>
      </c>
      <c r="O38" s="12">
        <v>11</v>
      </c>
      <c r="P38" s="12">
        <f>Table1[[#This Row],[السعر2]]*Table1[[#This Row],[الكمية]]</f>
        <v>198000</v>
      </c>
      <c r="Q38" s="12">
        <f>Table1[[#This Row],[الكمية]]*Table1[[#This Row],[السعر2]]*0.14</f>
        <v>27720.000000000004</v>
      </c>
      <c r="R38" s="12">
        <f>Table1[[#This Row],[الكمية]]*Table1[[#This Row],[السعر2]]+Table1[[#This Row],[القيمة المضافة]]</f>
        <v>225720</v>
      </c>
      <c r="S38" s="15"/>
      <c r="T38" s="38">
        <f>Table1[[#This Row],[الكمية ]]-Table1[[#This Row],[الكمية]]</f>
        <v>0</v>
      </c>
    </row>
    <row r="39" spans="1:20" ht="18.5" x14ac:dyDescent="0.45">
      <c r="A39" s="11">
        <v>46112</v>
      </c>
      <c r="B39" s="12">
        <v>15208</v>
      </c>
      <c r="C39" s="12" t="s">
        <v>14</v>
      </c>
      <c r="D39" s="12" t="s">
        <v>18</v>
      </c>
      <c r="E39" s="13">
        <v>2700</v>
      </c>
      <c r="F39" s="12">
        <v>9.25</v>
      </c>
      <c r="G39" s="13">
        <f>Table1[[#This Row],[الكمية ]]*Table1[[#This Row],[السعر]]</f>
        <v>24975</v>
      </c>
      <c r="H39" s="13">
        <f>Table1[[#This Row],[الكمية ]]*Table1[[#This Row],[السعر]]*0.14</f>
        <v>3496.5000000000005</v>
      </c>
      <c r="I39" s="13">
        <f>Table1[[#This Row],[الكمية ]]*Table1[[#This Row],[السعر]]+Table1[[#This Row],[القيمة المضافة ]]</f>
        <v>28471.5</v>
      </c>
      <c r="J39" s="14">
        <v>46120</v>
      </c>
      <c r="K39" s="12" t="s">
        <v>21</v>
      </c>
      <c r="L39" s="12">
        <v>5032026</v>
      </c>
      <c r="M39" s="12">
        <v>44</v>
      </c>
      <c r="N39" s="13">
        <v>2700</v>
      </c>
      <c r="O39" s="12">
        <v>11</v>
      </c>
      <c r="P39" s="12">
        <f>Table1[[#This Row],[السعر2]]*Table1[[#This Row],[الكمية]]</f>
        <v>29700</v>
      </c>
      <c r="Q39" s="12">
        <v>0</v>
      </c>
      <c r="R39" s="12">
        <f>Table1[[#This Row],[الكمية]]*Table1[[#This Row],[السعر2]]+Table1[[#This Row],[القيمة المضافة]]</f>
        <v>29700</v>
      </c>
      <c r="S39" s="15"/>
      <c r="T39" s="38">
        <f>Table1[[#This Row],[الكمية ]]-Table1[[#This Row],[الكمية]]</f>
        <v>0</v>
      </c>
    </row>
    <row r="40" spans="1:20" ht="18.5" x14ac:dyDescent="0.45">
      <c r="A40" s="11">
        <v>46112</v>
      </c>
      <c r="B40" s="12">
        <v>15205</v>
      </c>
      <c r="C40" s="12" t="s">
        <v>14</v>
      </c>
      <c r="D40" s="12" t="s">
        <v>18</v>
      </c>
      <c r="E40" s="13">
        <v>2279</v>
      </c>
      <c r="F40" s="12">
        <v>9.25</v>
      </c>
      <c r="G40" s="13">
        <f>Table1[[#This Row],[الكمية ]]*Table1[[#This Row],[السعر]]</f>
        <v>21080.75</v>
      </c>
      <c r="H40" s="13">
        <f>Table1[[#This Row],[الكمية ]]*Table1[[#This Row],[السعر]]*0.14</f>
        <v>2951.3050000000003</v>
      </c>
      <c r="I40" s="13">
        <f>Table1[[#This Row],[الكمية ]]*Table1[[#This Row],[السعر]]+Table1[[#This Row],[القيمة المضافة ]]</f>
        <v>24032.055</v>
      </c>
      <c r="J40" s="14">
        <v>46120</v>
      </c>
      <c r="K40" s="12" t="s">
        <v>35</v>
      </c>
      <c r="L40" s="12">
        <v>6032026</v>
      </c>
      <c r="M40" s="12">
        <v>43</v>
      </c>
      <c r="N40" s="13">
        <v>2279</v>
      </c>
      <c r="O40" s="12">
        <v>11</v>
      </c>
      <c r="P40" s="12">
        <f>Table1[[#This Row],[السعر2]]*Table1[[#This Row],[الكمية]]</f>
        <v>25069</v>
      </c>
      <c r="Q40" s="12">
        <f>Table1[[#This Row],[الكمية]]*Table1[[#This Row],[السعر2]]*0.14</f>
        <v>3509.6600000000003</v>
      </c>
      <c r="R40" s="12">
        <f>Table1[[#This Row],[الكمية]]*Table1[[#This Row],[السعر2]]+Table1[[#This Row],[القيمة المضافة]]</f>
        <v>28578.66</v>
      </c>
      <c r="S40" s="15"/>
      <c r="T40" s="38">
        <f>Table1[[#This Row],[الكمية ]]-Table1[[#This Row],[الكمية]]</f>
        <v>0</v>
      </c>
    </row>
    <row r="41" spans="1:20" ht="18.5" x14ac:dyDescent="0.45">
      <c r="A41" s="11">
        <v>46114</v>
      </c>
      <c r="B41" s="12">
        <v>15229</v>
      </c>
      <c r="C41" s="12" t="s">
        <v>14</v>
      </c>
      <c r="D41" s="12" t="s">
        <v>15</v>
      </c>
      <c r="E41" s="13">
        <v>24000</v>
      </c>
      <c r="F41" s="12">
        <v>8.75</v>
      </c>
      <c r="G41" s="13">
        <f>Table1[[#This Row],[الكمية ]]*Table1[[#This Row],[السعر]]</f>
        <v>210000</v>
      </c>
      <c r="H41" s="13">
        <f>Table1[[#This Row],[الكمية ]]*Table1[[#This Row],[السعر]]*0.14</f>
        <v>29400.000000000004</v>
      </c>
      <c r="I41" s="13">
        <f>Table1[[#This Row],[الكمية ]]*Table1[[#This Row],[السعر]]+Table1[[#This Row],[القيمة المضافة ]]</f>
        <v>239400</v>
      </c>
      <c r="J41" s="14">
        <v>46130</v>
      </c>
      <c r="K41" s="12" t="s">
        <v>21</v>
      </c>
      <c r="L41" s="12">
        <v>1042026</v>
      </c>
      <c r="M41" s="12">
        <v>45</v>
      </c>
      <c r="N41" s="13">
        <v>24000</v>
      </c>
      <c r="O41" s="12">
        <v>10.5</v>
      </c>
      <c r="P41" s="12">
        <f>Table1[[#This Row],[السعر2]]*Table1[[#This Row],[الكمية]]</f>
        <v>252000</v>
      </c>
      <c r="Q41" s="12">
        <v>0</v>
      </c>
      <c r="R41" s="12">
        <f>Table1[[#This Row],[الكمية]]*Table1[[#This Row],[السعر2]]+Table1[[#This Row],[القيمة المضافة]]</f>
        <v>252000</v>
      </c>
      <c r="S41" s="15"/>
      <c r="T41" s="38">
        <f>Table1[[#This Row],[الكمية ]]-Table1[[#This Row],[الكمية]]</f>
        <v>0</v>
      </c>
    </row>
    <row r="42" spans="1:20" ht="18.5" x14ac:dyDescent="0.45">
      <c r="A42" s="11">
        <v>46117</v>
      </c>
      <c r="B42" s="12">
        <v>15245</v>
      </c>
      <c r="C42" s="12" t="s">
        <v>14</v>
      </c>
      <c r="D42" s="12" t="s">
        <v>15</v>
      </c>
      <c r="E42" s="13">
        <v>5724</v>
      </c>
      <c r="F42" s="12">
        <v>8.75</v>
      </c>
      <c r="G42" s="13">
        <f>Table1[[#This Row],[الكمية ]]*Table1[[#This Row],[السعر]]</f>
        <v>50085</v>
      </c>
      <c r="H42" s="13">
        <f>Table1[[#This Row],[الكمية ]]*Table1[[#This Row],[السعر]]*0.14</f>
        <v>7011.9000000000005</v>
      </c>
      <c r="I42" s="13">
        <f>Table1[[#This Row],[الكمية ]]*Table1[[#This Row],[السعر]]+Table1[[#This Row],[القيمة المضافة ]]</f>
        <v>57096.9</v>
      </c>
      <c r="J42" s="14">
        <v>46130</v>
      </c>
      <c r="K42" s="12" t="s">
        <v>21</v>
      </c>
      <c r="L42" s="12">
        <v>2042026</v>
      </c>
      <c r="M42" s="12">
        <v>46</v>
      </c>
      <c r="N42" s="13">
        <v>5724</v>
      </c>
      <c r="O42" s="12">
        <v>10.5</v>
      </c>
      <c r="P42" s="12">
        <f>Table1[[#This Row],[السعر2]]*Table1[[#This Row],[الكمية]]</f>
        <v>60102</v>
      </c>
      <c r="Q42" s="12">
        <v>0</v>
      </c>
      <c r="R42" s="12">
        <f>Table1[[#This Row],[الكمية]]*Table1[[#This Row],[السعر2]]+Table1[[#This Row],[القيمة المضافة]]</f>
        <v>60102</v>
      </c>
      <c r="S42" s="15"/>
      <c r="T42" s="38">
        <f>Table1[[#This Row],[الكمية ]]-Table1[[#This Row],[الكمية]]</f>
        <v>0</v>
      </c>
    </row>
    <row r="43" spans="1:20" s="21" customFormat="1" ht="18.5" x14ac:dyDescent="0.45">
      <c r="A43" s="16">
        <v>46119</v>
      </c>
      <c r="B43" s="17">
        <v>814</v>
      </c>
      <c r="C43" s="17" t="s">
        <v>19</v>
      </c>
      <c r="D43" s="17" t="s">
        <v>33</v>
      </c>
      <c r="E43" s="18">
        <v>9073</v>
      </c>
      <c r="F43" s="17">
        <v>29.5</v>
      </c>
      <c r="G43" s="18">
        <f>Table1[[#This Row],[الكمية ]]*Table1[[#This Row],[السعر]]</f>
        <v>267653.5</v>
      </c>
      <c r="H43" s="18">
        <f>Table1[[#This Row],[الكمية ]]*Table1[[#This Row],[السعر]]*0.14</f>
        <v>37471.490000000005</v>
      </c>
      <c r="I43" s="18">
        <f>Table1[[#This Row],[الكمية ]]*Table1[[#This Row],[السعر]]+Table1[[#This Row],[القيمة المضافة ]]</f>
        <v>305124.99</v>
      </c>
      <c r="J43" s="19">
        <v>46130</v>
      </c>
      <c r="K43" s="17" t="s">
        <v>21</v>
      </c>
      <c r="L43" s="17" t="s">
        <v>43</v>
      </c>
      <c r="M43" s="17">
        <v>49</v>
      </c>
      <c r="N43" s="18">
        <v>9073</v>
      </c>
      <c r="O43" s="17">
        <v>36</v>
      </c>
      <c r="P43" s="17">
        <f>Table1[[#This Row],[السعر2]]*Table1[[#This Row],[الكمية]]</f>
        <v>326628</v>
      </c>
      <c r="Q43" s="17">
        <v>0</v>
      </c>
      <c r="R43" s="17">
        <f>Table1[[#This Row],[الكمية]]*Table1[[#This Row],[السعر2]]+Table1[[#This Row],[القيمة المضافة]]</f>
        <v>326628</v>
      </c>
      <c r="S43" s="20"/>
      <c r="T43" s="40">
        <f>Table1[[#This Row],[الكمية ]]-Table1[[#This Row],[الكمية]]</f>
        <v>0</v>
      </c>
    </row>
    <row r="44" spans="1:20" s="21" customFormat="1" ht="18.5" x14ac:dyDescent="0.45">
      <c r="A44" s="16">
        <v>46119</v>
      </c>
      <c r="B44" s="17">
        <v>814</v>
      </c>
      <c r="C44" s="17" t="s">
        <v>19</v>
      </c>
      <c r="D44" s="17" t="s">
        <v>36</v>
      </c>
      <c r="E44" s="18">
        <v>580</v>
      </c>
      <c r="F44" s="17">
        <v>27.9</v>
      </c>
      <c r="G44" s="18">
        <f>Table1[[#This Row],[الكمية ]]*Table1[[#This Row],[السعر]]</f>
        <v>16182</v>
      </c>
      <c r="H44" s="18">
        <f>Table1[[#This Row],[الكمية ]]*Table1[[#This Row],[السعر]]*0.14</f>
        <v>2265.48</v>
      </c>
      <c r="I44" s="18">
        <f>Table1[[#This Row],[الكمية ]]*Table1[[#This Row],[السعر]]+Table1[[#This Row],[القيمة المضافة ]]</f>
        <v>18447.48</v>
      </c>
      <c r="J44" s="19">
        <v>46130</v>
      </c>
      <c r="K44" s="17" t="s">
        <v>35</v>
      </c>
      <c r="L44" s="17">
        <v>6032026</v>
      </c>
      <c r="M44" s="17">
        <v>50</v>
      </c>
      <c r="N44" s="18">
        <v>580</v>
      </c>
      <c r="O44" s="17">
        <v>36</v>
      </c>
      <c r="P44" s="17">
        <f>Table1[[#This Row],[السعر2]]*Table1[[#This Row],[الكمية]]</f>
        <v>20880</v>
      </c>
      <c r="Q44" s="17">
        <f>Table1[[#This Row],[الكمية]]*Table1[[#This Row],[السعر2]]*0.14</f>
        <v>2923.2000000000003</v>
      </c>
      <c r="R44" s="17">
        <f>Table1[[#This Row],[الكمية]]*Table1[[#This Row],[السعر2]]+Table1[[#This Row],[القيمة المضافة]]</f>
        <v>23803.200000000001</v>
      </c>
      <c r="S44" s="20"/>
      <c r="T44" s="40">
        <f>Table1[[#This Row],[الكمية ]]-Table1[[#This Row],[الكمية]]</f>
        <v>0</v>
      </c>
    </row>
    <row r="45" spans="1:20" s="21" customFormat="1" ht="18.5" x14ac:dyDescent="0.45">
      <c r="A45" s="16">
        <v>46126</v>
      </c>
      <c r="B45" s="17">
        <v>15334</v>
      </c>
      <c r="C45" s="17" t="s">
        <v>14</v>
      </c>
      <c r="D45" s="17" t="s">
        <v>18</v>
      </c>
      <c r="E45" s="18">
        <v>36000</v>
      </c>
      <c r="F45" s="17">
        <v>10.65</v>
      </c>
      <c r="G45" s="18">
        <f>Table1[[#This Row],[الكمية ]]*Table1[[#This Row],[السعر]]</f>
        <v>383400</v>
      </c>
      <c r="H45" s="18">
        <f>Table1[[#This Row],[الكمية ]]*Table1[[#This Row],[السعر]]*0.14</f>
        <v>53676.000000000007</v>
      </c>
      <c r="I45" s="18">
        <f>Table1[[#This Row],[الكمية ]]*Table1[[#This Row],[السعر]]+Table1[[#This Row],[القيمة المضافة ]]</f>
        <v>437076</v>
      </c>
      <c r="J45" s="19">
        <v>46130</v>
      </c>
      <c r="K45" s="17" t="s">
        <v>21</v>
      </c>
      <c r="L45" s="17">
        <v>4042026</v>
      </c>
      <c r="M45" s="17">
        <v>48</v>
      </c>
      <c r="N45" s="18">
        <v>36000</v>
      </c>
      <c r="O45" s="17">
        <v>13</v>
      </c>
      <c r="P45" s="17">
        <f>Table1[[#This Row],[السعر2]]*Table1[[#This Row],[الكمية]]</f>
        <v>468000</v>
      </c>
      <c r="Q45" s="17">
        <v>0</v>
      </c>
      <c r="R45" s="17">
        <f>Table1[[#This Row],[الكمية]]*Table1[[#This Row],[السعر2]]+Table1[[#This Row],[القيمة المضافة]]</f>
        <v>468000</v>
      </c>
      <c r="S45" s="20"/>
      <c r="T45" s="40">
        <f>Table1[[#This Row],[الكمية ]]-Table1[[#This Row],[الكمية]]</f>
        <v>0</v>
      </c>
    </row>
    <row r="46" spans="1:20" s="21" customFormat="1" ht="18.5" x14ac:dyDescent="0.45">
      <c r="A46" s="16">
        <v>46126</v>
      </c>
      <c r="B46" s="17">
        <v>15334</v>
      </c>
      <c r="C46" s="17" t="s">
        <v>14</v>
      </c>
      <c r="D46" s="17" t="s">
        <v>18</v>
      </c>
      <c r="E46" s="18">
        <v>12950</v>
      </c>
      <c r="F46" s="17">
        <v>10.65</v>
      </c>
      <c r="G46" s="18">
        <f>Table1[[#This Row],[الكمية ]]*Table1[[#This Row],[السعر]]</f>
        <v>137917.5</v>
      </c>
      <c r="H46" s="18">
        <f>Table1[[#This Row],[الكمية ]]*Table1[[#This Row],[السعر]]*0.14</f>
        <v>19308.45</v>
      </c>
      <c r="I46" s="18">
        <f>Table1[[#This Row],[الكمية ]]*Table1[[#This Row],[السعر]]+Table1[[#This Row],[القيمة المضافة ]]</f>
        <v>157225.95000000001</v>
      </c>
      <c r="J46" s="19">
        <v>46130</v>
      </c>
      <c r="K46" s="17" t="s">
        <v>21</v>
      </c>
      <c r="L46" s="17">
        <v>3042026</v>
      </c>
      <c r="M46" s="17">
        <v>47</v>
      </c>
      <c r="N46" s="18">
        <v>12950</v>
      </c>
      <c r="O46" s="17">
        <v>13</v>
      </c>
      <c r="P46" s="17">
        <f>Table1[[#This Row],[السعر2]]*Table1[[#This Row],[الكمية]]</f>
        <v>168350</v>
      </c>
      <c r="Q46" s="17">
        <v>0</v>
      </c>
      <c r="R46" s="17">
        <f>Table1[[#This Row],[الكمية]]*Table1[[#This Row],[السعر2]]+Table1[[#This Row],[القيمة المضافة]]</f>
        <v>168350</v>
      </c>
      <c r="S46" s="20"/>
      <c r="T46" s="40">
        <f>Table1[[#This Row],[الكمية ]]-Table1[[#This Row],[الكمية]]</f>
        <v>0</v>
      </c>
    </row>
    <row r="47" spans="1:20" s="21" customFormat="1" ht="18.5" x14ac:dyDescent="0.45">
      <c r="A47" s="16" t="s">
        <v>44</v>
      </c>
      <c r="B47" s="17">
        <v>849</v>
      </c>
      <c r="C47" s="17" t="s">
        <v>19</v>
      </c>
      <c r="D47" s="17" t="s">
        <v>33</v>
      </c>
      <c r="E47" s="18">
        <v>5400</v>
      </c>
      <c r="F47" s="17">
        <v>31</v>
      </c>
      <c r="G47" s="18">
        <f>Table1[[#This Row],[الكمية ]]*Table1[[#This Row],[السعر]]</f>
        <v>167400</v>
      </c>
      <c r="H47" s="18">
        <f>Table1[[#This Row],[الكمية ]]*Table1[[#This Row],[السعر]]*0.14</f>
        <v>23436.000000000004</v>
      </c>
      <c r="I47" s="18">
        <f>Table1[[#This Row],[الكمية ]]*Table1[[#This Row],[السعر]]+Table1[[#This Row],[القيمة المضافة ]]</f>
        <v>190836</v>
      </c>
      <c r="J47" s="19" t="s">
        <v>47</v>
      </c>
      <c r="K47" s="17" t="s">
        <v>46</v>
      </c>
      <c r="L47" s="17">
        <v>8042026</v>
      </c>
      <c r="M47" s="17">
        <v>52</v>
      </c>
      <c r="N47" s="18">
        <v>5400</v>
      </c>
      <c r="O47" s="17">
        <v>40</v>
      </c>
      <c r="P47" s="17">
        <f>Table1[[#This Row],[السعر2]]*Table1[[#This Row],[الكمية]]</f>
        <v>216000</v>
      </c>
      <c r="Q47" s="17">
        <f>Table1[[#This Row],[الكمية]]*Table1[[#This Row],[السعر2]]*0.14</f>
        <v>30240.000000000004</v>
      </c>
      <c r="R47" s="17">
        <f>Table1[[#This Row],[الكمية]]*Table1[[#This Row],[السعر2]]+Table1[[#This Row],[القيمة المضافة]]</f>
        <v>246240</v>
      </c>
      <c r="S47" s="20"/>
      <c r="T47" s="40">
        <f>Table1[[#This Row],[الكمية ]]-Table1[[#This Row],[الكمية]]</f>
        <v>0</v>
      </c>
    </row>
    <row r="48" spans="1:20" ht="18.5" x14ac:dyDescent="0.45">
      <c r="A48" s="11" t="s">
        <v>44</v>
      </c>
      <c r="B48" s="12">
        <v>855</v>
      </c>
      <c r="C48" s="12" t="s">
        <v>19</v>
      </c>
      <c r="D48" s="12" t="s">
        <v>33</v>
      </c>
      <c r="E48" s="13">
        <v>8740</v>
      </c>
      <c r="F48" s="12">
        <v>31</v>
      </c>
      <c r="G48" s="13">
        <f>Table1[[#This Row],[الكمية ]]*Table1[[#This Row],[السعر]]</f>
        <v>270940</v>
      </c>
      <c r="H48" s="13">
        <f>Table1[[#This Row],[الكمية ]]*Table1[[#This Row],[السعر]]*0.14</f>
        <v>37931.600000000006</v>
      </c>
      <c r="I48" s="13">
        <f>Table1[[#This Row],[الكمية ]]*Table1[[#This Row],[السعر]]+Table1[[#This Row],[القيمة المضافة ]]</f>
        <v>308871.59999999998</v>
      </c>
      <c r="J48" s="14" t="s">
        <v>47</v>
      </c>
      <c r="K48" s="12" t="s">
        <v>46</v>
      </c>
      <c r="L48" s="12">
        <v>9042026</v>
      </c>
      <c r="M48" s="12">
        <v>53</v>
      </c>
      <c r="N48" s="13">
        <v>8740</v>
      </c>
      <c r="O48" s="12">
        <v>40</v>
      </c>
      <c r="P48" s="12">
        <f>Table1[[#This Row],[السعر2]]*Table1[[#This Row],[الكمية]]</f>
        <v>349600</v>
      </c>
      <c r="Q48" s="12">
        <f>Table1[[#This Row],[الكمية]]*Table1[[#This Row],[السعر2]]*0.14</f>
        <v>48944.000000000007</v>
      </c>
      <c r="R48" s="12">
        <f>Table1[[#This Row],[الكمية]]*Table1[[#This Row],[السعر2]]+Table1[[#This Row],[القيمة المضافة]]</f>
        <v>398544</v>
      </c>
      <c r="S48" s="15"/>
      <c r="T48" s="38">
        <f>Table1[[#This Row],[الكمية ]]-Table1[[#This Row],[الكمية]]</f>
        <v>0</v>
      </c>
    </row>
    <row r="49" spans="1:23" ht="18.5" x14ac:dyDescent="0.45">
      <c r="A49" s="11" t="s">
        <v>45</v>
      </c>
      <c r="B49" s="12">
        <v>873</v>
      </c>
      <c r="C49" s="12" t="s">
        <v>19</v>
      </c>
      <c r="D49" s="12" t="s">
        <v>36</v>
      </c>
      <c r="E49" s="13">
        <v>14669</v>
      </c>
      <c r="F49" s="12">
        <v>31</v>
      </c>
      <c r="G49" s="13">
        <f>Table1[[#This Row],[الكمية ]]*Table1[[#This Row],[السعر]]</f>
        <v>454739</v>
      </c>
      <c r="H49" s="13">
        <f>Table1[[#This Row],[الكمية ]]*Table1[[#This Row],[السعر]]*0.14</f>
        <v>63663.460000000006</v>
      </c>
      <c r="I49" s="13">
        <f>Table1[[#This Row],[الكمية ]]*Table1[[#This Row],[السعر]]+Table1[[#This Row],[القيمة المضافة ]]</f>
        <v>518402.46</v>
      </c>
      <c r="J49" s="14" t="s">
        <v>50</v>
      </c>
      <c r="K49" s="12" t="s">
        <v>49</v>
      </c>
      <c r="L49" s="12"/>
      <c r="M49" s="12" t="s">
        <v>48</v>
      </c>
      <c r="N49" s="13">
        <v>14669</v>
      </c>
      <c r="O49" s="12">
        <v>40</v>
      </c>
      <c r="P49" s="12">
        <f>Table1[[#This Row],[السعر2]]*Table1[[#This Row],[الكمية]]</f>
        <v>586760</v>
      </c>
      <c r="Q49" s="12">
        <f>Table1[[#This Row],[الكمية]]*Table1[[#This Row],[السعر2]]*0.14</f>
        <v>82146.400000000009</v>
      </c>
      <c r="R49" s="12">
        <f>Table1[[#This Row],[الكمية]]*Table1[[#This Row],[السعر2]]+Table1[[#This Row],[القيمة المضافة]]</f>
        <v>668906.4</v>
      </c>
      <c r="S49" s="15"/>
      <c r="T49" s="38">
        <f>Table1[[#This Row],[الكمية ]]-Table1[[#This Row],[الكمية]]</f>
        <v>0</v>
      </c>
    </row>
    <row r="50" spans="1:23" ht="18.5" x14ac:dyDescent="0.45">
      <c r="A50" s="11" t="s">
        <v>45</v>
      </c>
      <c r="B50" s="12">
        <v>873</v>
      </c>
      <c r="C50" s="12" t="s">
        <v>19</v>
      </c>
      <c r="D50" s="12" t="s">
        <v>16</v>
      </c>
      <c r="E50" s="13">
        <v>6700</v>
      </c>
      <c r="F50" s="12">
        <v>25.3</v>
      </c>
      <c r="G50" s="13">
        <f>Table1[[#This Row],[الكمية ]]*Table1[[#This Row],[السعر]]</f>
        <v>169510</v>
      </c>
      <c r="H50" s="13">
        <f>Table1[[#This Row],[الكمية ]]*Table1[[#This Row],[السعر]]*0.14</f>
        <v>23731.4</v>
      </c>
      <c r="I50" s="13">
        <f>Table1[[#This Row],[الكمية ]]*Table1[[#This Row],[السعر]]+Table1[[#This Row],[القيمة المضافة ]]</f>
        <v>193241.4</v>
      </c>
      <c r="J50" s="14" t="s">
        <v>50</v>
      </c>
      <c r="K50" s="12" t="s">
        <v>35</v>
      </c>
      <c r="L50" s="12">
        <v>10042026</v>
      </c>
      <c r="M50" s="12">
        <v>54</v>
      </c>
      <c r="N50" s="13">
        <v>6700</v>
      </c>
      <c r="O50" s="12">
        <v>31</v>
      </c>
      <c r="P50" s="12">
        <f>Table1[[#This Row],[السعر2]]*Table1[[#This Row],[الكمية]]</f>
        <v>207700</v>
      </c>
      <c r="Q50" s="12">
        <f>Table1[[#This Row],[الكمية]]*Table1[[#This Row],[السعر2]]*0.14</f>
        <v>29078.000000000004</v>
      </c>
      <c r="R50" s="12">
        <f>Table1[[#This Row],[الكمية]]*Table1[[#This Row],[السعر2]]+Table1[[#This Row],[القيمة المضافة]]</f>
        <v>236778</v>
      </c>
      <c r="S50" s="15"/>
      <c r="T50" s="38">
        <f>Table1[[#This Row],[الكمية ]]-Table1[[#This Row],[الكمية]]</f>
        <v>0</v>
      </c>
    </row>
    <row r="51" spans="1:23" ht="18.5" x14ac:dyDescent="0.45">
      <c r="A51" s="11">
        <v>46178</v>
      </c>
      <c r="B51" s="12">
        <v>15518</v>
      </c>
      <c r="C51" s="12" t="s">
        <v>14</v>
      </c>
      <c r="D51" s="12" t="s">
        <v>15</v>
      </c>
      <c r="E51" s="29">
        <v>28634</v>
      </c>
      <c r="F51" s="12">
        <v>9.9499999999999993</v>
      </c>
      <c r="G51" s="28">
        <f>Table1[[#This Row],[الكمية ]]*Table1[[#This Row],[السعر]]</f>
        <v>284908.3</v>
      </c>
      <c r="H51" s="13">
        <f>Table1[[#This Row],[الكمية ]]*Table1[[#This Row],[السعر]]*0.14</f>
        <v>39887.162000000004</v>
      </c>
      <c r="I51" s="13">
        <f>Table1[[#This Row],[الكمية ]]*Table1[[#This Row],[السعر]]+Table1[[#This Row],[القيمة المضافة ]]</f>
        <v>324795.462</v>
      </c>
      <c r="J51" s="14">
        <v>46162</v>
      </c>
      <c r="K51" s="12" t="s">
        <v>58</v>
      </c>
      <c r="L51" s="12"/>
      <c r="M51" s="12">
        <v>61</v>
      </c>
      <c r="N51" s="12">
        <v>28634</v>
      </c>
      <c r="O51" s="12">
        <v>12</v>
      </c>
      <c r="P51" s="12">
        <f>Table1[[#This Row],[السعر2]]*Table1[[#This Row],[الكمية]]</f>
        <v>343608</v>
      </c>
      <c r="Q51" s="12">
        <f>Table1[[#This Row],[الكمية]]*Table1[[#This Row],[السعر2]]*0.14</f>
        <v>48105.120000000003</v>
      </c>
      <c r="R51" s="12">
        <f>Table1[[#This Row],[الكمية]]*Table1[[#This Row],[السعر2]]+Table1[[#This Row],[القيمة المضافة]]</f>
        <v>391713.12</v>
      </c>
      <c r="S51" s="15"/>
      <c r="T51" s="38">
        <f>Table1[[#This Row],[الكمية ]]-Table1[[#This Row],[الكمية]]</f>
        <v>0</v>
      </c>
    </row>
    <row r="52" spans="1:23" ht="19.75" customHeight="1" x14ac:dyDescent="0.45">
      <c r="A52" s="11">
        <v>46178</v>
      </c>
      <c r="B52" s="12">
        <v>15518</v>
      </c>
      <c r="C52" s="12" t="s">
        <v>14</v>
      </c>
      <c r="D52" s="12" t="s">
        <v>15</v>
      </c>
      <c r="E52" s="29">
        <v>916</v>
      </c>
      <c r="F52" s="12">
        <v>9.9499999999999993</v>
      </c>
      <c r="G52" s="28">
        <f>Table1[[#This Row],[الكمية ]]*Table1[[#This Row],[السعر]]</f>
        <v>9114.1999999999989</v>
      </c>
      <c r="H52" s="13">
        <f>Table1[[#This Row],[الكمية ]]*Table1[[#This Row],[السعر]]*0.14</f>
        <v>1275.9880000000001</v>
      </c>
      <c r="I52" s="13">
        <f>Table1[[#This Row],[الكمية ]]*Table1[[#This Row],[السعر]]+Table1[[#This Row],[القيمة المضافة ]]</f>
        <v>10390.187999999998</v>
      </c>
      <c r="J52" s="14">
        <v>46162</v>
      </c>
      <c r="K52" s="12" t="s">
        <v>58</v>
      </c>
      <c r="L52" s="12"/>
      <c r="M52" s="12">
        <v>61</v>
      </c>
      <c r="N52" s="12">
        <v>916</v>
      </c>
      <c r="O52" s="12">
        <v>12</v>
      </c>
      <c r="P52" s="12">
        <f>Table1[[#This Row],[السعر2]]*Table1[[#This Row],[الكمية]]</f>
        <v>10992</v>
      </c>
      <c r="Q52" s="12">
        <f>Table1[[#This Row],[الكمية]]*Table1[[#This Row],[السعر2]]*0.14</f>
        <v>1538.88</v>
      </c>
      <c r="R52" s="12">
        <f>Table1[[#This Row],[الكمية]]*Table1[[#This Row],[السعر2]]+Table1[[#This Row],[القيمة المضافة]]</f>
        <v>12530.880000000001</v>
      </c>
      <c r="S52" s="15"/>
      <c r="T52" s="38">
        <f>Table1[[#This Row],[الكمية ]]-Table1[[#This Row],[الكمية]]</f>
        <v>0</v>
      </c>
    </row>
    <row r="53" spans="1:23" ht="18.5" x14ac:dyDescent="0.45">
      <c r="A53" s="11">
        <v>46178</v>
      </c>
      <c r="B53" s="12">
        <v>15540</v>
      </c>
      <c r="C53" s="12" t="s">
        <v>14</v>
      </c>
      <c r="D53" s="12" t="s">
        <v>18</v>
      </c>
      <c r="E53" s="29">
        <v>19750</v>
      </c>
      <c r="F53" s="12">
        <v>7.6</v>
      </c>
      <c r="G53" s="13">
        <f>Table1[[#This Row],[الكمية ]]*Table1[[#This Row],[السعر]]</f>
        <v>150100</v>
      </c>
      <c r="H53" s="13">
        <f>Table1[[#This Row],[الكمية ]]*Table1[[#This Row],[السعر]]*0.14</f>
        <v>21014.000000000004</v>
      </c>
      <c r="I53" s="13">
        <f>Table1[[#This Row],[الكمية ]]*Table1[[#This Row],[السعر]]+Table1[[#This Row],[القيمة المضافة ]]</f>
        <v>171114</v>
      </c>
      <c r="J53" s="14">
        <v>46162</v>
      </c>
      <c r="K53" s="12" t="s">
        <v>56</v>
      </c>
      <c r="L53" s="12"/>
      <c r="M53" s="12">
        <v>58</v>
      </c>
      <c r="N53" s="13">
        <v>19750</v>
      </c>
      <c r="O53" s="12">
        <v>10</v>
      </c>
      <c r="P53" s="12">
        <f>Table1[[#This Row],[السعر2]]*Table1[[#This Row],[الكمية]]</f>
        <v>197500</v>
      </c>
      <c r="Q53" s="12">
        <f>Table1[[#This Row],[الكمية]]*Table1[[#This Row],[السعر2]]*0.14</f>
        <v>27650.000000000004</v>
      </c>
      <c r="R53" s="12">
        <f>Table1[[#This Row],[الكمية]]*Table1[[#This Row],[السعر2]]+Table1[[#This Row],[القيمة المضافة]]</f>
        <v>225150</v>
      </c>
      <c r="S53" s="15"/>
      <c r="T53" s="38">
        <f>Table1[[#This Row],[الكمية ]]-Table1[[#This Row],[الكمية]]</f>
        <v>0</v>
      </c>
    </row>
    <row r="54" spans="1:23" ht="18.5" x14ac:dyDescent="0.45">
      <c r="A54" s="11">
        <v>46178</v>
      </c>
      <c r="B54" s="12">
        <v>15540</v>
      </c>
      <c r="C54" s="12" t="s">
        <v>14</v>
      </c>
      <c r="D54" s="12" t="s">
        <v>18</v>
      </c>
      <c r="E54" s="29">
        <v>10559</v>
      </c>
      <c r="F54" s="12">
        <v>7.6</v>
      </c>
      <c r="G54" s="13">
        <f>Table1[[#This Row],[الكمية ]]*Table1[[#This Row],[السعر]]</f>
        <v>80248.399999999994</v>
      </c>
      <c r="H54" s="13">
        <f>Table1[[#This Row],[الكمية ]]*Table1[[#This Row],[السعر]]*0.14</f>
        <v>11234.776</v>
      </c>
      <c r="I54" s="13">
        <f>Table1[[#This Row],[الكمية ]]*Table1[[#This Row],[السعر]]+Table1[[#This Row],[القيمة المضافة ]]</f>
        <v>91483.175999999992</v>
      </c>
      <c r="J54" s="14">
        <v>46163</v>
      </c>
      <c r="K54" s="12" t="s">
        <v>57</v>
      </c>
      <c r="L54" s="12"/>
      <c r="M54" s="12">
        <v>59</v>
      </c>
      <c r="N54" s="13">
        <v>10559</v>
      </c>
      <c r="O54" s="12">
        <v>10</v>
      </c>
      <c r="P54" s="12">
        <f>Table1[[#This Row],[السعر2]]*Table1[[#This Row],[الكمية]]</f>
        <v>105590</v>
      </c>
      <c r="Q54" s="12">
        <f>Table1[[#This Row],[الكمية]]*Table1[[#This Row],[السعر2]]*0.14</f>
        <v>14782.600000000002</v>
      </c>
      <c r="R54" s="12">
        <f>Table1[[#This Row],[الكمية]]*Table1[[#This Row],[السعر2]]+Table1[[#This Row],[القيمة المضافة]]</f>
        <v>120372.6</v>
      </c>
      <c r="S54" s="15"/>
      <c r="T54" s="38">
        <f>Table1[[#This Row],[الكمية ]]-Table1[[#This Row],[الكمية]]</f>
        <v>0</v>
      </c>
    </row>
    <row r="55" spans="1:23" ht="18.5" x14ac:dyDescent="0.45">
      <c r="A55" s="11">
        <v>46300</v>
      </c>
      <c r="B55" s="12">
        <v>810</v>
      </c>
      <c r="C55" s="12" t="s">
        <v>51</v>
      </c>
      <c r="D55" s="12" t="s">
        <v>52</v>
      </c>
      <c r="E55" s="28">
        <v>19.54</v>
      </c>
      <c r="F55" s="12">
        <v>20500</v>
      </c>
      <c r="G55" s="13">
        <f>Table1[[#This Row],[الكمية ]]*Table1[[#This Row],[السعر]]</f>
        <v>400570</v>
      </c>
      <c r="H55" s="13">
        <f>Table1[[#This Row],[الكمية ]]*Table1[[#This Row],[السعر]]*0.14</f>
        <v>56079.8</v>
      </c>
      <c r="I55" s="13">
        <f>Table1[[#This Row],[الكمية ]]*Table1[[#This Row],[السعر]]+Table1[[#This Row],[القيمة المضافة ]]</f>
        <v>456649.8</v>
      </c>
      <c r="J55" s="14"/>
      <c r="K55" s="12"/>
      <c r="L55" s="12"/>
      <c r="M55" s="12"/>
      <c r="N55" s="13"/>
      <c r="O55" s="12"/>
      <c r="P55" s="12">
        <f>Table1[[#This Row],[السعر2]]*Table1[[#This Row],[الكمية]]</f>
        <v>0</v>
      </c>
      <c r="Q55" s="12">
        <f>Table1[[#This Row],[الكمية]]*Table1[[#This Row],[السعر2]]*0.14</f>
        <v>0</v>
      </c>
      <c r="R55" s="12">
        <f>Table1[[#This Row],[الكمية]]*Table1[[#This Row],[السعر2]]+Table1[[#This Row],[القيمة المضافة]]</f>
        <v>0</v>
      </c>
      <c r="S55" s="15"/>
      <c r="T55" s="38">
        <f>Table1[[#This Row],[الكمية ]]-Table1[[#This Row],[الكمية]]</f>
        <v>19.54</v>
      </c>
    </row>
    <row r="56" spans="1:23" ht="18.5" x14ac:dyDescent="0.45">
      <c r="A56" s="11">
        <v>46300</v>
      </c>
      <c r="B56" s="12">
        <v>810</v>
      </c>
      <c r="C56" s="12" t="s">
        <v>51</v>
      </c>
      <c r="D56" s="12" t="s">
        <v>53</v>
      </c>
      <c r="E56" s="28">
        <v>12.12</v>
      </c>
      <c r="F56" s="12">
        <v>21500</v>
      </c>
      <c r="G56" s="13">
        <f>Table1[[#This Row],[الكمية ]]*Table1[[#This Row],[السعر]]</f>
        <v>260579.99999999997</v>
      </c>
      <c r="H56" s="13">
        <f>Table1[[#This Row],[الكمية ]]*Table1[[#This Row],[السعر]]*0.14</f>
        <v>36481.199999999997</v>
      </c>
      <c r="I56" s="13">
        <f>Table1[[#This Row],[الكمية ]]*Table1[[#This Row],[السعر]]+Table1[[#This Row],[القيمة المضافة ]]</f>
        <v>297061.19999999995</v>
      </c>
      <c r="J56" s="14"/>
      <c r="K56" s="12"/>
      <c r="L56" s="12"/>
      <c r="M56" s="12"/>
      <c r="N56" s="13"/>
      <c r="O56" s="12"/>
      <c r="P56" s="12">
        <f>Table1[[#This Row],[السعر2]]*Table1[[#This Row],[الكمية]]</f>
        <v>0</v>
      </c>
      <c r="Q56" s="12">
        <f>Table1[[#This Row],[الكمية]]*Table1[[#This Row],[السعر2]]*0.14</f>
        <v>0</v>
      </c>
      <c r="R56" s="12">
        <f>Table1[[#This Row],[الكمية]]*Table1[[#This Row],[السعر2]]+Table1[[#This Row],[القيمة المضافة]]</f>
        <v>0</v>
      </c>
      <c r="S56" s="15"/>
      <c r="T56" s="38">
        <f>Table1[[#This Row],[الكمية ]]-Table1[[#This Row],[الكمية]]</f>
        <v>12.12</v>
      </c>
    </row>
    <row r="57" spans="1:23" ht="18.5" x14ac:dyDescent="0.45">
      <c r="A57" s="11">
        <v>46163.472222222219</v>
      </c>
      <c r="B57" s="12">
        <v>928</v>
      </c>
      <c r="C57" s="12" t="s">
        <v>19</v>
      </c>
      <c r="D57" s="12" t="s">
        <v>54</v>
      </c>
      <c r="E57" s="29">
        <v>3850</v>
      </c>
      <c r="F57" s="12">
        <v>39</v>
      </c>
      <c r="G57" s="13">
        <f>Table1[[#This Row],[الكمية ]]*Table1[[#This Row],[السعر]]</f>
        <v>150150</v>
      </c>
      <c r="H57" s="13">
        <f>Table1[[#This Row],[الكمية ]]*Table1[[#This Row],[السعر]]*0.14</f>
        <v>21021.000000000004</v>
      </c>
      <c r="I57" s="13">
        <f>Table1[[#This Row],[الكمية ]]*Table1[[#This Row],[السعر]]+Table1[[#This Row],[القيمة المضافة ]]</f>
        <v>171171</v>
      </c>
      <c r="J57" s="14">
        <v>46162</v>
      </c>
      <c r="K57" s="12" t="s">
        <v>59</v>
      </c>
      <c r="L57" s="12"/>
      <c r="M57" s="12">
        <v>60</v>
      </c>
      <c r="N57" s="13">
        <v>3850</v>
      </c>
      <c r="O57" s="12">
        <v>46</v>
      </c>
      <c r="P57" s="12">
        <f>Table1[[#This Row],[السعر2]]*Table1[[#This Row],[الكمية]]</f>
        <v>177100</v>
      </c>
      <c r="Q57" s="12">
        <f>Table1[[#This Row],[الكمية]]*Table1[[#This Row],[السعر2]]*0.14</f>
        <v>24794.000000000004</v>
      </c>
      <c r="R57" s="12">
        <f>Table1[[#This Row],[الكمية]]*Table1[[#This Row],[السعر2]]+Table1[[#This Row],[القيمة المضافة]]</f>
        <v>201894</v>
      </c>
      <c r="S57" s="15"/>
      <c r="T57" s="38">
        <f>Table1[[#This Row],[الكمية ]]-Table1[[#This Row],[الكمية]]</f>
        <v>0</v>
      </c>
    </row>
    <row r="58" spans="1:23" ht="18.5" x14ac:dyDescent="0.45">
      <c r="A58" s="11">
        <v>46163.472222222219</v>
      </c>
      <c r="B58" s="12">
        <v>928</v>
      </c>
      <c r="C58" s="12" t="s">
        <v>19</v>
      </c>
      <c r="D58" s="12" t="s">
        <v>55</v>
      </c>
      <c r="E58" s="29">
        <v>8968</v>
      </c>
      <c r="F58" s="12">
        <v>31.5</v>
      </c>
      <c r="G58" s="13">
        <f>Table1[[#This Row],[الكمية ]]*Table1[[#This Row],[السعر]]</f>
        <v>282492</v>
      </c>
      <c r="H58" s="13">
        <f>Table1[[#This Row],[الكمية ]]*Table1[[#This Row],[السعر]]*0.14</f>
        <v>39548.880000000005</v>
      </c>
      <c r="I58" s="13">
        <f>Table1[[#This Row],[الكمية ]]*Table1[[#This Row],[السعر]]+Table1[[#This Row],[القيمة المضافة ]]</f>
        <v>322040.88</v>
      </c>
      <c r="J58" s="14">
        <v>46163</v>
      </c>
      <c r="K58" s="12" t="s">
        <v>56</v>
      </c>
      <c r="L58" s="12"/>
      <c r="M58" s="12">
        <v>57</v>
      </c>
      <c r="N58" s="13">
        <v>8968</v>
      </c>
      <c r="O58" s="12">
        <v>40</v>
      </c>
      <c r="P58" s="12">
        <f>Table1[[#This Row],[السعر2]]*Table1[[#This Row],[الكمية]]</f>
        <v>358720</v>
      </c>
      <c r="Q58" s="12">
        <f>Table1[[#This Row],[الكمية]]*Table1[[#This Row],[السعر2]]*0.14</f>
        <v>50220.800000000003</v>
      </c>
      <c r="R58" s="12">
        <f>Table1[[#This Row],[الكمية]]*Table1[[#This Row],[السعر2]]+Table1[[#This Row],[القيمة المضافة]]</f>
        <v>408940.79999999999</v>
      </c>
      <c r="S58" s="15"/>
      <c r="T58" s="38">
        <f>Table1[[#This Row],[الكمية ]]-Table1[[#This Row],[الكمية]]</f>
        <v>0</v>
      </c>
    </row>
    <row r="59" spans="1:23" s="35" customFormat="1" ht="18.5" x14ac:dyDescent="0.45">
      <c r="A59" s="30">
        <v>46163</v>
      </c>
      <c r="B59" s="31">
        <v>939</v>
      </c>
      <c r="C59" s="31" t="s">
        <v>19</v>
      </c>
      <c r="D59" s="31" t="s">
        <v>54</v>
      </c>
      <c r="E59" s="32">
        <v>570</v>
      </c>
      <c r="F59" s="31">
        <v>39</v>
      </c>
      <c r="G59" s="32">
        <f>Table1[[#This Row],[الكمية ]]*Table1[[#This Row],[السعر]]</f>
        <v>22230</v>
      </c>
      <c r="H59" s="32">
        <f>Table1[[#This Row],[الكمية ]]*Table1[[#This Row],[السعر]]*0.14</f>
        <v>3112.2000000000003</v>
      </c>
      <c r="I59" s="32">
        <f>Table1[[#This Row],[الكمية ]]*Table1[[#This Row],[السعر]]+Table1[[#This Row],[القيمة المضافة ]]</f>
        <v>25342.2</v>
      </c>
      <c r="J59" s="33">
        <v>46181</v>
      </c>
      <c r="K59" s="31" t="s">
        <v>64</v>
      </c>
      <c r="L59" s="31">
        <v>12052026</v>
      </c>
      <c r="M59" s="31">
        <v>63</v>
      </c>
      <c r="N59" s="32">
        <v>553</v>
      </c>
      <c r="O59" s="31">
        <v>46</v>
      </c>
      <c r="P59" s="31">
        <f>Table1[[#This Row],[السعر2]]*Table1[[#This Row],[الكمية]]</f>
        <v>25438</v>
      </c>
      <c r="Q59" s="31">
        <f>Table1[[#This Row],[الكمية]]*Table1[[#This Row],[السعر2]]*0.14</f>
        <v>3561.32</v>
      </c>
      <c r="R59" s="31">
        <f>Table1[[#This Row],[الكمية]]*Table1[[#This Row],[السعر2]]+Table1[[#This Row],[القيمة المضافة]]</f>
        <v>28999.32</v>
      </c>
      <c r="S59" s="34"/>
      <c r="T59" s="41">
        <f>Table1[[#This Row],[الكمية ]]-Table1[[#This Row],[الكمية]]</f>
        <v>17</v>
      </c>
      <c r="V59" s="43">
        <f>Table1[[#This Row],[الكمية]]*Table1[[#This Row],[السعر]]</f>
        <v>21567</v>
      </c>
      <c r="W59" s="44"/>
    </row>
    <row r="60" spans="1:23" ht="18.5" x14ac:dyDescent="0.45">
      <c r="A60" s="11">
        <v>46166</v>
      </c>
      <c r="B60" s="12">
        <v>942</v>
      </c>
      <c r="C60" s="12" t="s">
        <v>19</v>
      </c>
      <c r="D60" s="12" t="s">
        <v>60</v>
      </c>
      <c r="E60" s="28">
        <v>8000</v>
      </c>
      <c r="F60" s="12">
        <v>31.8</v>
      </c>
      <c r="G60" s="13">
        <f>Table1[[#This Row],[الكمية ]]*Table1[[#This Row],[السعر]]</f>
        <v>254400</v>
      </c>
      <c r="H60" s="13">
        <f>Table1[[#This Row],[الكمية ]]*Table1[[#This Row],[السعر]]*0.14</f>
        <v>35616</v>
      </c>
      <c r="I60" s="13">
        <f>Table1[[#This Row],[الكمية ]]*Table1[[#This Row],[السعر]]+Table1[[#This Row],[القيمة المضافة ]]</f>
        <v>290016</v>
      </c>
      <c r="J60" s="14">
        <v>46167</v>
      </c>
      <c r="K60" s="12" t="s">
        <v>61</v>
      </c>
      <c r="L60" s="12">
        <v>1052026</v>
      </c>
      <c r="M60" s="12">
        <v>62</v>
      </c>
      <c r="N60" s="13">
        <v>8000</v>
      </c>
      <c r="O60" s="12">
        <v>45</v>
      </c>
      <c r="P60" s="12">
        <f>Table1[[#This Row],[السعر2]]*Table1[[#This Row],[الكمية]]</f>
        <v>360000</v>
      </c>
      <c r="Q60" s="12">
        <f>Table1[[#This Row],[الكمية]]*Table1[[#This Row],[السعر2]]*0.14</f>
        <v>50400.000000000007</v>
      </c>
      <c r="R60" s="12">
        <f>Table1[[#This Row],[الكمية]]*Table1[[#This Row],[السعر2]]+Table1[[#This Row],[القيمة المضافة]]</f>
        <v>410400</v>
      </c>
      <c r="S60" s="15"/>
      <c r="T60" s="38">
        <f>Table1[[#This Row],[الكمية ]]-Table1[[#This Row],[الكمية]]</f>
        <v>0</v>
      </c>
    </row>
    <row r="61" spans="1:23" ht="18.5" x14ac:dyDescent="0.45">
      <c r="A61" s="11"/>
      <c r="B61" s="12"/>
      <c r="C61" s="12"/>
      <c r="D61" s="12" t="s">
        <v>63</v>
      </c>
      <c r="E61" s="13"/>
      <c r="F61" s="12"/>
      <c r="G61" s="13">
        <f>Table1[[#This Row],[الكمية ]]*Table1[[#This Row],[السعر]]</f>
        <v>0</v>
      </c>
      <c r="H61" s="13">
        <f>Table1[[#This Row],[الكمية ]]*Table1[[#This Row],[السعر]]*0.14</f>
        <v>0</v>
      </c>
      <c r="I61" s="13">
        <f>Table1[[#This Row],[الكمية ]]*Table1[[#This Row],[السعر]]+Table1[[#This Row],[القيمة المضافة ]]</f>
        <v>0</v>
      </c>
      <c r="J61" s="14">
        <v>46181</v>
      </c>
      <c r="K61" s="12" t="s">
        <v>65</v>
      </c>
      <c r="L61" s="12">
        <v>11052026</v>
      </c>
      <c r="M61" s="12">
        <v>64</v>
      </c>
      <c r="N61" s="13">
        <v>4800</v>
      </c>
      <c r="O61" s="12">
        <v>16</v>
      </c>
      <c r="P61" s="12">
        <f>Table1[[#This Row],[السعر2]]*Table1[[#This Row],[الكمية]]</f>
        <v>76800</v>
      </c>
      <c r="Q61" s="12">
        <f>Table1[[#This Row],[الكمية]]*Table1[[#This Row],[السعر2]]*0.14</f>
        <v>10752.000000000002</v>
      </c>
      <c r="R61" s="12">
        <f>Table1[[#This Row],[الكمية]]*Table1[[#This Row],[السعر2]]+Table1[[#This Row],[القيمة المضافة]]</f>
        <v>87552</v>
      </c>
      <c r="S61" s="15"/>
      <c r="T61" s="42">
        <f>Table1[[#This Row],[الكمية ]]-Table1[[#This Row],[الكمية]]</f>
        <v>-4800</v>
      </c>
    </row>
    <row r="62" spans="1:23" ht="18.5" x14ac:dyDescent="0.45">
      <c r="A62" s="6"/>
      <c r="B62" s="7"/>
      <c r="C62" s="7"/>
      <c r="D62" s="12" t="s">
        <v>63</v>
      </c>
      <c r="E62" s="8"/>
      <c r="F62" s="7"/>
      <c r="G62" s="8">
        <f>Table1[[#This Row],[الكمية ]]*Table1[[#This Row],[السعر]]</f>
        <v>0</v>
      </c>
      <c r="H62" s="8">
        <f>Table1[[#This Row],[الكمية ]]*Table1[[#This Row],[السعر]]*0.14</f>
        <v>0</v>
      </c>
      <c r="I62" s="8">
        <f>Table1[[#This Row],[الكمية ]]*Table1[[#This Row],[السعر]]+Table1[[#This Row],[القيمة المضافة ]]</f>
        <v>0</v>
      </c>
      <c r="J62" s="9">
        <v>46181</v>
      </c>
      <c r="K62" s="12" t="s">
        <v>65</v>
      </c>
      <c r="L62" s="7">
        <v>1052026</v>
      </c>
      <c r="M62" s="7">
        <v>65</v>
      </c>
      <c r="N62" s="13">
        <v>4800</v>
      </c>
      <c r="O62" s="12">
        <v>16</v>
      </c>
      <c r="P62" s="7">
        <f>Table1[[#This Row],[السعر2]]*Table1[[#This Row],[الكمية]]</f>
        <v>76800</v>
      </c>
      <c r="Q62" s="7">
        <f>Table1[[#This Row],[الكمية]]*Table1[[#This Row],[السعر2]]*0.14</f>
        <v>10752.000000000002</v>
      </c>
      <c r="R62" s="7">
        <f>Table1[[#This Row],[الكمية]]*Table1[[#This Row],[السعر2]]+Table1[[#This Row],[القيمة المضافة]]</f>
        <v>87552</v>
      </c>
      <c r="S62" s="10"/>
      <c r="T62" s="38">
        <f>Table1[[#This Row],[الكمية ]]-Table1[[#This Row],[الكمية]]</f>
        <v>-4800</v>
      </c>
    </row>
    <row r="63" spans="1:23" ht="18.5" x14ac:dyDescent="0.45">
      <c r="A63" s="6"/>
      <c r="B63" s="7"/>
      <c r="C63" s="7"/>
      <c r="D63" s="12" t="s">
        <v>63</v>
      </c>
      <c r="E63" s="8"/>
      <c r="F63" s="7"/>
      <c r="G63" s="8">
        <f>Table1[[#This Row],[الكمية ]]*Table1[[#This Row],[السعر]]</f>
        <v>0</v>
      </c>
      <c r="H63" s="8">
        <f>Table1[[#This Row],[الكمية ]]*Table1[[#This Row],[السعر]]*0.14</f>
        <v>0</v>
      </c>
      <c r="I63" s="8">
        <f>Table1[[#This Row],[الكمية ]]*Table1[[#This Row],[السعر]]+Table1[[#This Row],[القيمة المضافة ]]</f>
        <v>0</v>
      </c>
      <c r="J63" s="9">
        <v>46181</v>
      </c>
      <c r="K63" s="12" t="s">
        <v>65</v>
      </c>
      <c r="L63" s="7">
        <v>1052026</v>
      </c>
      <c r="M63" s="7">
        <v>66</v>
      </c>
      <c r="N63" s="8">
        <v>5340</v>
      </c>
      <c r="O63" s="7">
        <v>16</v>
      </c>
      <c r="P63" s="7">
        <f>Table1[[#This Row],[السعر2]]*Table1[[#This Row],[الكمية]]</f>
        <v>85440</v>
      </c>
      <c r="Q63" s="7">
        <f>Table1[[#This Row],[الكمية]]*Table1[[#This Row],[السعر2]]*0.14</f>
        <v>11961.6</v>
      </c>
      <c r="R63" s="7">
        <f>Table1[[#This Row],[الكمية]]*Table1[[#This Row],[السعر2]]+Table1[[#This Row],[القيمة المضافة]]</f>
        <v>97401.600000000006</v>
      </c>
      <c r="S63" s="10"/>
      <c r="T63" s="38">
        <f>Table1[[#This Row],[الكمية ]]-Table1[[#This Row],[الكمية]]</f>
        <v>-5340</v>
      </c>
    </row>
    <row r="64" spans="1:23" ht="18.5" x14ac:dyDescent="0.45">
      <c r="A64" s="11"/>
      <c r="B64" s="12"/>
      <c r="C64" s="12"/>
      <c r="D64" s="12"/>
      <c r="E64" s="28"/>
      <c r="F64" s="12"/>
      <c r="G64" s="13"/>
      <c r="H64" s="13"/>
      <c r="I64" s="13"/>
      <c r="J64" s="14"/>
      <c r="K64" s="12"/>
      <c r="L64" s="12"/>
      <c r="M64" s="12"/>
      <c r="N64" s="13"/>
      <c r="O64" s="12"/>
      <c r="P64" s="12"/>
      <c r="Q64" s="12"/>
      <c r="R64" s="12"/>
      <c r="S64" s="15"/>
      <c r="T64" s="38"/>
    </row>
    <row r="65" spans="1:20" ht="18.5" x14ac:dyDescent="0.45">
      <c r="A65" s="11"/>
      <c r="B65" s="12"/>
      <c r="C65" s="12"/>
      <c r="D65" s="12"/>
      <c r="E65" s="28"/>
      <c r="F65" s="12"/>
      <c r="G65" s="13"/>
      <c r="H65" s="13"/>
      <c r="I65" s="13"/>
      <c r="J65" s="14"/>
      <c r="K65" s="12"/>
      <c r="L65" s="12"/>
      <c r="M65" s="12"/>
      <c r="N65" s="13"/>
      <c r="O65" s="12"/>
      <c r="P65" s="12"/>
      <c r="Q65" s="12"/>
      <c r="R65" s="12"/>
      <c r="S65" s="15"/>
      <c r="T65" s="38"/>
    </row>
    <row r="66" spans="1:20" ht="18.5" x14ac:dyDescent="0.45">
      <c r="A66" s="11"/>
      <c r="B66" s="12"/>
      <c r="C66" s="12"/>
      <c r="D66" s="12"/>
      <c r="E66" s="28"/>
      <c r="F66" s="12"/>
      <c r="G66" s="13"/>
      <c r="H66" s="13"/>
      <c r="I66" s="13"/>
      <c r="J66" s="14"/>
      <c r="K66" s="12"/>
      <c r="L66" s="12"/>
      <c r="M66" s="12"/>
      <c r="N66" s="13"/>
      <c r="O66" s="12"/>
      <c r="P66" s="12"/>
      <c r="Q66" s="12"/>
      <c r="R66" s="12"/>
      <c r="S66" s="15"/>
      <c r="T66" s="38"/>
    </row>
    <row r="67" spans="1:20" ht="18.5" x14ac:dyDescent="0.45">
      <c r="A67" s="11"/>
      <c r="B67" s="12"/>
      <c r="C67" s="12"/>
      <c r="D67" s="12"/>
      <c r="E67" s="28"/>
      <c r="F67" s="12"/>
      <c r="G67" s="13"/>
      <c r="H67" s="13"/>
      <c r="I67" s="13"/>
      <c r="J67" s="14"/>
      <c r="K67" s="12"/>
      <c r="L67" s="12"/>
      <c r="M67" s="12"/>
      <c r="N67" s="13"/>
      <c r="O67" s="12"/>
      <c r="P67" s="12"/>
      <c r="Q67" s="12"/>
      <c r="R67" s="12"/>
      <c r="S67" s="15"/>
      <c r="T67" s="38"/>
    </row>
    <row r="68" spans="1:20" x14ac:dyDescent="0.35">
      <c r="T68" s="39"/>
    </row>
    <row r="69" spans="1:20" x14ac:dyDescent="0.35">
      <c r="T69" s="39"/>
    </row>
    <row r="70" spans="1:20" x14ac:dyDescent="0.35">
      <c r="T70" s="39"/>
    </row>
    <row r="71" spans="1:20" x14ac:dyDescent="0.35">
      <c r="T71" s="39"/>
    </row>
    <row r="72" spans="1:20" x14ac:dyDescent="0.35">
      <c r="T72" s="39"/>
    </row>
    <row r="73" spans="1:20" x14ac:dyDescent="0.35">
      <c r="T73" s="39"/>
    </row>
    <row r="74" spans="1:20" x14ac:dyDescent="0.35">
      <c r="T74" s="39"/>
    </row>
    <row r="75" spans="1:20" x14ac:dyDescent="0.35">
      <c r="T75" s="39"/>
    </row>
    <row r="76" spans="1:20" x14ac:dyDescent="0.35">
      <c r="T76" s="39"/>
    </row>
    <row r="77" spans="1:20" x14ac:dyDescent="0.35">
      <c r="T77" s="39"/>
    </row>
    <row r="78" spans="1:20" x14ac:dyDescent="0.35">
      <c r="T78" s="39"/>
    </row>
    <row r="79" spans="1:20" x14ac:dyDescent="0.35">
      <c r="T79" s="39"/>
    </row>
    <row r="80" spans="1:20" x14ac:dyDescent="0.35">
      <c r="T80" s="39"/>
    </row>
    <row r="81" spans="20:20" x14ac:dyDescent="0.35">
      <c r="T81" s="39"/>
    </row>
    <row r="82" spans="20:20" x14ac:dyDescent="0.35">
      <c r="T82" s="39"/>
    </row>
    <row r="83" spans="20:20" x14ac:dyDescent="0.35">
      <c r="T83" s="39"/>
    </row>
    <row r="84" spans="20:20" x14ac:dyDescent="0.35">
      <c r="T84" s="39"/>
    </row>
    <row r="85" spans="20:20" x14ac:dyDescent="0.35">
      <c r="T85" s="39"/>
    </row>
    <row r="86" spans="20:20" x14ac:dyDescent="0.35">
      <c r="T86" s="39"/>
    </row>
    <row r="87" spans="20:20" x14ac:dyDescent="0.35">
      <c r="T87" s="39"/>
    </row>
    <row r="88" spans="20:20" x14ac:dyDescent="0.35">
      <c r="T88" s="39"/>
    </row>
    <row r="89" spans="20:20" x14ac:dyDescent="0.35">
      <c r="T89" s="39"/>
    </row>
  </sheetData>
  <phoneticPr fontId="3" type="noConversion"/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auditor3</dc:creator>
  <cp:lastModifiedBy>Mohamed Abdelaziz</cp:lastModifiedBy>
  <dcterms:created xsi:type="dcterms:W3CDTF">2015-06-05T18:17:20Z</dcterms:created>
  <dcterms:modified xsi:type="dcterms:W3CDTF">2026-06-11T16:52:22Z</dcterms:modified>
</cp:coreProperties>
</file>
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Software\CaptureDoc Suite\capture-flow\"/>
    </mc:Choice>
  </mc:AlternateContent>
  <xr:revisionPtr revIDLastSave="0" documentId="8_{A10DC2CA-4203-45A4-9818-90D0EFF61C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IB" sheetId="3" r:id="rId1"/>
  </sheets>
  <externalReferences>
    <externalReference r:id="rId2"/>
  </externalReferences>
  <definedNames>
    <definedName name="_xlnm._FilterDatabase" localSheetId="0" hidden="1">CIB!$A$2:$AN$82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0" i="3" l="1"/>
  <c r="AE81" i="3"/>
  <c r="AF81" i="3" s="1"/>
  <c r="AE4" i="3"/>
  <c r="AF4" i="3" s="1"/>
  <c r="AE5" i="3"/>
  <c r="AN5" i="3" s="1"/>
  <c r="AE6" i="3"/>
  <c r="AN6" i="3" s="1"/>
  <c r="AE7" i="3"/>
  <c r="AN7" i="3" s="1"/>
  <c r="AE8" i="3"/>
  <c r="AN8" i="3" s="1"/>
  <c r="AE9" i="3"/>
  <c r="AN9" i="3" s="1"/>
  <c r="AE10" i="3"/>
  <c r="AN10" i="3" s="1"/>
  <c r="AE11" i="3"/>
  <c r="AF11" i="3" s="1"/>
  <c r="AE12" i="3"/>
  <c r="AF12" i="3" s="1"/>
  <c r="AE13" i="3"/>
  <c r="AN13" i="3" s="1"/>
  <c r="AF14" i="3"/>
  <c r="AE15" i="3"/>
  <c r="AN15" i="3" s="1"/>
  <c r="AE16" i="3"/>
  <c r="AN16" i="3" s="1"/>
  <c r="AE17" i="3"/>
  <c r="AN17" i="3" s="1"/>
  <c r="AE18" i="3"/>
  <c r="AN18" i="3" s="1"/>
  <c r="AE19" i="3"/>
  <c r="AN19" i="3" s="1"/>
  <c r="AE20" i="3"/>
  <c r="AN20" i="3" s="1"/>
  <c r="AE21" i="3"/>
  <c r="AN21" i="3" s="1"/>
  <c r="AE22" i="3"/>
  <c r="AN22" i="3" s="1"/>
  <c r="AE23" i="3"/>
  <c r="AF23" i="3" s="1"/>
  <c r="AE24" i="3"/>
  <c r="AF24" i="3" s="1"/>
  <c r="AE25" i="3"/>
  <c r="AN25" i="3" s="1"/>
  <c r="AE26" i="3"/>
  <c r="AF26" i="3" s="1"/>
  <c r="AE27" i="3"/>
  <c r="AN27" i="3" s="1"/>
  <c r="AE28" i="3"/>
  <c r="AN28" i="3" s="1"/>
  <c r="AE29" i="3"/>
  <c r="AF29" i="3" s="1"/>
  <c r="AE30" i="3"/>
  <c r="AN30" i="3" s="1"/>
  <c r="AE31" i="3"/>
  <c r="AN31" i="3" s="1"/>
  <c r="AF31" i="3"/>
  <c r="AE32" i="3"/>
  <c r="AN32" i="3" s="1"/>
  <c r="AE33" i="3"/>
  <c r="AN33" i="3" s="1"/>
  <c r="AE34" i="3"/>
  <c r="AN34" i="3" s="1"/>
  <c r="AF34" i="3"/>
  <c r="AE35" i="3"/>
  <c r="AF35" i="3" s="1"/>
  <c r="AE36" i="3"/>
  <c r="AF36" i="3" s="1"/>
  <c r="AE37" i="3"/>
  <c r="AN37" i="3" s="1"/>
  <c r="AE38" i="3"/>
  <c r="AF38" i="3" s="1"/>
  <c r="AE39" i="3"/>
  <c r="AN39" i="3" s="1"/>
  <c r="AE40" i="3"/>
  <c r="AN40" i="3" s="1"/>
  <c r="AE41" i="3"/>
  <c r="AN41" i="3" s="1"/>
  <c r="AE42" i="3"/>
  <c r="AN42" i="3" s="1"/>
  <c r="AF42" i="3"/>
  <c r="AE43" i="3"/>
  <c r="AF43" i="3" s="1"/>
  <c r="AE44" i="3"/>
  <c r="AN44" i="3" s="1"/>
  <c r="AE45" i="3"/>
  <c r="AN45" i="3" s="1"/>
  <c r="AF46" i="3"/>
  <c r="AE47" i="3"/>
  <c r="AF47" i="3" s="1"/>
  <c r="AE48" i="3"/>
  <c r="AF48" i="3" s="1"/>
  <c r="AE49" i="3"/>
  <c r="AN49" i="3" s="1"/>
  <c r="AE50" i="3"/>
  <c r="AF50" i="3" s="1"/>
  <c r="AE51" i="3"/>
  <c r="AN51" i="3" s="1"/>
  <c r="AE52" i="3"/>
  <c r="AN52" i="3" s="1"/>
  <c r="AE53" i="3"/>
  <c r="AN53" i="3" s="1"/>
  <c r="AE54" i="3"/>
  <c r="AN54" i="3" s="1"/>
  <c r="AF54" i="3"/>
  <c r="AE55" i="3"/>
  <c r="AN55" i="3" s="1"/>
  <c r="AE56" i="3"/>
  <c r="AN56" i="3" s="1"/>
  <c r="AE57" i="3"/>
  <c r="AN57" i="3" s="1"/>
  <c r="AE58" i="3"/>
  <c r="AF58" i="3" s="1"/>
  <c r="AE59" i="3"/>
  <c r="AF59" i="3" s="1"/>
  <c r="AE60" i="3"/>
  <c r="AF60" i="3" s="1"/>
  <c r="AE61" i="3"/>
  <c r="AN61" i="3" s="1"/>
  <c r="AE62" i="3"/>
  <c r="AF62" i="3" s="1"/>
  <c r="AE63" i="3"/>
  <c r="AN63" i="3" s="1"/>
  <c r="AF63" i="3"/>
  <c r="AE64" i="3"/>
  <c r="AF64" i="3" s="1"/>
  <c r="AE65" i="3"/>
  <c r="AN65" i="3" s="1"/>
  <c r="AE66" i="3"/>
  <c r="AN66" i="3" s="1"/>
  <c r="AE67" i="3"/>
  <c r="AN67" i="3" s="1"/>
  <c r="AE68" i="3"/>
  <c r="AF68" i="3" s="1"/>
  <c r="AE69" i="3"/>
  <c r="AN69" i="3" s="1"/>
  <c r="AE70" i="3"/>
  <c r="AF70" i="3" s="1"/>
  <c r="AE71" i="3"/>
  <c r="AF71" i="3" s="1"/>
  <c r="AE72" i="3"/>
  <c r="AF72" i="3" s="1"/>
  <c r="AE73" i="3"/>
  <c r="AN73" i="3" s="1"/>
  <c r="AE74" i="3"/>
  <c r="AF74" i="3" s="1"/>
  <c r="AE75" i="3"/>
  <c r="AN75" i="3" s="1"/>
  <c r="AE76" i="3"/>
  <c r="AN76" i="3" s="1"/>
  <c r="AE77" i="3"/>
  <c r="AN77" i="3" s="1"/>
  <c r="AE78" i="3"/>
  <c r="AN78" i="3" s="1"/>
  <c r="AF78" i="3"/>
  <c r="AE79" i="3"/>
  <c r="AF79" i="3" s="1"/>
  <c r="AN80" i="3"/>
  <c r="AN46" i="3"/>
  <c r="AN14" i="3"/>
  <c r="AF44" i="3" l="1"/>
  <c r="AF52" i="3"/>
  <c r="AF16" i="3"/>
  <c r="AF67" i="3"/>
  <c r="AF65" i="3"/>
  <c r="AF15" i="3"/>
  <c r="AN79" i="3"/>
  <c r="AF20" i="3"/>
  <c r="AF40" i="3"/>
  <c r="AN48" i="3"/>
  <c r="AF57" i="3"/>
  <c r="AF75" i="3"/>
  <c r="AF39" i="3"/>
  <c r="AF56" i="3"/>
  <c r="AF19" i="3"/>
  <c r="AF73" i="3"/>
  <c r="AF37" i="3"/>
  <c r="AN60" i="3"/>
  <c r="AF10" i="3"/>
  <c r="AN58" i="3"/>
  <c r="AF9" i="3"/>
  <c r="AF76" i="3"/>
  <c r="AF22" i="3"/>
  <c r="AF6" i="3"/>
  <c r="AF21" i="3"/>
  <c r="AF5" i="3"/>
  <c r="AF53" i="3"/>
  <c r="AF17" i="3"/>
  <c r="AF66" i="3"/>
  <c r="AF49" i="3"/>
  <c r="AF33" i="3"/>
  <c r="AF7" i="3"/>
  <c r="AN12" i="3"/>
  <c r="AN68" i="3"/>
  <c r="AF61" i="3"/>
  <c r="AF45" i="3"/>
  <c r="AF30" i="3"/>
  <c r="AN43" i="3"/>
  <c r="AF51" i="3"/>
  <c r="AF28" i="3"/>
  <c r="AN36" i="3"/>
  <c r="AN4" i="3"/>
  <c r="AN72" i="3"/>
  <c r="AN24" i="3"/>
  <c r="AF77" i="3"/>
  <c r="AF69" i="3"/>
  <c r="AF55" i="3"/>
  <c r="AF41" i="3"/>
  <c r="AF27" i="3"/>
  <c r="AF13" i="3"/>
  <c r="AF32" i="3"/>
  <c r="AF25" i="3"/>
  <c r="AF18" i="3"/>
  <c r="AN70" i="3"/>
  <c r="AN64" i="3"/>
  <c r="AN29" i="3"/>
  <c r="AF8" i="3"/>
  <c r="AN74" i="3"/>
  <c r="AN62" i="3"/>
  <c r="AN50" i="3"/>
  <c r="AN38" i="3"/>
  <c r="AN26" i="3"/>
  <c r="AN11" i="3"/>
  <c r="AN71" i="3"/>
  <c r="AN59" i="3"/>
  <c r="AN47" i="3"/>
  <c r="AN35" i="3"/>
  <c r="AN23" i="3"/>
  <c r="O43" i="3"/>
  <c r="Q43" i="3"/>
  <c r="X43" i="3" s="1"/>
  <c r="O44" i="3"/>
  <c r="Q44" i="3"/>
  <c r="X44" i="3" s="1"/>
  <c r="O45" i="3"/>
  <c r="Q45" i="3"/>
  <c r="X45" i="3" s="1"/>
  <c r="O46" i="3"/>
  <c r="Z46" i="3" s="1"/>
  <c r="Q46" i="3"/>
  <c r="X46" i="3" s="1"/>
  <c r="O47" i="3"/>
  <c r="Q47" i="3"/>
  <c r="X47" i="3" s="1"/>
  <c r="O48" i="3"/>
  <c r="Q48" i="3"/>
  <c r="X48" i="3" s="1"/>
  <c r="O49" i="3"/>
  <c r="Z49" i="3" s="1"/>
  <c r="Q49" i="3"/>
  <c r="X49" i="3" s="1"/>
  <c r="O50" i="3"/>
  <c r="Z50" i="3" s="1"/>
  <c r="Q50" i="3"/>
  <c r="X50" i="3" s="1"/>
  <c r="R50" i="3"/>
  <c r="T50" i="3" s="1"/>
  <c r="O51" i="3"/>
  <c r="Q51" i="3"/>
  <c r="X51" i="3" s="1"/>
  <c r="O52" i="3"/>
  <c r="Q52" i="3"/>
  <c r="X52" i="3" s="1"/>
  <c r="O53" i="3"/>
  <c r="Q53" i="3"/>
  <c r="X53" i="3" s="1"/>
  <c r="O54" i="3"/>
  <c r="Q54" i="3"/>
  <c r="X54" i="3" s="1"/>
  <c r="O55" i="3"/>
  <c r="Q55" i="3"/>
  <c r="X55" i="3" s="1"/>
  <c r="O56" i="3"/>
  <c r="Q56" i="3"/>
  <c r="X56" i="3" s="1"/>
  <c r="O57" i="3"/>
  <c r="Q57" i="3"/>
  <c r="X57" i="3" s="1"/>
  <c r="O58" i="3"/>
  <c r="Z58" i="3" s="1"/>
  <c r="Q58" i="3"/>
  <c r="X58" i="3" s="1"/>
  <c r="O59" i="3"/>
  <c r="Q59" i="3"/>
  <c r="X59" i="3" s="1"/>
  <c r="O60" i="3"/>
  <c r="Q60" i="3"/>
  <c r="X60" i="3" s="1"/>
  <c r="O61" i="3"/>
  <c r="Q61" i="3"/>
  <c r="X61" i="3" s="1"/>
  <c r="O62" i="3"/>
  <c r="Q62" i="3"/>
  <c r="X62" i="3" s="1"/>
  <c r="O63" i="3"/>
  <c r="Q63" i="3"/>
  <c r="X63" i="3" s="1"/>
  <c r="O64" i="3"/>
  <c r="Z64" i="3" s="1"/>
  <c r="Q64" i="3"/>
  <c r="X64" i="3" s="1"/>
  <c r="O65" i="3"/>
  <c r="Q65" i="3"/>
  <c r="X65" i="3" s="1"/>
  <c r="O66" i="3"/>
  <c r="Q66" i="3"/>
  <c r="X66" i="3" s="1"/>
  <c r="O67" i="3"/>
  <c r="Z67" i="3" s="1"/>
  <c r="Q67" i="3"/>
  <c r="X67" i="3" s="1"/>
  <c r="O68" i="3"/>
  <c r="Z68" i="3" s="1"/>
  <c r="Q68" i="3"/>
  <c r="X68" i="3" s="1"/>
  <c r="O69" i="3"/>
  <c r="Q69" i="3"/>
  <c r="X69" i="3" s="1"/>
  <c r="O70" i="3"/>
  <c r="Q70" i="3"/>
  <c r="X70" i="3" s="1"/>
  <c r="O71" i="3"/>
  <c r="Z71" i="3" s="1"/>
  <c r="Q71" i="3"/>
  <c r="X71" i="3" s="1"/>
  <c r="O72" i="3"/>
  <c r="Q72" i="3"/>
  <c r="X72" i="3" s="1"/>
  <c r="O73" i="3"/>
  <c r="Q73" i="3"/>
  <c r="X73" i="3" s="1"/>
  <c r="O74" i="3"/>
  <c r="Q74" i="3"/>
  <c r="X74" i="3" s="1"/>
  <c r="O75" i="3"/>
  <c r="Q75" i="3"/>
  <c r="X75" i="3" s="1"/>
  <c r="O76" i="3"/>
  <c r="Z76" i="3" s="1"/>
  <c r="Q76" i="3"/>
  <c r="X76" i="3" s="1"/>
  <c r="O77" i="3"/>
  <c r="Q77" i="3"/>
  <c r="X77" i="3" s="1"/>
  <c r="O78" i="3"/>
  <c r="Q78" i="3"/>
  <c r="X78" i="3" s="1"/>
  <c r="O79" i="3"/>
  <c r="Q79" i="3"/>
  <c r="X79" i="3" s="1"/>
  <c r="O80" i="3"/>
  <c r="Z80" i="3" s="1"/>
  <c r="Q80" i="3"/>
  <c r="X80" i="3" s="1"/>
  <c r="O81" i="3"/>
  <c r="Q81" i="3"/>
  <c r="X81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M78" i="3"/>
  <c r="N78" i="3" s="1"/>
  <c r="M79" i="3"/>
  <c r="N79" i="3" s="1"/>
  <c r="M80" i="3"/>
  <c r="N80" i="3" s="1"/>
  <c r="M81" i="3"/>
  <c r="N81" i="3" s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P43" i="3" s="1"/>
  <c r="AB43" i="3" s="1"/>
  <c r="K44" i="3"/>
  <c r="P44" i="3" s="1"/>
  <c r="AB44" i="3" s="1"/>
  <c r="K45" i="3"/>
  <c r="P45" i="3" s="1"/>
  <c r="AB45" i="3" s="1"/>
  <c r="K46" i="3"/>
  <c r="P46" i="3" s="1"/>
  <c r="AB46" i="3" s="1"/>
  <c r="K47" i="3"/>
  <c r="P47" i="3" s="1"/>
  <c r="AB47" i="3" s="1"/>
  <c r="K48" i="3"/>
  <c r="P48" i="3" s="1"/>
  <c r="AB48" i="3" s="1"/>
  <c r="K49" i="3"/>
  <c r="P49" i="3" s="1"/>
  <c r="AB49" i="3" s="1"/>
  <c r="K50" i="3"/>
  <c r="P50" i="3" s="1"/>
  <c r="AB50" i="3" s="1"/>
  <c r="K51" i="3"/>
  <c r="P51" i="3" s="1"/>
  <c r="AB51" i="3" s="1"/>
  <c r="K52" i="3"/>
  <c r="P52" i="3" s="1"/>
  <c r="AB52" i="3" s="1"/>
  <c r="K53" i="3"/>
  <c r="P53" i="3" s="1"/>
  <c r="AB53" i="3" s="1"/>
  <c r="K54" i="3"/>
  <c r="P54" i="3" s="1"/>
  <c r="AB54" i="3" s="1"/>
  <c r="K55" i="3"/>
  <c r="P55" i="3" s="1"/>
  <c r="AB55" i="3" s="1"/>
  <c r="K56" i="3"/>
  <c r="P56" i="3" s="1"/>
  <c r="AB56" i="3" s="1"/>
  <c r="K57" i="3"/>
  <c r="P57" i="3" s="1"/>
  <c r="AB57" i="3" s="1"/>
  <c r="K58" i="3"/>
  <c r="P58" i="3" s="1"/>
  <c r="AB58" i="3" s="1"/>
  <c r="K59" i="3"/>
  <c r="P59" i="3" s="1"/>
  <c r="AB59" i="3" s="1"/>
  <c r="K60" i="3"/>
  <c r="P60" i="3" s="1"/>
  <c r="AB60" i="3" s="1"/>
  <c r="K61" i="3"/>
  <c r="P61" i="3" s="1"/>
  <c r="AB61" i="3" s="1"/>
  <c r="K62" i="3"/>
  <c r="P62" i="3" s="1"/>
  <c r="AB62" i="3" s="1"/>
  <c r="K63" i="3"/>
  <c r="P63" i="3" s="1"/>
  <c r="AB63" i="3" s="1"/>
  <c r="K64" i="3"/>
  <c r="P64" i="3" s="1"/>
  <c r="AB64" i="3" s="1"/>
  <c r="K65" i="3"/>
  <c r="P65" i="3" s="1"/>
  <c r="AB65" i="3" s="1"/>
  <c r="K66" i="3"/>
  <c r="P66" i="3" s="1"/>
  <c r="AB66" i="3" s="1"/>
  <c r="K67" i="3"/>
  <c r="P67" i="3" s="1"/>
  <c r="AB67" i="3" s="1"/>
  <c r="K68" i="3"/>
  <c r="P68" i="3" s="1"/>
  <c r="AB68" i="3" s="1"/>
  <c r="K69" i="3"/>
  <c r="P69" i="3" s="1"/>
  <c r="AB69" i="3" s="1"/>
  <c r="K70" i="3"/>
  <c r="P70" i="3" s="1"/>
  <c r="AB70" i="3" s="1"/>
  <c r="K71" i="3"/>
  <c r="P71" i="3" s="1"/>
  <c r="AB71" i="3" s="1"/>
  <c r="K72" i="3"/>
  <c r="P72" i="3" s="1"/>
  <c r="AB72" i="3" s="1"/>
  <c r="K73" i="3"/>
  <c r="P73" i="3" s="1"/>
  <c r="AB73" i="3" s="1"/>
  <c r="K74" i="3"/>
  <c r="P74" i="3" s="1"/>
  <c r="AB74" i="3" s="1"/>
  <c r="K75" i="3"/>
  <c r="P75" i="3" s="1"/>
  <c r="AB75" i="3" s="1"/>
  <c r="K76" i="3"/>
  <c r="P76" i="3" s="1"/>
  <c r="AB76" i="3" s="1"/>
  <c r="K77" i="3"/>
  <c r="P77" i="3" s="1"/>
  <c r="AB77" i="3" s="1"/>
  <c r="K78" i="3"/>
  <c r="P78" i="3" s="1"/>
  <c r="AB78" i="3" s="1"/>
  <c r="K79" i="3"/>
  <c r="P79" i="3" s="1"/>
  <c r="AB79" i="3" s="1"/>
  <c r="K80" i="3"/>
  <c r="P80" i="3" s="1"/>
  <c r="AB80" i="3" s="1"/>
  <c r="K81" i="3"/>
  <c r="P81" i="3" s="1"/>
  <c r="AB81" i="3" s="1"/>
  <c r="R58" i="3" l="1"/>
  <c r="T58" i="3" s="1"/>
  <c r="V58" i="3" s="1"/>
  <c r="R68" i="3"/>
  <c r="T68" i="3" s="1"/>
  <c r="R80" i="3"/>
  <c r="T80" i="3" s="1"/>
  <c r="R64" i="3"/>
  <c r="T64" i="3" s="1"/>
  <c r="R71" i="3"/>
  <c r="T71" i="3" s="1"/>
  <c r="AC58" i="3"/>
  <c r="AC50" i="3"/>
  <c r="R76" i="3"/>
  <c r="T76" i="3" s="1"/>
  <c r="AC71" i="3"/>
  <c r="R49" i="3"/>
  <c r="T49" i="3" s="1"/>
  <c r="V49" i="3" s="1"/>
  <c r="AC76" i="3"/>
  <c r="AC49" i="3"/>
  <c r="R61" i="3"/>
  <c r="T61" i="3" s="1"/>
  <c r="V61" i="3" s="1"/>
  <c r="Z61" i="3"/>
  <c r="AC61" i="3" s="1"/>
  <c r="R66" i="3"/>
  <c r="T66" i="3" s="1"/>
  <c r="V66" i="3" s="1"/>
  <c r="Z66" i="3"/>
  <c r="AC66" i="3" s="1"/>
  <c r="R60" i="3"/>
  <c r="T60" i="3" s="1"/>
  <c r="V60" i="3" s="1"/>
  <c r="Z60" i="3"/>
  <c r="AC60" i="3" s="1"/>
  <c r="R45" i="3"/>
  <c r="T45" i="3" s="1"/>
  <c r="V45" i="3" s="1"/>
  <c r="Z45" i="3"/>
  <c r="AC45" i="3" s="1"/>
  <c r="R70" i="3"/>
  <c r="T70" i="3" s="1"/>
  <c r="V70" i="3" s="1"/>
  <c r="Z70" i="3"/>
  <c r="AC70" i="3" s="1"/>
  <c r="R44" i="3"/>
  <c r="T44" i="3" s="1"/>
  <c r="V44" i="3" s="1"/>
  <c r="Z44" i="3"/>
  <c r="AC44" i="3" s="1"/>
  <c r="R69" i="3"/>
  <c r="T69" i="3" s="1"/>
  <c r="V69" i="3" s="1"/>
  <c r="Z69" i="3"/>
  <c r="AC69" i="3" s="1"/>
  <c r="R79" i="3"/>
  <c r="T79" i="3" s="1"/>
  <c r="V79" i="3" s="1"/>
  <c r="Z79" i="3"/>
  <c r="AC79" i="3" s="1"/>
  <c r="AC68" i="3"/>
  <c r="R78" i="3"/>
  <c r="T78" i="3" s="1"/>
  <c r="Z78" i="3"/>
  <c r="AC78" i="3" s="1"/>
  <c r="R73" i="3"/>
  <c r="T73" i="3" s="1"/>
  <c r="V73" i="3" s="1"/>
  <c r="Z73" i="3"/>
  <c r="AC73" i="3" s="1"/>
  <c r="R63" i="3"/>
  <c r="T63" i="3" s="1"/>
  <c r="V63" i="3" s="1"/>
  <c r="Z63" i="3"/>
  <c r="AC63" i="3" s="1"/>
  <c r="R47" i="3"/>
  <c r="T47" i="3" s="1"/>
  <c r="V47" i="3" s="1"/>
  <c r="Z47" i="3"/>
  <c r="AC47" i="3" s="1"/>
  <c r="R56" i="3"/>
  <c r="T56" i="3" s="1"/>
  <c r="V56" i="3" s="1"/>
  <c r="Z56" i="3"/>
  <c r="AC56" i="3" s="1"/>
  <c r="R81" i="3"/>
  <c r="T81" i="3" s="1"/>
  <c r="V81" i="3" s="1"/>
  <c r="Z81" i="3"/>
  <c r="AC81" i="3" s="1"/>
  <c r="R55" i="3"/>
  <c r="T55" i="3" s="1"/>
  <c r="V55" i="3" s="1"/>
  <c r="Z55" i="3"/>
  <c r="AC55" i="3" s="1"/>
  <c r="R75" i="3"/>
  <c r="T75" i="3" s="1"/>
  <c r="V75" i="3" s="1"/>
  <c r="Z75" i="3"/>
  <c r="AC75" i="3" s="1"/>
  <c r="R65" i="3"/>
  <c r="T65" i="3" s="1"/>
  <c r="V65" i="3" s="1"/>
  <c r="Z65" i="3"/>
  <c r="AC65" i="3" s="1"/>
  <c r="R59" i="3"/>
  <c r="T59" i="3" s="1"/>
  <c r="V59" i="3" s="1"/>
  <c r="Z59" i="3"/>
  <c r="AC59" i="3" s="1"/>
  <c r="AC64" i="3"/>
  <c r="R53" i="3"/>
  <c r="T53" i="3" s="1"/>
  <c r="V53" i="3" s="1"/>
  <c r="Z53" i="3"/>
  <c r="AC53" i="3" s="1"/>
  <c r="R48" i="3"/>
  <c r="T48" i="3" s="1"/>
  <c r="V48" i="3" s="1"/>
  <c r="Z48" i="3"/>
  <c r="AC48" i="3" s="1"/>
  <c r="R67" i="3"/>
  <c r="T67" i="3" s="1"/>
  <c r="V67" i="3" s="1"/>
  <c r="R57" i="3"/>
  <c r="T57" i="3" s="1"/>
  <c r="V57" i="3" s="1"/>
  <c r="Z57" i="3"/>
  <c r="AC57" i="3" s="1"/>
  <c r="R46" i="3"/>
  <c r="T46" i="3" s="1"/>
  <c r="V46" i="3" s="1"/>
  <c r="AC80" i="3"/>
  <c r="R54" i="3"/>
  <c r="T54" i="3" s="1"/>
  <c r="V54" i="3" s="1"/>
  <c r="Z54" i="3"/>
  <c r="AC54" i="3" s="1"/>
  <c r="R74" i="3"/>
  <c r="T74" i="3" s="1"/>
  <c r="V74" i="3" s="1"/>
  <c r="Z74" i="3"/>
  <c r="AC74" i="3" s="1"/>
  <c r="R43" i="3"/>
  <c r="T43" i="3" s="1"/>
  <c r="V43" i="3" s="1"/>
  <c r="Z43" i="3"/>
  <c r="AC43" i="3" s="1"/>
  <c r="R52" i="3"/>
  <c r="T52" i="3" s="1"/>
  <c r="V52" i="3" s="1"/>
  <c r="Z52" i="3"/>
  <c r="AC52" i="3" s="1"/>
  <c r="R77" i="3"/>
  <c r="T77" i="3" s="1"/>
  <c r="V77" i="3" s="1"/>
  <c r="Z77" i="3"/>
  <c r="AC77" i="3" s="1"/>
  <c r="R72" i="3"/>
  <c r="T72" i="3" s="1"/>
  <c r="V72" i="3" s="1"/>
  <c r="Z72" i="3"/>
  <c r="AC72" i="3" s="1"/>
  <c r="AC67" i="3"/>
  <c r="R62" i="3"/>
  <c r="T62" i="3" s="1"/>
  <c r="V62" i="3" s="1"/>
  <c r="Z62" i="3"/>
  <c r="AC62" i="3" s="1"/>
  <c r="R51" i="3"/>
  <c r="T51" i="3" s="1"/>
  <c r="V51" i="3" s="1"/>
  <c r="Z51" i="3"/>
  <c r="AC51" i="3" s="1"/>
  <c r="AC46" i="3"/>
  <c r="V78" i="3"/>
  <c r="V76" i="3"/>
  <c r="V64" i="3"/>
  <c r="V80" i="3"/>
  <c r="V68" i="3"/>
  <c r="V71" i="3"/>
  <c r="V50" i="3"/>
  <c r="AE3" i="3"/>
  <c r="S82" i="3"/>
  <c r="O4" i="3"/>
  <c r="Z4" i="3" s="1"/>
  <c r="Q4" i="3"/>
  <c r="X4" i="3" s="1"/>
  <c r="R4" i="3"/>
  <c r="T4" i="3" s="1"/>
  <c r="O5" i="3"/>
  <c r="R5" i="3" s="1"/>
  <c r="T5" i="3" s="1"/>
  <c r="Q5" i="3"/>
  <c r="X5" i="3" s="1"/>
  <c r="O6" i="3"/>
  <c r="R6" i="3" s="1"/>
  <c r="T6" i="3" s="1"/>
  <c r="Q6" i="3"/>
  <c r="X6" i="3" s="1"/>
  <c r="O7" i="3"/>
  <c r="R7" i="3" s="1"/>
  <c r="T7" i="3" s="1"/>
  <c r="Q7" i="3"/>
  <c r="X7" i="3" s="1"/>
  <c r="O8" i="3"/>
  <c r="Z8" i="3" s="1"/>
  <c r="Q8" i="3"/>
  <c r="X8" i="3" s="1"/>
  <c r="O9" i="3"/>
  <c r="Z9" i="3" s="1"/>
  <c r="Q9" i="3"/>
  <c r="X9" i="3" s="1"/>
  <c r="O10" i="3"/>
  <c r="Z10" i="3" s="1"/>
  <c r="P10" i="3"/>
  <c r="AB10" i="3" s="1"/>
  <c r="Q10" i="3"/>
  <c r="X10" i="3" s="1"/>
  <c r="O11" i="3"/>
  <c r="Z11" i="3" s="1"/>
  <c r="Q11" i="3"/>
  <c r="X11" i="3" s="1"/>
  <c r="O12" i="3"/>
  <c r="Z12" i="3" s="1"/>
  <c r="Q12" i="3"/>
  <c r="X12" i="3" s="1"/>
  <c r="O13" i="3"/>
  <c r="Z13" i="3" s="1"/>
  <c r="Q13" i="3"/>
  <c r="X13" i="3" s="1"/>
  <c r="O14" i="3"/>
  <c r="R14" i="3" s="1"/>
  <c r="T14" i="3" s="1"/>
  <c r="Q14" i="3"/>
  <c r="X14" i="3" s="1"/>
  <c r="O15" i="3"/>
  <c r="Z15" i="3" s="1"/>
  <c r="Q15" i="3"/>
  <c r="X15" i="3" s="1"/>
  <c r="O16" i="3"/>
  <c r="Z16" i="3" s="1"/>
  <c r="Q16" i="3"/>
  <c r="X16" i="3" s="1"/>
  <c r="O17" i="3"/>
  <c r="Z17" i="3" s="1"/>
  <c r="Q17" i="3"/>
  <c r="X17" i="3" s="1"/>
  <c r="O18" i="3"/>
  <c r="Z18" i="3" s="1"/>
  <c r="Q18" i="3"/>
  <c r="X18" i="3" s="1"/>
  <c r="O19" i="3"/>
  <c r="Z19" i="3" s="1"/>
  <c r="Q19" i="3"/>
  <c r="X19" i="3" s="1"/>
  <c r="O20" i="3"/>
  <c r="R20" i="3" s="1"/>
  <c r="T20" i="3" s="1"/>
  <c r="Q20" i="3"/>
  <c r="X20" i="3" s="1"/>
  <c r="O21" i="3"/>
  <c r="Z21" i="3" s="1"/>
  <c r="Q21" i="3"/>
  <c r="X21" i="3" s="1"/>
  <c r="O22" i="3"/>
  <c r="Z22" i="3" s="1"/>
  <c r="Q22" i="3"/>
  <c r="X22" i="3" s="1"/>
  <c r="O23" i="3"/>
  <c r="Z23" i="3" s="1"/>
  <c r="Q23" i="3"/>
  <c r="X23" i="3" s="1"/>
  <c r="O24" i="3"/>
  <c r="Z24" i="3" s="1"/>
  <c r="Q24" i="3"/>
  <c r="X24" i="3" s="1"/>
  <c r="O25" i="3"/>
  <c r="Z25" i="3" s="1"/>
  <c r="Q25" i="3"/>
  <c r="X25" i="3" s="1"/>
  <c r="O26" i="3"/>
  <c r="R26" i="3" s="1"/>
  <c r="T26" i="3" s="1"/>
  <c r="Q26" i="3"/>
  <c r="X26" i="3" s="1"/>
  <c r="O27" i="3"/>
  <c r="Z27" i="3" s="1"/>
  <c r="Q27" i="3"/>
  <c r="X27" i="3" s="1"/>
  <c r="O28" i="3"/>
  <c r="Z28" i="3" s="1"/>
  <c r="Q28" i="3"/>
  <c r="X28" i="3" s="1"/>
  <c r="O29" i="3"/>
  <c r="Z29" i="3" s="1"/>
  <c r="Q29" i="3"/>
  <c r="X29" i="3" s="1"/>
  <c r="O30" i="3"/>
  <c r="Z30" i="3" s="1"/>
  <c r="Q30" i="3"/>
  <c r="X30" i="3" s="1"/>
  <c r="O31" i="3"/>
  <c r="Z31" i="3" s="1"/>
  <c r="Q31" i="3"/>
  <c r="X31" i="3" s="1"/>
  <c r="O32" i="3"/>
  <c r="R32" i="3" s="1"/>
  <c r="T32" i="3" s="1"/>
  <c r="Q32" i="3"/>
  <c r="X32" i="3" s="1"/>
  <c r="O33" i="3"/>
  <c r="R33" i="3" s="1"/>
  <c r="T33" i="3" s="1"/>
  <c r="Q33" i="3"/>
  <c r="X33" i="3" s="1"/>
  <c r="O34" i="3"/>
  <c r="Z34" i="3" s="1"/>
  <c r="Q34" i="3"/>
  <c r="X34" i="3" s="1"/>
  <c r="O35" i="3"/>
  <c r="Z35" i="3" s="1"/>
  <c r="Q35" i="3"/>
  <c r="X35" i="3" s="1"/>
  <c r="O36" i="3"/>
  <c r="Z36" i="3" s="1"/>
  <c r="Q36" i="3"/>
  <c r="X36" i="3" s="1"/>
  <c r="O37" i="3"/>
  <c r="R37" i="3" s="1"/>
  <c r="T37" i="3" s="1"/>
  <c r="Q37" i="3"/>
  <c r="X37" i="3" s="1"/>
  <c r="O38" i="3"/>
  <c r="Z38" i="3" s="1"/>
  <c r="Q38" i="3"/>
  <c r="X38" i="3" s="1"/>
  <c r="R38" i="3"/>
  <c r="T38" i="3" s="1"/>
  <c r="O39" i="3"/>
  <c r="Z39" i="3" s="1"/>
  <c r="Q39" i="3"/>
  <c r="X39" i="3" s="1"/>
  <c r="O40" i="3"/>
  <c r="Z40" i="3" s="1"/>
  <c r="Q40" i="3"/>
  <c r="X40" i="3" s="1"/>
  <c r="O41" i="3"/>
  <c r="Z41" i="3" s="1"/>
  <c r="Q41" i="3"/>
  <c r="X41" i="3" s="1"/>
  <c r="O42" i="3"/>
  <c r="Z42" i="3" s="1"/>
  <c r="Q42" i="3"/>
  <c r="X42" i="3" s="1"/>
  <c r="N8" i="3"/>
  <c r="N10" i="3"/>
  <c r="N12" i="3"/>
  <c r="N13" i="3"/>
  <c r="N14" i="3"/>
  <c r="P14" i="3"/>
  <c r="AB14" i="3" s="1"/>
  <c r="P4" i="3"/>
  <c r="AB4" i="3" s="1"/>
  <c r="N4" i="3"/>
  <c r="P5" i="3"/>
  <c r="AB5" i="3" s="1"/>
  <c r="N5" i="3"/>
  <c r="P6" i="3"/>
  <c r="AB6" i="3" s="1"/>
  <c r="N6" i="3"/>
  <c r="P7" i="3"/>
  <c r="AB7" i="3" s="1"/>
  <c r="N7" i="3"/>
  <c r="P8" i="3"/>
  <c r="AB8" i="3" s="1"/>
  <c r="P9" i="3"/>
  <c r="AB9" i="3" s="1"/>
  <c r="N9" i="3"/>
  <c r="P11" i="3"/>
  <c r="AB11" i="3" s="1"/>
  <c r="N11" i="3"/>
  <c r="P12" i="3"/>
  <c r="AB12" i="3" s="1"/>
  <c r="P13" i="3"/>
  <c r="AB13" i="3" s="1"/>
  <c r="R21" i="3" l="1"/>
  <c r="T21" i="3" s="1"/>
  <c r="R23" i="3"/>
  <c r="T23" i="3" s="1"/>
  <c r="AD58" i="3"/>
  <c r="AP58" i="3" s="1"/>
  <c r="AD50" i="3"/>
  <c r="AP50" i="3" s="1"/>
  <c r="R42" i="3"/>
  <c r="T42" i="3" s="1"/>
  <c r="AD76" i="3"/>
  <c r="AP76" i="3" s="1"/>
  <c r="R8" i="3"/>
  <c r="T8" i="3" s="1"/>
  <c r="V8" i="3" s="1"/>
  <c r="AD64" i="3"/>
  <c r="AP64" i="3" s="1"/>
  <c r="AD49" i="3"/>
  <c r="AP49" i="3" s="1"/>
  <c r="AD77" i="3"/>
  <c r="AP77" i="3" s="1"/>
  <c r="AD67" i="3"/>
  <c r="AP67" i="3" s="1"/>
  <c r="R10" i="3"/>
  <c r="T10" i="3" s="1"/>
  <c r="V10" i="3" s="1"/>
  <c r="AD71" i="3"/>
  <c r="AP71" i="3" s="1"/>
  <c r="AD81" i="3"/>
  <c r="AJ81" i="3" s="1"/>
  <c r="AD57" i="3"/>
  <c r="AP57" i="3" s="1"/>
  <c r="AD47" i="3"/>
  <c r="AP47" i="3" s="1"/>
  <c r="AD75" i="3"/>
  <c r="AP75" i="3" s="1"/>
  <c r="AD52" i="3"/>
  <c r="R12" i="3"/>
  <c r="T12" i="3" s="1"/>
  <c r="R39" i="3"/>
  <c r="T39" i="3" s="1"/>
  <c r="R17" i="3"/>
  <c r="T17" i="3" s="1"/>
  <c r="AD61" i="3"/>
  <c r="AD66" i="3"/>
  <c r="AD69" i="3"/>
  <c r="AD63" i="3"/>
  <c r="AD48" i="3"/>
  <c r="AP48" i="3" s="1"/>
  <c r="AD55" i="3"/>
  <c r="AP55" i="3" s="1"/>
  <c r="AD53" i="3"/>
  <c r="AP53" i="3" s="1"/>
  <c r="AD51" i="3"/>
  <c r="AP51" i="3" s="1"/>
  <c r="AD45" i="3"/>
  <c r="AP45" i="3" s="1"/>
  <c r="AD62" i="3"/>
  <c r="AP62" i="3" s="1"/>
  <c r="AD56" i="3"/>
  <c r="AP56" i="3" s="1"/>
  <c r="AD65" i="3"/>
  <c r="AP65" i="3" s="1"/>
  <c r="AD60" i="3"/>
  <c r="AP60" i="3" s="1"/>
  <c r="AD59" i="3"/>
  <c r="AP59" i="3" s="1"/>
  <c r="AD72" i="3"/>
  <c r="AP72" i="3" s="1"/>
  <c r="AH50" i="3"/>
  <c r="AI50" i="3" s="1"/>
  <c r="AD79" i="3"/>
  <c r="AP79" i="3" s="1"/>
  <c r="AD70" i="3"/>
  <c r="AP70" i="3" s="1"/>
  <c r="AD43" i="3"/>
  <c r="AP43" i="3" s="1"/>
  <c r="AD74" i="3"/>
  <c r="AP74" i="3" s="1"/>
  <c r="V5" i="3"/>
  <c r="AD46" i="3"/>
  <c r="AP46" i="3" s="1"/>
  <c r="AJ58" i="3"/>
  <c r="AH58" i="3"/>
  <c r="AI58" i="3" s="1"/>
  <c r="AD44" i="3"/>
  <c r="AP44" i="3" s="1"/>
  <c r="AD73" i="3"/>
  <c r="AP73" i="3" s="1"/>
  <c r="Z6" i="3"/>
  <c r="AC6" i="3" s="1"/>
  <c r="AD68" i="3"/>
  <c r="AP68" i="3" s="1"/>
  <c r="Z5" i="3"/>
  <c r="AC5" i="3" s="1"/>
  <c r="AD80" i="3"/>
  <c r="AP80" i="3" s="1"/>
  <c r="AD54" i="3"/>
  <c r="AP54" i="3" s="1"/>
  <c r="AD78" i="3"/>
  <c r="AP78" i="3" s="1"/>
  <c r="Z20" i="3"/>
  <c r="Z37" i="3"/>
  <c r="R35" i="3"/>
  <c r="T35" i="3" s="1"/>
  <c r="R30" i="3"/>
  <c r="T30" i="3" s="1"/>
  <c r="R25" i="3"/>
  <c r="T25" i="3" s="1"/>
  <c r="R15" i="3"/>
  <c r="T15" i="3" s="1"/>
  <c r="R34" i="3"/>
  <c r="T34" i="3" s="1"/>
  <c r="R29" i="3"/>
  <c r="T29" i="3" s="1"/>
  <c r="R19" i="3"/>
  <c r="T19" i="3" s="1"/>
  <c r="AC10" i="3"/>
  <c r="Z33" i="3"/>
  <c r="R36" i="3"/>
  <c r="T36" i="3" s="1"/>
  <c r="R27" i="3"/>
  <c r="T27" i="3" s="1"/>
  <c r="R18" i="3"/>
  <c r="T18" i="3" s="1"/>
  <c r="V4" i="3"/>
  <c r="V12" i="3"/>
  <c r="R40" i="3"/>
  <c r="T40" i="3" s="1"/>
  <c r="R31" i="3"/>
  <c r="T31" i="3" s="1"/>
  <c r="R22" i="3"/>
  <c r="T22" i="3" s="1"/>
  <c r="R13" i="3"/>
  <c r="T13" i="3" s="1"/>
  <c r="V13" i="3" s="1"/>
  <c r="R9" i="3"/>
  <c r="T9" i="3" s="1"/>
  <c r="V9" i="3" s="1"/>
  <c r="Z14" i="3"/>
  <c r="AC14" i="3" s="1"/>
  <c r="R16" i="3"/>
  <c r="T16" i="3" s="1"/>
  <c r="AC12" i="3"/>
  <c r="AC8" i="3"/>
  <c r="Z32" i="3"/>
  <c r="Z7" i="3"/>
  <c r="AC7" i="3" s="1"/>
  <c r="V6" i="3"/>
  <c r="AC13" i="3"/>
  <c r="AC4" i="3"/>
  <c r="V14" i="3"/>
  <c r="R24" i="3"/>
  <c r="T24" i="3" s="1"/>
  <c r="V7" i="3"/>
  <c r="AC9" i="3"/>
  <c r="R28" i="3"/>
  <c r="T28" i="3" s="1"/>
  <c r="AC11" i="3"/>
  <c r="Z26" i="3"/>
  <c r="R41" i="3"/>
  <c r="T41" i="3" s="1"/>
  <c r="R11" i="3"/>
  <c r="T11" i="3" s="1"/>
  <c r="V11" i="3" s="1"/>
  <c r="AH76" i="3" l="1"/>
  <c r="AI76" i="3" s="1"/>
  <c r="AJ50" i="3"/>
  <c r="AJ76" i="3"/>
  <c r="AH49" i="3"/>
  <c r="AI49" i="3" s="1"/>
  <c r="AH67" i="3"/>
  <c r="AI67" i="3" s="1"/>
  <c r="AJ64" i="3"/>
  <c r="AJ49" i="3"/>
  <c r="AH64" i="3"/>
  <c r="AI64" i="3" s="1"/>
  <c r="AK64" i="3" s="1"/>
  <c r="AM64" i="3" s="1"/>
  <c r="AJ67" i="3"/>
  <c r="AJ77" i="3"/>
  <c r="AH77" i="3"/>
  <c r="AI77" i="3" s="1"/>
  <c r="AH71" i="3"/>
  <c r="AI71" i="3" s="1"/>
  <c r="AJ71" i="3"/>
  <c r="AH47" i="3"/>
  <c r="AI47" i="3" s="1"/>
  <c r="AH81" i="3"/>
  <c r="AI81" i="3" s="1"/>
  <c r="AK81" i="3" s="1"/>
  <c r="AJ47" i="3"/>
  <c r="AJ57" i="3"/>
  <c r="AK50" i="3"/>
  <c r="AM50" i="3" s="1"/>
  <c r="AJ69" i="3"/>
  <c r="AP69" i="3"/>
  <c r="AJ52" i="3"/>
  <c r="AP52" i="3"/>
  <c r="AJ66" i="3"/>
  <c r="AP66" i="3"/>
  <c r="AH61" i="3"/>
  <c r="AI61" i="3" s="1"/>
  <c r="AP61" i="3"/>
  <c r="AH75" i="3"/>
  <c r="AI75" i="3" s="1"/>
  <c r="AJ75" i="3"/>
  <c r="AH57" i="3"/>
  <c r="AI57" i="3" s="1"/>
  <c r="AJ63" i="3"/>
  <c r="AP63" i="3"/>
  <c r="AH63" i="3"/>
  <c r="AI63" i="3" s="1"/>
  <c r="AJ61" i="3"/>
  <c r="AK58" i="3"/>
  <c r="AM58" i="3" s="1"/>
  <c r="AH66" i="3"/>
  <c r="AI66" i="3" s="1"/>
  <c r="AH52" i="3"/>
  <c r="AI52" i="3" s="1"/>
  <c r="AH69" i="3"/>
  <c r="AI69" i="3" s="1"/>
  <c r="AH73" i="3"/>
  <c r="AI73" i="3" s="1"/>
  <c r="AJ73" i="3"/>
  <c r="AH56" i="3"/>
  <c r="AI56" i="3" s="1"/>
  <c r="AJ56" i="3"/>
  <c r="AJ74" i="3"/>
  <c r="AH74" i="3"/>
  <c r="AI74" i="3" s="1"/>
  <c r="AK74" i="3" s="1"/>
  <c r="AM74" i="3" s="1"/>
  <c r="AJ62" i="3"/>
  <c r="AH62" i="3"/>
  <c r="AI62" i="3" s="1"/>
  <c r="AK62" i="3" s="1"/>
  <c r="AM62" i="3" s="1"/>
  <c r="AH70" i="3"/>
  <c r="AI70" i="3" s="1"/>
  <c r="AJ70" i="3"/>
  <c r="AJ45" i="3"/>
  <c r="AH45" i="3"/>
  <c r="AI45" i="3" s="1"/>
  <c r="AJ79" i="3"/>
  <c r="AH79" i="3"/>
  <c r="AI79" i="3" s="1"/>
  <c r="AJ51" i="3"/>
  <c r="AH51" i="3"/>
  <c r="AI51" i="3" s="1"/>
  <c r="AJ78" i="3"/>
  <c r="AH78" i="3"/>
  <c r="AI78" i="3" s="1"/>
  <c r="AK78" i="3" s="1"/>
  <c r="AM78" i="3" s="1"/>
  <c r="AH44" i="3"/>
  <c r="AI44" i="3" s="1"/>
  <c r="AJ44" i="3"/>
  <c r="AH53" i="3"/>
  <c r="AI53" i="3" s="1"/>
  <c r="AJ53" i="3"/>
  <c r="AJ54" i="3"/>
  <c r="AH54" i="3"/>
  <c r="AI54" i="3" s="1"/>
  <c r="AJ43" i="3"/>
  <c r="AH43" i="3"/>
  <c r="AI43" i="3" s="1"/>
  <c r="AJ55" i="3"/>
  <c r="AH55" i="3"/>
  <c r="AI55" i="3" s="1"/>
  <c r="AJ80" i="3"/>
  <c r="AH80" i="3"/>
  <c r="AI80" i="3" s="1"/>
  <c r="AK80" i="3" s="1"/>
  <c r="AM80" i="3" s="1"/>
  <c r="AJ65" i="3"/>
  <c r="AH65" i="3"/>
  <c r="AI65" i="3" s="1"/>
  <c r="AK65" i="3" s="1"/>
  <c r="AM65" i="3" s="1"/>
  <c r="AJ48" i="3"/>
  <c r="AH48" i="3"/>
  <c r="AI48" i="3" s="1"/>
  <c r="AJ68" i="3"/>
  <c r="AH68" i="3"/>
  <c r="AI68" i="3" s="1"/>
  <c r="AH46" i="3"/>
  <c r="AI46" i="3" s="1"/>
  <c r="AJ46" i="3"/>
  <c r="AJ72" i="3"/>
  <c r="AH72" i="3"/>
  <c r="AI72" i="3" s="1"/>
  <c r="AK72" i="3" s="1"/>
  <c r="AM72" i="3" s="1"/>
  <c r="AJ59" i="3"/>
  <c r="AH59" i="3"/>
  <c r="AI59" i="3" s="1"/>
  <c r="AK76" i="3"/>
  <c r="AM76" i="3" s="1"/>
  <c r="AJ60" i="3"/>
  <c r="AH60" i="3"/>
  <c r="AI60" i="3" s="1"/>
  <c r="AD14" i="3"/>
  <c r="AK66" i="3" l="1"/>
  <c r="AM66" i="3" s="1"/>
  <c r="AK57" i="3"/>
  <c r="AM57" i="3" s="1"/>
  <c r="AK46" i="3"/>
  <c r="AM46" i="3" s="1"/>
  <c r="AK68" i="3"/>
  <c r="AM68" i="3" s="1"/>
  <c r="AK54" i="3"/>
  <c r="AM54" i="3" s="1"/>
  <c r="AK45" i="3"/>
  <c r="AM45" i="3" s="1"/>
  <c r="AK71" i="3"/>
  <c r="AM71" i="3" s="1"/>
  <c r="AK77" i="3"/>
  <c r="AM77" i="3" s="1"/>
  <c r="AK79" i="3"/>
  <c r="AM79" i="3" s="1"/>
  <c r="AK53" i="3"/>
  <c r="AM53" i="3" s="1"/>
  <c r="AK67" i="3"/>
  <c r="AM67" i="3" s="1"/>
  <c r="AK49" i="3"/>
  <c r="AM49" i="3" s="1"/>
  <c r="AK48" i="3"/>
  <c r="AM48" i="3" s="1"/>
  <c r="AK59" i="3"/>
  <c r="AM59" i="3" s="1"/>
  <c r="AK63" i="3"/>
  <c r="AM63" i="3" s="1"/>
  <c r="AK56" i="3"/>
  <c r="AM56" i="3" s="1"/>
  <c r="AK69" i="3"/>
  <c r="AM69" i="3" s="1"/>
  <c r="AK61" i="3"/>
  <c r="AM61" i="3" s="1"/>
  <c r="AK47" i="3"/>
  <c r="AM47" i="3" s="1"/>
  <c r="AK52" i="3"/>
  <c r="AM52" i="3" s="1"/>
  <c r="AK75" i="3"/>
  <c r="AM75" i="3" s="1"/>
  <c r="AK60" i="3"/>
  <c r="AM60" i="3" s="1"/>
  <c r="AK43" i="3"/>
  <c r="AM43" i="3" s="1"/>
  <c r="AK51" i="3"/>
  <c r="AM51" i="3" s="1"/>
  <c r="AK55" i="3"/>
  <c r="AM55" i="3" s="1"/>
  <c r="AK73" i="3"/>
  <c r="AM73" i="3" s="1"/>
  <c r="AK44" i="3"/>
  <c r="AM44" i="3" s="1"/>
  <c r="AK70" i="3"/>
  <c r="AM70" i="3" s="1"/>
  <c r="AJ14" i="3"/>
  <c r="AH14" i="3"/>
  <c r="AI14" i="3" s="1"/>
  <c r="AK14" i="3" s="1"/>
  <c r="AM14" i="3" s="1"/>
  <c r="W82" i="3" l="1"/>
  <c r="N32" i="3" l="1"/>
  <c r="V32" i="3" s="1"/>
  <c r="P32" i="3"/>
  <c r="AB32" i="3" s="1"/>
  <c r="AC32" i="3" s="1"/>
  <c r="O3" i="3" l="1"/>
  <c r="Z3" i="3" s="1"/>
  <c r="AD9" i="3" l="1"/>
  <c r="R3" i="3"/>
  <c r="AD32" i="3"/>
  <c r="O82" i="3"/>
  <c r="AJ32" i="3" l="1"/>
  <c r="AH32" i="3"/>
  <c r="AI32" i="3" s="1"/>
  <c r="AK32" i="3" s="1"/>
  <c r="AM32" i="3" s="1"/>
  <c r="AJ9" i="3"/>
  <c r="AH9" i="3"/>
  <c r="AI9" i="3" s="1"/>
  <c r="AK9" i="3" s="1"/>
  <c r="AM9" i="3" s="1"/>
  <c r="AP9" i="3"/>
  <c r="Q3" i="3" l="1"/>
  <c r="AL82" i="3"/>
  <c r="AE82" i="3"/>
  <c r="AA82" i="3"/>
  <c r="Y82" i="3"/>
  <c r="U82" i="3"/>
  <c r="H82" i="3"/>
  <c r="G82" i="3"/>
  <c r="P31" i="3"/>
  <c r="AB31" i="3" s="1"/>
  <c r="AC31" i="3" s="1"/>
  <c r="N31" i="3"/>
  <c r="V31" i="3" s="1"/>
  <c r="AD31" i="3" l="1"/>
  <c r="N16" i="3"/>
  <c r="V16" i="3" s="1"/>
  <c r="P16" i="3"/>
  <c r="AB16" i="3" s="1"/>
  <c r="AC16" i="3" s="1"/>
  <c r="N30" i="3"/>
  <c r="V30" i="3" s="1"/>
  <c r="P30" i="3"/>
  <c r="AB30" i="3" s="1"/>
  <c r="AC30" i="3" s="1"/>
  <c r="N33" i="3"/>
  <c r="V33" i="3" s="1"/>
  <c r="P33" i="3"/>
  <c r="AB33" i="3" s="1"/>
  <c r="AC33" i="3" s="1"/>
  <c r="N35" i="3"/>
  <c r="V35" i="3" s="1"/>
  <c r="P35" i="3"/>
  <c r="AB35" i="3" s="1"/>
  <c r="AC35" i="3" s="1"/>
  <c r="AN3" i="3"/>
  <c r="AF3" i="3"/>
  <c r="X3" i="3"/>
  <c r="M3" i="3"/>
  <c r="N3" i="3" s="1"/>
  <c r="K3" i="3"/>
  <c r="AN81" i="3"/>
  <c r="AP81" i="3" s="1"/>
  <c r="N42" i="3"/>
  <c r="V42" i="3" s="1"/>
  <c r="P42" i="3"/>
  <c r="AB42" i="3" s="1"/>
  <c r="AC42" i="3" s="1"/>
  <c r="N41" i="3"/>
  <c r="V41" i="3" s="1"/>
  <c r="P41" i="3"/>
  <c r="AB41" i="3" s="1"/>
  <c r="AC41" i="3" s="1"/>
  <c r="N40" i="3"/>
  <c r="V40" i="3" s="1"/>
  <c r="P40" i="3"/>
  <c r="AB40" i="3" s="1"/>
  <c r="AC40" i="3" s="1"/>
  <c r="N39" i="3"/>
  <c r="V39" i="3" s="1"/>
  <c r="P39" i="3"/>
  <c r="AB39" i="3" s="1"/>
  <c r="AC39" i="3" s="1"/>
  <c r="N38" i="3"/>
  <c r="V38" i="3" s="1"/>
  <c r="P38" i="3"/>
  <c r="AB38" i="3" s="1"/>
  <c r="AC38" i="3" s="1"/>
  <c r="N37" i="3"/>
  <c r="V37" i="3" s="1"/>
  <c r="P37" i="3"/>
  <c r="AB37" i="3" s="1"/>
  <c r="AC37" i="3" s="1"/>
  <c r="N36" i="3"/>
  <c r="V36" i="3" s="1"/>
  <c r="P36" i="3"/>
  <c r="AB36" i="3" s="1"/>
  <c r="AC36" i="3" s="1"/>
  <c r="N34" i="3"/>
  <c r="V34" i="3" s="1"/>
  <c r="P34" i="3"/>
  <c r="AB34" i="3" s="1"/>
  <c r="AC34" i="3" s="1"/>
  <c r="N29" i="3"/>
  <c r="V29" i="3" s="1"/>
  <c r="P29" i="3"/>
  <c r="AB29" i="3" s="1"/>
  <c r="AC29" i="3" s="1"/>
  <c r="N28" i="3"/>
  <c r="V28" i="3" s="1"/>
  <c r="P28" i="3"/>
  <c r="AB28" i="3" s="1"/>
  <c r="AC28" i="3" s="1"/>
  <c r="N27" i="3"/>
  <c r="V27" i="3" s="1"/>
  <c r="P27" i="3"/>
  <c r="AB27" i="3" s="1"/>
  <c r="AC27" i="3" s="1"/>
  <c r="N26" i="3"/>
  <c r="V26" i="3" s="1"/>
  <c r="P26" i="3"/>
  <c r="AB26" i="3" s="1"/>
  <c r="AC26" i="3" s="1"/>
  <c r="N25" i="3"/>
  <c r="V25" i="3" s="1"/>
  <c r="P25" i="3"/>
  <c r="AB25" i="3" s="1"/>
  <c r="AC25" i="3" s="1"/>
  <c r="N24" i="3"/>
  <c r="V24" i="3" s="1"/>
  <c r="P24" i="3"/>
  <c r="AB24" i="3" s="1"/>
  <c r="AC24" i="3" s="1"/>
  <c r="N23" i="3"/>
  <c r="V23" i="3" s="1"/>
  <c r="P23" i="3"/>
  <c r="AB23" i="3" s="1"/>
  <c r="AC23" i="3" s="1"/>
  <c r="N22" i="3"/>
  <c r="V22" i="3" s="1"/>
  <c r="P22" i="3"/>
  <c r="AB22" i="3" s="1"/>
  <c r="AC22" i="3" s="1"/>
  <c r="N21" i="3"/>
  <c r="V21" i="3" s="1"/>
  <c r="P21" i="3"/>
  <c r="AB21" i="3" s="1"/>
  <c r="AC21" i="3" s="1"/>
  <c r="N20" i="3"/>
  <c r="V20" i="3" s="1"/>
  <c r="P20" i="3"/>
  <c r="AB20" i="3" s="1"/>
  <c r="AC20" i="3" s="1"/>
  <c r="N19" i="3"/>
  <c r="V19" i="3" s="1"/>
  <c r="P19" i="3"/>
  <c r="AB19" i="3" s="1"/>
  <c r="AC19" i="3" s="1"/>
  <c r="N18" i="3"/>
  <c r="V18" i="3" s="1"/>
  <c r="P18" i="3"/>
  <c r="AB18" i="3" s="1"/>
  <c r="AC18" i="3" s="1"/>
  <c r="N17" i="3"/>
  <c r="V17" i="3" s="1"/>
  <c r="P17" i="3"/>
  <c r="AB17" i="3" s="1"/>
  <c r="AC17" i="3" s="1"/>
  <c r="N15" i="3"/>
  <c r="V15" i="3" s="1"/>
  <c r="P15" i="3"/>
  <c r="AB15" i="3" s="1"/>
  <c r="AC15" i="3" s="1"/>
  <c r="AJ31" i="3" l="1"/>
  <c r="AH31" i="3"/>
  <c r="AI31" i="3" s="1"/>
  <c r="AP31" i="3"/>
  <c r="AF82" i="3"/>
  <c r="P3" i="3"/>
  <c r="AB3" i="3" s="1"/>
  <c r="K82" i="3"/>
  <c r="AN82" i="3"/>
  <c r="N82" i="3"/>
  <c r="T3" i="3"/>
  <c r="V3" i="3" s="1"/>
  <c r="AK31" i="3" l="1"/>
  <c r="AM31" i="3" s="1"/>
  <c r="AB82" i="3"/>
  <c r="AD23" i="3"/>
  <c r="AD15" i="3"/>
  <c r="AD40" i="3"/>
  <c r="AC3" i="3"/>
  <c r="AD3" i="3" s="1"/>
  <c r="AP3" i="3" s="1"/>
  <c r="AD39" i="3"/>
  <c r="X82" i="3"/>
  <c r="Z82" i="3"/>
  <c r="T82" i="3"/>
  <c r="AD42" i="3"/>
  <c r="AD21" i="3"/>
  <c r="AD4" i="3"/>
  <c r="AD19" i="3"/>
  <c r="AD8" i="3"/>
  <c r="AD36" i="3"/>
  <c r="AD6" i="3"/>
  <c r="AD17" i="3"/>
  <c r="AD33" i="3"/>
  <c r="AD38" i="3"/>
  <c r="AD16" i="3"/>
  <c r="AD26" i="3"/>
  <c r="AD29" i="3"/>
  <c r="AD25" i="3"/>
  <c r="AD13" i="3"/>
  <c r="AD30" i="3"/>
  <c r="AD37" i="3"/>
  <c r="AD27" i="3"/>
  <c r="AD24" i="3"/>
  <c r="AD35" i="3"/>
  <c r="AD22" i="3"/>
  <c r="AD20" i="3"/>
  <c r="AD11" i="3"/>
  <c r="AD10" i="3"/>
  <c r="AD12" i="3"/>
  <c r="AD28" i="3"/>
  <c r="AD34" i="3"/>
  <c r="AD18" i="3"/>
  <c r="AD41" i="3"/>
  <c r="AH25" i="3" l="1"/>
  <c r="AI25" i="3" s="1"/>
  <c r="AJ25" i="3"/>
  <c r="AJ12" i="3"/>
  <c r="AH12" i="3"/>
  <c r="AI12" i="3" s="1"/>
  <c r="AJ21" i="3"/>
  <c r="AH21" i="3"/>
  <c r="AI21" i="3" s="1"/>
  <c r="AK21" i="3" s="1"/>
  <c r="AM21" i="3" s="1"/>
  <c r="AJ26" i="3"/>
  <c r="AH26" i="3"/>
  <c r="AI26" i="3" s="1"/>
  <c r="AJ42" i="3"/>
  <c r="AH42" i="3"/>
  <c r="AI42" i="3" s="1"/>
  <c r="AK42" i="3" s="1"/>
  <c r="AM42" i="3" s="1"/>
  <c r="AJ11" i="3"/>
  <c r="AH11" i="3"/>
  <c r="AI11" i="3" s="1"/>
  <c r="AH16" i="3"/>
  <c r="AI16" i="3" s="1"/>
  <c r="AJ16" i="3"/>
  <c r="AH20" i="3"/>
  <c r="AI20" i="3" s="1"/>
  <c r="AJ20" i="3"/>
  <c r="AH17" i="3"/>
  <c r="AI17" i="3" s="1"/>
  <c r="AJ17" i="3"/>
  <c r="AH39" i="3"/>
  <c r="AI39" i="3" s="1"/>
  <c r="AJ39" i="3"/>
  <c r="AJ24" i="3"/>
  <c r="AH24" i="3"/>
  <c r="AI24" i="3" s="1"/>
  <c r="AJ6" i="3"/>
  <c r="AH6" i="3"/>
  <c r="AI6" i="3" s="1"/>
  <c r="AH27" i="3"/>
  <c r="AI27" i="3" s="1"/>
  <c r="AJ27" i="3"/>
  <c r="AJ36" i="3"/>
  <c r="AH36" i="3"/>
  <c r="AI36" i="3" s="1"/>
  <c r="AK36" i="3" s="1"/>
  <c r="AM36" i="3" s="1"/>
  <c r="AH40" i="3"/>
  <c r="AI40" i="3" s="1"/>
  <c r="AJ40" i="3"/>
  <c r="AH41" i="3"/>
  <c r="AI41" i="3" s="1"/>
  <c r="AJ41" i="3"/>
  <c r="AH37" i="3"/>
  <c r="AI37" i="3" s="1"/>
  <c r="AJ37" i="3"/>
  <c r="AJ8" i="3"/>
  <c r="AH8" i="3"/>
  <c r="AI8" i="3" s="1"/>
  <c r="AH15" i="3"/>
  <c r="AI15" i="3" s="1"/>
  <c r="AJ15" i="3"/>
  <c r="AJ18" i="3"/>
  <c r="AH18" i="3"/>
  <c r="AI18" i="3" s="1"/>
  <c r="AK18" i="3" s="1"/>
  <c r="AM18" i="3" s="1"/>
  <c r="AJ30" i="3"/>
  <c r="AH30" i="3"/>
  <c r="AI30" i="3" s="1"/>
  <c r="AJ19" i="3"/>
  <c r="AH19" i="3"/>
  <c r="AI19" i="3" s="1"/>
  <c r="AJ23" i="3"/>
  <c r="AH23" i="3"/>
  <c r="AI23" i="3" s="1"/>
  <c r="AK23" i="3" s="1"/>
  <c r="AM23" i="3" s="1"/>
  <c r="AH28" i="3"/>
  <c r="AI28" i="3" s="1"/>
  <c r="AJ28" i="3"/>
  <c r="AH4" i="3"/>
  <c r="AI4" i="3" s="1"/>
  <c r="AJ4" i="3"/>
  <c r="AH29" i="3"/>
  <c r="AI29" i="3" s="1"/>
  <c r="AJ29" i="3"/>
  <c r="AH10" i="3"/>
  <c r="AI10" i="3" s="1"/>
  <c r="AJ10" i="3"/>
  <c r="AJ38" i="3"/>
  <c r="AH38" i="3"/>
  <c r="AI38" i="3" s="1"/>
  <c r="AH22" i="3"/>
  <c r="AI22" i="3" s="1"/>
  <c r="AJ22" i="3"/>
  <c r="AJ33" i="3"/>
  <c r="AH33" i="3"/>
  <c r="AI33" i="3" s="1"/>
  <c r="AJ35" i="3"/>
  <c r="AH35" i="3"/>
  <c r="AI35" i="3" s="1"/>
  <c r="AK35" i="3" s="1"/>
  <c r="AM35" i="3" s="1"/>
  <c r="AH34" i="3"/>
  <c r="AI34" i="3" s="1"/>
  <c r="AJ34" i="3"/>
  <c r="AJ13" i="3"/>
  <c r="AH13" i="3"/>
  <c r="AI13" i="3" s="1"/>
  <c r="AK13" i="3" s="1"/>
  <c r="AM13" i="3" s="1"/>
  <c r="AP12" i="3"/>
  <c r="AP4" i="3"/>
  <c r="AP14" i="3"/>
  <c r="AP27" i="3"/>
  <c r="AP11" i="3"/>
  <c r="AP8" i="3"/>
  <c r="AP21" i="3"/>
  <c r="AP30" i="3"/>
  <c r="AP32" i="3"/>
  <c r="AP33" i="3"/>
  <c r="AP23" i="3"/>
  <c r="AP41" i="3"/>
  <c r="AP38" i="3"/>
  <c r="AP17" i="3"/>
  <c r="AP19" i="3"/>
  <c r="AP37" i="3"/>
  <c r="AP26" i="3"/>
  <c r="AP42" i="3"/>
  <c r="AP20" i="3"/>
  <c r="AP34" i="3"/>
  <c r="AP18" i="3"/>
  <c r="AP36" i="3"/>
  <c r="AP16" i="3"/>
  <c r="AP10" i="3"/>
  <c r="AP28" i="3"/>
  <c r="AP35" i="3"/>
  <c r="AP22" i="3"/>
  <c r="AP25" i="3"/>
  <c r="AP39" i="3"/>
  <c r="AP24" i="3"/>
  <c r="AP6" i="3"/>
  <c r="AP29" i="3"/>
  <c r="AP40" i="3"/>
  <c r="AP13" i="3"/>
  <c r="AP15" i="3"/>
  <c r="AD5" i="3"/>
  <c r="V82" i="3"/>
  <c r="AC82" i="3"/>
  <c r="AJ3" i="3"/>
  <c r="AH3" i="3"/>
  <c r="AI3" i="3" s="1"/>
  <c r="AD7" i="3"/>
  <c r="AK26" i="3" l="1"/>
  <c r="AM26" i="3" s="1"/>
  <c r="AK29" i="3"/>
  <c r="AM29" i="3" s="1"/>
  <c r="AK15" i="3"/>
  <c r="AM15" i="3" s="1"/>
  <c r="AK33" i="3"/>
  <c r="AM33" i="3" s="1"/>
  <c r="AK19" i="3"/>
  <c r="AM19" i="3" s="1"/>
  <c r="AK22" i="3"/>
  <c r="AM22" i="3" s="1"/>
  <c r="AK6" i="3"/>
  <c r="AM6" i="3" s="1"/>
  <c r="AK25" i="3"/>
  <c r="AM25" i="3" s="1"/>
  <c r="AK37" i="3"/>
  <c r="AM37" i="3" s="1"/>
  <c r="AK27" i="3"/>
  <c r="AM27" i="3" s="1"/>
  <c r="AK8" i="3"/>
  <c r="AM8" i="3" s="1"/>
  <c r="AK16" i="3"/>
  <c r="AM16" i="3" s="1"/>
  <c r="AK41" i="3"/>
  <c r="AM41" i="3" s="1"/>
  <c r="AK4" i="3"/>
  <c r="AM4" i="3" s="1"/>
  <c r="AK38" i="3"/>
  <c r="AM38" i="3" s="1"/>
  <c r="AK30" i="3"/>
  <c r="AM30" i="3" s="1"/>
  <c r="AK11" i="3"/>
  <c r="AM11" i="3" s="1"/>
  <c r="AK28" i="3"/>
  <c r="AM28" i="3" s="1"/>
  <c r="AK40" i="3"/>
  <c r="AM40" i="3" s="1"/>
  <c r="AJ7" i="3"/>
  <c r="AH7" i="3"/>
  <c r="AI7" i="3" s="1"/>
  <c r="AK17" i="3"/>
  <c r="AM17" i="3" s="1"/>
  <c r="AK34" i="3"/>
  <c r="AM34" i="3" s="1"/>
  <c r="AK20" i="3"/>
  <c r="AM20" i="3" s="1"/>
  <c r="AK10" i="3"/>
  <c r="AM10" i="3" s="1"/>
  <c r="AK12" i="3"/>
  <c r="AM12" i="3" s="1"/>
  <c r="AH5" i="3"/>
  <c r="AI5" i="3" s="1"/>
  <c r="AJ5" i="3"/>
  <c r="AK39" i="3"/>
  <c r="AM39" i="3" s="1"/>
  <c r="AK24" i="3"/>
  <c r="AM24" i="3" s="1"/>
  <c r="AP5" i="3"/>
  <c r="AP7" i="3"/>
  <c r="AD82" i="3"/>
  <c r="AK3" i="3"/>
  <c r="AM3" i="3" s="1"/>
  <c r="AM81" i="3"/>
  <c r="AK5" i="3" l="1"/>
  <c r="AM5" i="3" s="1"/>
  <c r="AK7" i="3"/>
  <c r="AM7" i="3" s="1"/>
  <c r="AI82" i="3"/>
  <c r="AJ82" i="3"/>
  <c r="AK82" i="3" l="1"/>
  <c r="AM82" i="3"/>
  <c r="AP82" i="3"/>
  <c r="I82" i="3"/>
</calcChain>
</file>

<file path=xl/sharedStrings.xml><?xml version="1.0" encoding="utf-8"?>
<sst xmlns="http://schemas.openxmlformats.org/spreadsheetml/2006/main" count="436" uniqueCount="283">
  <si>
    <t>Bonus</t>
  </si>
  <si>
    <t>Basic</t>
  </si>
  <si>
    <t>Transportation</t>
  </si>
  <si>
    <t>Total Target</t>
  </si>
  <si>
    <t>Daily transfer value</t>
  </si>
  <si>
    <t>Daily wage</t>
  </si>
  <si>
    <t>hourly wage rate</t>
  </si>
  <si>
    <t>Number of hours</t>
  </si>
  <si>
    <t>Overtime</t>
  </si>
  <si>
    <t>Title</t>
  </si>
  <si>
    <t>Advance</t>
  </si>
  <si>
    <t>Absence value</t>
  </si>
  <si>
    <t>Total deducted</t>
  </si>
  <si>
    <t>tax</t>
  </si>
  <si>
    <t>Martyrs</t>
  </si>
  <si>
    <t>Net salary</t>
  </si>
  <si>
    <t>Net</t>
  </si>
  <si>
    <t>Employee Insurance</t>
  </si>
  <si>
    <t>Company Insurance</t>
  </si>
  <si>
    <t>Insurance salary</t>
  </si>
  <si>
    <t>Target value</t>
  </si>
  <si>
    <t>Target rate</t>
  </si>
  <si>
    <t>Absence days</t>
  </si>
  <si>
    <t>Transportation days</t>
  </si>
  <si>
    <t xml:space="preserve"> National ID</t>
  </si>
  <si>
    <t>Gross</t>
  </si>
  <si>
    <t>Penalty Days</t>
  </si>
  <si>
    <t>Penalties value</t>
  </si>
  <si>
    <t>ID</t>
  </si>
  <si>
    <t>Target Days</t>
  </si>
  <si>
    <t>Target wage</t>
  </si>
  <si>
    <t>Transfer Account Number</t>
  </si>
  <si>
    <t>Transfer Account Type</t>
  </si>
  <si>
    <t>Wallet</t>
  </si>
  <si>
    <t>اعفاء شخصى (20000ج سنويا)</t>
  </si>
  <si>
    <t>الوعاء السنوي</t>
  </si>
  <si>
    <t>Operator</t>
  </si>
  <si>
    <t>Annual Balance</t>
  </si>
  <si>
    <t>Basic wage</t>
  </si>
  <si>
    <t>Salary Differences</t>
  </si>
  <si>
    <t>SFCIB-X001</t>
  </si>
  <si>
    <t>SFCIB-X002</t>
  </si>
  <si>
    <t>SFCIB-X003</t>
  </si>
  <si>
    <t>SFCIB-X004</t>
  </si>
  <si>
    <t>SFCIB-X005</t>
  </si>
  <si>
    <t>SFCIB-X006</t>
  </si>
  <si>
    <t>SFCIB-X007</t>
  </si>
  <si>
    <t>SFCIB-X008</t>
  </si>
  <si>
    <t>SFCIB-X009</t>
  </si>
  <si>
    <t>SFCIB-X010</t>
  </si>
  <si>
    <t>SFCIB-X011</t>
  </si>
  <si>
    <t>SFCIB-X012</t>
  </si>
  <si>
    <t>SFCIB-X013</t>
  </si>
  <si>
    <t>SFCIB-X014</t>
  </si>
  <si>
    <t>SFCIB-X015</t>
  </si>
  <si>
    <t>SFCIB-X016</t>
  </si>
  <si>
    <t>SFCIB-X017</t>
  </si>
  <si>
    <t>SFCIB-X018</t>
  </si>
  <si>
    <t>SFCIB-X019</t>
  </si>
  <si>
    <t>SFCIB-X020</t>
  </si>
  <si>
    <t>SFCIB-X021</t>
  </si>
  <si>
    <t>SFCIB-X022</t>
  </si>
  <si>
    <t>SFCIB-X023</t>
  </si>
  <si>
    <t>SFCIB-X024</t>
  </si>
  <si>
    <t>SFCIB-X025</t>
  </si>
  <si>
    <t>SFCIB-X026</t>
  </si>
  <si>
    <t>SFCIB-X027</t>
  </si>
  <si>
    <t>SFCIB-X028</t>
  </si>
  <si>
    <t>SFCIB-X029</t>
  </si>
  <si>
    <t>SFCIB-X030</t>
  </si>
  <si>
    <t>SFCIB-X031</t>
  </si>
  <si>
    <t>SFCIB-X032</t>
  </si>
  <si>
    <t>SFCIB-X033</t>
  </si>
  <si>
    <t>SFCIB-X034</t>
  </si>
  <si>
    <t>SFCIB-X035</t>
  </si>
  <si>
    <t>SFCIB-X036</t>
  </si>
  <si>
    <t>SFCIB-X037</t>
  </si>
  <si>
    <t>SFCIB-X038</t>
  </si>
  <si>
    <t>SFCIB-X039</t>
  </si>
  <si>
    <t>SFCIB-X040</t>
  </si>
  <si>
    <t>SFCIB-X041</t>
  </si>
  <si>
    <t>SFCIB-X042</t>
  </si>
  <si>
    <t>SFCIB-X043</t>
  </si>
  <si>
    <t>SFCIB-X044</t>
  </si>
  <si>
    <t>SFCIB-X045</t>
  </si>
  <si>
    <t>SFCIB-X046</t>
  </si>
  <si>
    <t>SFCIB-X047</t>
  </si>
  <si>
    <t>SFCIB-X048</t>
  </si>
  <si>
    <t>SFCIB-X049</t>
  </si>
  <si>
    <t>SFCIB-X050</t>
  </si>
  <si>
    <t>SFCIB-X051</t>
  </si>
  <si>
    <t>SFCIB-X052</t>
  </si>
  <si>
    <t>SFCIB-X053</t>
  </si>
  <si>
    <t>SFCIB-X054</t>
  </si>
  <si>
    <t>SFCIB-X055</t>
  </si>
  <si>
    <t>SFCIB-X056</t>
  </si>
  <si>
    <t>SFCIB-X057</t>
  </si>
  <si>
    <t>SFCIB-X058</t>
  </si>
  <si>
    <t>SFCIB-X059</t>
  </si>
  <si>
    <t>SFCIB-X060</t>
  </si>
  <si>
    <t>SFCIB-X061</t>
  </si>
  <si>
    <t>SFCIB-X062</t>
  </si>
  <si>
    <t>SFCIB-X063</t>
  </si>
  <si>
    <t>SFCIB-X064</t>
  </si>
  <si>
    <t>SFCIB-X065</t>
  </si>
  <si>
    <t>SFCIB-X066</t>
  </si>
  <si>
    <t>SFCIB-X067</t>
  </si>
  <si>
    <t>SFCIB-X068</t>
  </si>
  <si>
    <t>SFCIB-X069</t>
  </si>
  <si>
    <t>SFCIB-X070</t>
  </si>
  <si>
    <t>SFCIB-X071</t>
  </si>
  <si>
    <t>SFCIB-X072</t>
  </si>
  <si>
    <t>SFCIB-X073</t>
  </si>
  <si>
    <t>SFCIB-X074</t>
  </si>
  <si>
    <t>SFCIB-X075</t>
  </si>
  <si>
    <t>SFCIB-X076</t>
  </si>
  <si>
    <t>SFCIB-X077</t>
  </si>
  <si>
    <t>01031064367</t>
  </si>
  <si>
    <t>01012259247</t>
  </si>
  <si>
    <t>01032434355</t>
  </si>
  <si>
    <t>01155431615</t>
  </si>
  <si>
    <t>01124649784</t>
  </si>
  <si>
    <t>01123321409</t>
  </si>
  <si>
    <t>01060923253</t>
  </si>
  <si>
    <t>01116156426</t>
  </si>
  <si>
    <t>01110906395</t>
  </si>
  <si>
    <t>01113560669</t>
  </si>
  <si>
    <t>01155982786</t>
  </si>
  <si>
    <t>01279359264</t>
  </si>
  <si>
    <t>01282707145</t>
  </si>
  <si>
    <t>01092558768</t>
  </si>
  <si>
    <t>01280849882</t>
  </si>
  <si>
    <t>01142802817</t>
  </si>
  <si>
    <t>01278927106</t>
  </si>
  <si>
    <t>01110402275</t>
  </si>
  <si>
    <t>01114345522</t>
  </si>
  <si>
    <t>01025254133</t>
  </si>
  <si>
    <t>01122357210</t>
  </si>
  <si>
    <t>01101697583</t>
  </si>
  <si>
    <t>01060773646</t>
  </si>
  <si>
    <t>01114323400</t>
  </si>
  <si>
    <t>01128460398</t>
  </si>
  <si>
    <t>01127985952</t>
  </si>
  <si>
    <t>01068799321</t>
  </si>
  <si>
    <t>01200704889</t>
  </si>
  <si>
    <t>01055452668</t>
  </si>
  <si>
    <t>01153060587</t>
  </si>
  <si>
    <t>01003873903</t>
  </si>
  <si>
    <t>01092203674</t>
  </si>
  <si>
    <t>01113963380</t>
  </si>
  <si>
    <t>01124218432</t>
  </si>
  <si>
    <t>01119973771</t>
  </si>
  <si>
    <t>01228591605</t>
  </si>
  <si>
    <t>01090758004</t>
  </si>
  <si>
    <t>01055836379</t>
  </si>
  <si>
    <t>01284627191</t>
  </si>
  <si>
    <t>01014686273</t>
  </si>
  <si>
    <t>01055171123</t>
  </si>
  <si>
    <t>01147628080</t>
  </si>
  <si>
    <t>01094837469</t>
  </si>
  <si>
    <t>01100329020</t>
  </si>
  <si>
    <t>01103711574</t>
  </si>
  <si>
    <t>01029273412</t>
  </si>
  <si>
    <t>01030137606</t>
  </si>
  <si>
    <t>01121528395</t>
  </si>
  <si>
    <t>01001739485</t>
  </si>
  <si>
    <t>01277419355</t>
  </si>
  <si>
    <t>01152139289</t>
  </si>
  <si>
    <t>01224335936</t>
  </si>
  <si>
    <t>01062729488</t>
  </si>
  <si>
    <t>01029088938</t>
  </si>
  <si>
    <t>01007759488</t>
  </si>
  <si>
    <t>01095160446</t>
  </si>
  <si>
    <t>01120458722</t>
  </si>
  <si>
    <t>01022483540</t>
  </si>
  <si>
    <t>01141714325</t>
  </si>
  <si>
    <t>01055482620</t>
  </si>
  <si>
    <t>01118269249</t>
  </si>
  <si>
    <t>01113477900</t>
  </si>
  <si>
    <t>01116283753</t>
  </si>
  <si>
    <t>01125987480</t>
  </si>
  <si>
    <t>01153297685</t>
  </si>
  <si>
    <t>01226835279</t>
  </si>
  <si>
    <t>01159126450</t>
  </si>
  <si>
    <t>01110608043</t>
  </si>
  <si>
    <t>01141217023</t>
  </si>
  <si>
    <t>01000535631</t>
  </si>
  <si>
    <t>01066578169</t>
  </si>
  <si>
    <t>01220262394</t>
  </si>
  <si>
    <t>01091246937</t>
  </si>
  <si>
    <t>SFCIB-X078</t>
  </si>
  <si>
    <t>Cost</t>
  </si>
  <si>
    <t>5264399941058451</t>
  </si>
  <si>
    <t>CIB Bank</t>
  </si>
  <si>
    <t>01021137643</t>
  </si>
  <si>
    <t>5264399937952337</t>
  </si>
  <si>
    <t>SFCIB-X081</t>
  </si>
  <si>
    <t>Team Ledar</t>
  </si>
  <si>
    <t>01066815942</t>
  </si>
  <si>
    <t>5078034804934557</t>
  </si>
  <si>
    <t>Dopay</t>
  </si>
  <si>
    <t>Ahly Bank</t>
  </si>
  <si>
    <t>5078030962610666</t>
  </si>
  <si>
    <t>Cairo Bank</t>
  </si>
  <si>
    <t>عبد الرحمن حسن علي إبراهيم</t>
  </si>
  <si>
    <t>عبد الرحمن شعبان سيد محمد</t>
  </si>
  <si>
    <t>أحمد راغب صباح علي إيويس</t>
  </si>
  <si>
    <t>علاء أحمد سعيد محمود</t>
  </si>
  <si>
    <t>علاء عاطف أحمد إبراهيم سيد</t>
  </si>
  <si>
    <t>علي أشرف علي عبد الحليم النجار</t>
  </si>
  <si>
    <t>أمينة رمضان رزق السراوي</t>
  </si>
  <si>
    <t>أريج زينهوم حرب فراغ</t>
  </si>
  <si>
    <t>آيا عاطف أمين محمد</t>
  </si>
  <si>
    <t>آيا محمود عبد الحامد أحمد</t>
  </si>
  <si>
    <t>آيا محمود حسن محمود</t>
  </si>
  <si>
    <t>بسمة رمضان إسماعيل سيد</t>
  </si>
  <si>
    <t>الباسنت رادي كامل عبد الملك</t>
  </si>
  <si>
    <t>باسانت سامي خيلا حنا</t>
  </si>
  <si>
    <t>بلال أحمد رجب السيد أبو زيد</t>
  </si>
  <si>
    <t>بشوي وائل سامر كامل</t>
  </si>
  <si>
    <t>دينا مصطفى كامل حافظ علي</t>
  </si>
  <si>
    <t>دينا سعيد كناوي أحمد</t>
  </si>
  <si>
    <t>إيمان عباس صلاح عباس</t>
  </si>
  <si>
    <t>المهندس طه علي أحمد</t>
  </si>
  <si>
    <t>إسراء محمد حسن السيد علي</t>
  </si>
  <si>
    <t>إسراء نصر نادي حافظ</t>
  </si>
  <si>
    <t>عصام زينهوم سيد سلامة علي</t>
  </si>
  <si>
    <t>فادي نعيم يعقوب ياسا</t>
  </si>
  <si>
    <t>فاطمة عبد الواحد أحمد محمود</t>
  </si>
  <si>
    <t>فاطمة عامر حسن علي عيسى</t>
  </si>
  <si>
    <t>فاطمة محمد عبد الفتاح عطاالله</t>
  </si>
  <si>
    <t>فاطمة نجيب علي إسماعيل</t>
  </si>
  <si>
    <t>جينا سمير إبراهيم نذير</t>
  </si>
  <si>
    <t>حدير محمد عبد الله إلاوا صالح</t>
  </si>
  <si>
    <t>هاجر حسن علي إبراهيم</t>
  </si>
  <si>
    <t>هاجر محمد حسين روش</t>
  </si>
  <si>
    <t>هبا حسين إمام الصباح</t>
  </si>
  <si>
    <t>هبة محمد حسين عبد العزيز</t>
  </si>
  <si>
    <t>كريم سامي كريم سامي</t>
  </si>
  <si>
    <t>كريما عبد السلام محمد عبد السلام</t>
  </si>
  <si>
    <t>كيرولوس وجيه سعد إسحاق</t>
  </si>
  <si>
    <t>لطفي عصام لطفي محمد الهادي</t>
  </si>
  <si>
    <t>محمود محمد عبد الواحد محمد</t>
  </si>
  <si>
    <t>مريم مجدي سعد غالي</t>
  </si>
  <si>
    <t>مارينا نبيل يوسف فهد</t>
  </si>
  <si>
    <t>مريم فوزي فرج حنا</t>
  </si>
  <si>
    <t>مريم السيد عدلي السيد عبد الجبار</t>
  </si>
  <si>
    <t>مريم محمد السيد عبد الدين</t>
  </si>
  <si>
    <t>مصرية عبد الفاضل حسن محمد</t>
  </si>
  <si>
    <t>ميادا إبراهيم محمد إبراهيم</t>
  </si>
  <si>
    <t>محمد عدلي محمد عباس</t>
  </si>
  <si>
    <t>محمد محمود محمد عبد الوهاب</t>
  </si>
  <si>
    <t>محمد صفوت هاشم حسنين</t>
  </si>
  <si>
    <t>محمد سامي عثمان بشير</t>
  </si>
  <si>
    <t>مصطفى حامد محمد عبد الحي مبروك</t>
  </si>
  <si>
    <t>ندى جمال صلاح الدين محمد عبد إلعال</t>
  </si>
  <si>
    <t>نرمين عبد الماسيح حزقيال</t>
  </si>
  <si>
    <t>نرمين خالد مصلح مهران</t>
  </si>
  <si>
    <t>نفين ميخائيل راتيب شاكر</t>
  </si>
  <si>
    <t>نورهان محمد عبد الله إليوة صالح</t>
  </si>
  <si>
    <t>أولفات ميخائيل راتيب شاكر</t>
  </si>
  <si>
    <t>أومنيا نصر عبد المنعم محمد</t>
  </si>
  <si>
    <t>رباب حمدي علي رضوان</t>
  </si>
  <si>
    <t>رباب صبري عبد العال مصطفى</t>
  </si>
  <si>
    <t>رحمة عيسى محمد عيسى</t>
  </si>
  <si>
    <t>رحمة محمد عبد الرحمن عبدو يوسف</t>
  </si>
  <si>
    <t>ريهام ممدوح مرزق سليمان</t>
  </si>
  <si>
    <t>سلمى حسام أحمد محمد جعفر</t>
  </si>
  <si>
    <t>سماء سامي محمد حسين</t>
  </si>
  <si>
    <t>سارة أشرف أحمد محمود</t>
  </si>
  <si>
    <t>سارة أحمد محمد أحمد</t>
  </si>
  <si>
    <t>سارة حسن علي إبراهيم</t>
  </si>
  <si>
    <t>سيلفيا سعيد متا بشر</t>
  </si>
  <si>
    <t>وفاء محمد عطية سيد</t>
  </si>
  <si>
    <t>ويسا عفيفي كامل جودة</t>
  </si>
  <si>
    <t>ياسمين عبد اللطيف إبراهيم الدسقي عبد اللطيف</t>
  </si>
  <si>
    <t>ياسمين سمير عبد العظيم عبد الفتاح</t>
  </si>
  <si>
    <t>ياسمين سمير محمود محمد زايان</t>
  </si>
  <si>
    <t>يومنا هاني أحمد مهدي</t>
  </si>
  <si>
    <t>يوسف عبد العاطي مصطفى علي</t>
  </si>
  <si>
    <t>يوسف بدوي عطا محمود أحمد</t>
  </si>
  <si>
    <t>يوسف سيد بيومي عبد الفتاح</t>
  </si>
  <si>
    <t>ستينا نبيل يوسف فهد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</si>
</sst>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EGP&quot;* #,##0_);_(&quot;EGP&quot;* \(#,##0\);_(&quot;EGP&quot;* &quot;-&quot;??_);_(@_)"/>
    <numFmt numFmtId="166" formatCode="0.0"/>
    <numFmt numFmtId="167" formatCode="mmmm\ yyyy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0" borderId="0">
      <protection locked="0"/>
    </xf>
    <xf numFmtId="0" fontId="7" fillId="14" borderId="1">
      <alignment horizontal="center" vertical="center"/>
    </xf>
  </cellStyleXfs>
  <cellXfs count="63">
    <xf numFmtId="0" fontId="0" fillId="0" borderId="0" xfId="0"/>
    <xf numFmtId="43" fontId="8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9" fontId="14" fillId="10" borderId="5" xfId="3" applyNumberFormat="1" applyFont="1" applyFill="1" applyBorder="1" applyAlignment="1">
      <alignment horizontal="center" vertical="center"/>
      <protection locked="0"/>
    </xf>
    <xf numFmtId="49" fontId="14" fillId="11" borderId="5" xfId="3" applyNumberFormat="1" applyFont="1" applyFill="1" applyBorder="1" applyAlignment="1">
      <alignment horizontal="center" vertical="center"/>
      <protection locked="0"/>
    </xf>
    <xf numFmtId="1" fontId="4" fillId="11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 wrapText="1"/>
    </xf>
    <xf numFmtId="41" fontId="9" fillId="5" borderId="1" xfId="1" applyNumberFormat="1" applyFont="1" applyFill="1" applyBorder="1" applyAlignment="1">
      <alignment horizontal="center" vertical="center"/>
    </xf>
    <xf numFmtId="41" fontId="9" fillId="0" borderId="1" xfId="1" applyNumberFormat="1" applyFont="1" applyBorder="1" applyAlignment="1">
      <alignment horizontal="center" vertical="center"/>
    </xf>
    <xf numFmtId="41" fontId="10" fillId="4" borderId="1" xfId="1" applyNumberFormat="1" applyFont="1" applyFill="1" applyBorder="1" applyAlignment="1">
      <alignment horizontal="center" vertical="center"/>
    </xf>
    <xf numFmtId="0" fontId="14" fillId="11" borderId="5" xfId="3" applyFont="1" applyFill="1" applyBorder="1" applyAlignment="1">
      <alignment horizontal="left" vertical="center"/>
      <protection locked="0"/>
    </xf>
    <xf numFmtId="0" fontId="14" fillId="10" borderId="5" xfId="3" applyFont="1" applyFill="1" applyBorder="1" applyAlignment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49" fontId="14" fillId="11" borderId="1" xfId="3" applyNumberFormat="1" applyFont="1" applyFill="1" applyBorder="1" applyAlignment="1">
      <alignment horizontal="center" vertical="center"/>
      <protection locked="0"/>
    </xf>
    <xf numFmtId="0" fontId="14" fillId="10" borderId="1" xfId="3" applyFont="1" applyFill="1" applyBorder="1" applyAlignment="1">
      <alignment horizontal="left" vertical="center"/>
      <protection locked="0"/>
    </xf>
    <xf numFmtId="1" fontId="4" fillId="11" borderId="5" xfId="0" applyNumberFormat="1" applyFont="1" applyFill="1" applyBorder="1" applyAlignment="1">
      <alignment horizontal="center" vertical="center"/>
    </xf>
    <xf numFmtId="166" fontId="9" fillId="5" borderId="1" xfId="1" applyNumberFormat="1" applyFont="1" applyFill="1" applyBorder="1" applyAlignment="1">
      <alignment horizontal="center" vertical="center"/>
    </xf>
    <xf numFmtId="165" fontId="10" fillId="4" borderId="1" xfId="1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0" fontId="10" fillId="4" borderId="1" xfId="1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9" fillId="5" borderId="1" xfId="1" applyNumberFormat="1" applyFont="1" applyFill="1" applyBorder="1" applyAlignment="1">
      <alignment horizontal="center" vertical="center"/>
    </xf>
    <xf numFmtId="10" fontId="9" fillId="9" borderId="1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/>
    </xf>
    <xf numFmtId="167" fontId="11" fillId="8" borderId="4" xfId="0" applyNumberFormat="1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49" fontId="14" fillId="13" borderId="5" xfId="3" applyNumberFormat="1" applyFont="1" applyFill="1" applyBorder="1" applyAlignment="1">
      <alignment horizontal="center" vertical="center"/>
      <protection locked="0"/>
    </xf>
    <xf numFmtId="164" fontId="9" fillId="0" borderId="0" xfId="0" applyNumberFormat="1" applyFont="1" applyAlignment="1">
      <alignment horizontal="center" vertical="center"/>
    </xf>
    <xf numFmtId="167" fontId="11" fillId="8" borderId="4" xfId="0" applyNumberFormat="1" applyFont="1" applyFill="1" applyBorder="1" applyAlignment="1">
      <alignment horizontal="center" vertical="center"/>
    </xf>
    <xf numFmtId="167" fontId="11" fillId="8" borderId="4" xfId="0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Percent" xfId="2" builtinId="5"/>
    <cellStyle name="Style 1" xfId="4" xr:uid="{00000000-0005-0000-0000-000004000000}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CDC"/>
      <color rgb="FF93CEFF"/>
      <color rgb="FFFEDC65"/>
      <color rgb="FFFEDB66"/>
      <color rgb="FFFEDA66"/>
      <color rgb="FFEAC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oham/AppData/Local/Microsoft/Windows/INetCache/IE/FU2YU0TA/CIB%20Attend%20October.xlsx" TargetMode="External"/><Relationship Id="rId1" Type="http://schemas.openxmlformats.org/officeDocument/2006/relationships/externalLinkPath" Target="/Users/moham/AppData/Local/Microsoft/Windows/INetCache/IE/FU2YU0TA/CIB%20Attend%20Octo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Base"/>
      <sheetName val="New Hire"/>
      <sheetName val="Resignation"/>
      <sheetName val="Deduction"/>
      <sheetName val="Oct At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88"/>
  <sheetViews>
    <sheetView tabSelected="1" zoomScaleNormal="100" workbookViewId="0">
      <pane xSplit="3" topLeftCell="D1" activePane="topRight" state="frozen"/>
      <selection pane="topRight" activeCell="A85" sqref="A85:XFD88"/>
    </sheetView>
  </sheetViews>
  <sheetFormatPr defaultColWidth="9.1796875" defaultRowHeight="15.5" x14ac:dyDescent="0.35"/>
  <cols>
    <col min="1" max="1" width="10.7265625" style="2" bestFit="1" customWidth="1"/>
    <col min="2" max="2" width="28.6328125" style="23" bestFit="1" customWidth="1"/>
    <col min="3" max="3" width="25.6328125" style="23" bestFit="1" customWidth="1"/>
    <col min="4" max="4" width="52.1796875" style="34" customWidth="1"/>
    <col min="5" max="5" width="16.1796875" style="2" bestFit="1" customWidth="1"/>
    <col min="6" max="6" width="11.26953125" style="2" bestFit="1" customWidth="1"/>
    <col min="7" max="7" width="10.90625" style="2" bestFit="1" customWidth="1"/>
    <col min="8" max="8" width="16.1796875" style="2" bestFit="1" customWidth="1"/>
    <col min="9" max="9" width="21.54296875" style="2" bestFit="1" customWidth="1"/>
    <col min="10" max="10" width="15.1796875" style="2" bestFit="1" customWidth="1"/>
    <col min="11" max="11" width="16.453125" style="2" bestFit="1" customWidth="1"/>
    <col min="12" max="12" width="12.81640625" style="2" bestFit="1" customWidth="1"/>
    <col min="13" max="13" width="23.54296875" style="2" bestFit="1" customWidth="1"/>
    <col min="14" max="14" width="18.90625" style="2" bestFit="1" customWidth="1"/>
    <col min="15" max="15" width="15.08984375" bestFit="1" customWidth="1"/>
    <col min="16" max="16" width="16.26953125" style="2" bestFit="1" customWidth="1"/>
    <col min="17" max="17" width="15.08984375" style="2" bestFit="1" customWidth="1"/>
    <col min="18" max="18" width="20.54296875" style="2" bestFit="1" customWidth="1"/>
    <col min="19" max="19" width="20.6328125" style="2" bestFit="1" customWidth="1"/>
    <col min="20" max="20" width="13.7265625" style="2" bestFit="1" customWidth="1"/>
    <col min="21" max="22" width="10.90625" style="2" bestFit="1" customWidth="1"/>
    <col min="23" max="23" width="17.54296875" style="2" bestFit="1" customWidth="1"/>
    <col min="24" max="24" width="18.36328125" style="2" bestFit="1" customWidth="1"/>
    <col min="25" max="25" width="16.81640625" style="2" bestFit="1" customWidth="1"/>
    <col min="26" max="26" width="19" style="2" bestFit="1" customWidth="1"/>
    <col min="27" max="27" width="15.81640625" style="2" bestFit="1" customWidth="1"/>
    <col min="28" max="28" width="16.453125" style="2" bestFit="1" customWidth="1"/>
    <col min="29" max="29" width="19.08984375" style="2" bestFit="1" customWidth="1"/>
    <col min="30" max="30" width="10.90625" style="2" bestFit="1" customWidth="1"/>
    <col min="31" max="31" width="19.90625" style="2" bestFit="1" customWidth="1"/>
    <col min="32" max="32" width="23.6328125" style="2" bestFit="1" customWidth="1"/>
    <col min="33" max="33" width="28.1796875" style="2" bestFit="1" customWidth="1"/>
    <col min="34" max="34" width="15.453125" style="2" bestFit="1" customWidth="1"/>
    <col min="35" max="35" width="9.6328125" style="2" bestFit="1" customWidth="1"/>
    <col min="36" max="36" width="12.36328125" style="2" bestFit="1" customWidth="1"/>
    <col min="37" max="37" width="14.36328125" style="2" bestFit="1" customWidth="1"/>
    <col min="38" max="38" width="13.08984375" style="2" bestFit="1" customWidth="1"/>
    <col min="39" max="39" width="15.26953125" style="2" bestFit="1" customWidth="1"/>
    <col min="40" max="40" width="23.26953125" style="2" bestFit="1" customWidth="1"/>
    <col min="41" max="41" width="14.90625" style="2" bestFit="1" customWidth="1"/>
    <col min="42" max="42" width="9.6328125" bestFit="1" customWidth="1"/>
    <col min="43" max="16384" width="9.1796875" style="2"/>
  </cols>
  <sheetData>
    <row r="1" spans="1:42" ht="26" x14ac:dyDescent="0.35">
      <c r="A1" s="62"/>
      <c r="B1" s="62"/>
      <c r="C1" s="62"/>
      <c r="D1" s="61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42" ht="31" x14ac:dyDescent="0.35">
      <c r="A2" s="18" t="s">
        <v>28</v>
      </c>
      <c r="B2" s="28" t="s">
        <v>31</v>
      </c>
      <c r="C2" s="28" t="s">
        <v>32</v>
      </c>
      <c r="D2" s="16"/>
      <c r="E2" s="48" t="s">
        <v>24</v>
      </c>
      <c r="F2" s="6" t="s">
        <v>9</v>
      </c>
      <c r="G2" s="48" t="s">
        <v>1</v>
      </c>
      <c r="H2" s="48" t="s">
        <v>3</v>
      </c>
      <c r="I2" s="48" t="s">
        <v>39</v>
      </c>
      <c r="J2" s="6" t="s">
        <v>21</v>
      </c>
      <c r="K2" s="8" t="s">
        <v>20</v>
      </c>
      <c r="L2" s="5" t="s">
        <v>4</v>
      </c>
      <c r="M2" s="5" t="s">
        <v>23</v>
      </c>
      <c r="N2" s="8" t="s">
        <v>2</v>
      </c>
      <c r="O2" s="48" t="s">
        <v>38</v>
      </c>
      <c r="P2" s="22" t="s">
        <v>30</v>
      </c>
      <c r="Q2" s="6" t="s">
        <v>5</v>
      </c>
      <c r="R2" s="5" t="s">
        <v>6</v>
      </c>
      <c r="S2" s="5" t="s">
        <v>7</v>
      </c>
      <c r="T2" s="7" t="s">
        <v>8</v>
      </c>
      <c r="U2" s="7" t="s">
        <v>0</v>
      </c>
      <c r="V2" s="50" t="s">
        <v>25</v>
      </c>
      <c r="W2" s="5" t="s">
        <v>22</v>
      </c>
      <c r="X2" s="17" t="s">
        <v>11</v>
      </c>
      <c r="Y2" s="16" t="s">
        <v>26</v>
      </c>
      <c r="Z2" s="17" t="s">
        <v>27</v>
      </c>
      <c r="AA2" s="18" t="s">
        <v>29</v>
      </c>
      <c r="AB2" s="21" t="s">
        <v>20</v>
      </c>
      <c r="AC2" s="8" t="s">
        <v>12</v>
      </c>
      <c r="AD2" s="8" t="s">
        <v>16</v>
      </c>
      <c r="AE2" s="8" t="s">
        <v>19</v>
      </c>
      <c r="AF2" s="8" t="s">
        <v>17</v>
      </c>
      <c r="AG2" s="36" t="s">
        <v>34</v>
      </c>
      <c r="AH2" s="36" t="s">
        <v>35</v>
      </c>
      <c r="AI2" s="8" t="s">
        <v>13</v>
      </c>
      <c r="AJ2" s="8" t="s">
        <v>14</v>
      </c>
      <c r="AK2" s="8" t="s">
        <v>15</v>
      </c>
      <c r="AL2" s="7" t="s">
        <v>10</v>
      </c>
      <c r="AM2" s="7" t="s">
        <v>16</v>
      </c>
      <c r="AN2" s="5" t="s">
        <v>18</v>
      </c>
      <c r="AO2" s="45" t="s">
        <v>37</v>
      </c>
      <c r="AP2" s="54" t="s">
        <v>191</v>
      </c>
    </row>
    <row r="3" spans="1:42" x14ac:dyDescent="0.35">
      <c r="A3" s="49" t="s">
        <v>40</v>
      </c>
      <c r="B3" s="26" t="s">
        <v>117</v>
      </c>
      <c r="C3" s="59" t="s">
        <v>200</v>
      </c>
      <c r="D3" s="32" t="s">
        <v>204</v>
      </c>
      <c r="E3" s="27">
        <v>30408042102818</v>
      </c>
      <c r="F3" s="14" t="s">
        <v>36</v>
      </c>
      <c r="G3" s="30">
        <v>4000</v>
      </c>
      <c r="H3" s="30">
        <v>3000</v>
      </c>
      <c r="I3" s="30">
        <v>0</v>
      </c>
      <c r="J3" s="53">
        <v>1</v>
      </c>
      <c r="K3" s="9">
        <f>+H3*J3</f>
        <v>3000</v>
      </c>
      <c r="L3" s="9">
        <v>0</v>
      </c>
      <c r="M3" s="9">
        <f>30-W3</f>
        <v>30</v>
      </c>
      <c r="N3" s="9">
        <f>L3*M3</f>
        <v>0</v>
      </c>
      <c r="O3" s="10">
        <f>G3/30</f>
        <v>133.33333333333334</v>
      </c>
      <c r="P3" s="10">
        <f>K3/30</f>
        <v>100</v>
      </c>
      <c r="Q3" s="10">
        <f>(H3+G3)/30</f>
        <v>233.33333333333334</v>
      </c>
      <c r="R3" s="10">
        <f>+O3/8</f>
        <v>16.666666666666668</v>
      </c>
      <c r="S3" s="9">
        <v>37</v>
      </c>
      <c r="T3" s="9">
        <f>+R3*S3</f>
        <v>616.66666666666674</v>
      </c>
      <c r="U3" s="9">
        <v>0</v>
      </c>
      <c r="V3" s="15">
        <f>G3+K3+N3+T3+U3+I3</f>
        <v>7616.666666666667</v>
      </c>
      <c r="W3" s="52">
        <v>0</v>
      </c>
      <c r="X3" s="29">
        <f>Q3*W3</f>
        <v>0</v>
      </c>
      <c r="Y3" s="43">
        <v>0</v>
      </c>
      <c r="Z3" s="29">
        <f>Y3*O3</f>
        <v>0</v>
      </c>
      <c r="AA3" s="29">
        <v>0</v>
      </c>
      <c r="AB3" s="29">
        <f>P3*AA3</f>
        <v>0</v>
      </c>
      <c r="AC3" s="11">
        <f>X3+Z3+AB3</f>
        <v>0</v>
      </c>
      <c r="AD3" s="4">
        <f t="shared" ref="AD3:AD42" si="0">V3-AC3</f>
        <v>7616.666666666667</v>
      </c>
      <c r="AE3" s="3">
        <f>7000/1.3</f>
        <v>5384.6153846153848</v>
      </c>
      <c r="AF3" s="3">
        <f>+AE3*0.11</f>
        <v>592.30769230769238</v>
      </c>
      <c r="AG3" s="1">
        <v>1666.6666666666667</v>
      </c>
      <c r="AH3" s="1">
        <f>(AD3-AF3-AG3)*12</f>
        <v>64292.307692307688</v>
      </c>
      <c r="AI3" s="1">
        <f>IF(AND(AH3&gt;40000,AH3&lt;=55000),(AH3-40000)*10%,
IF(AND(AH3&gt;55000,AH3&lt;=70000),(AH3-55000)*15%+15000*10%,
IF(AND(AH3&gt;70000,AH3&lt;=200000),(AH3-70000)*20%+15000*10%+15000*15%,
IF(AND(AH3&gt;200000,AH3&lt;=400000),(AH3-200000)*22.5%+15000*10%+15000*15%+130000*20%,
IF(AND(AH3&gt;400000,AH3&lt;=600000),(AH3-400000)*25%+15000*10%+15000*15%+130000*20%+200000*22.5%,
IF(AND(AH3&gt;600000,AH3&lt;=700000),(AH3-400000)*25%+55000*10%+15000*15%+130000*20%+200000*22.5%,
IF(AND(AH3&gt;700000,AH3&lt;=800000),(AH3-400000)*25%+70000*15%+130000*20%+200000*22.5%,
IF(AND(AH3&gt;800000,AH3&lt;=900000),(AH3-400000)*25%+200000*20%+200000*22.5%,
IF(AND(AH3&gt;900000,AH3&lt;=1200000),(AH3-400000)*25%+400000*22.5%,
IF(AH3&gt;1200000,(AH3-1200000)*27.5%+1200000*25%))))))))))/12</f>
        <v>241.1538461538461</v>
      </c>
      <c r="AJ3" s="3">
        <f>+AD3*0.0005</f>
        <v>3.8083333333333336</v>
      </c>
      <c r="AK3" s="4">
        <f>+AD3-AF3-AI3-AJ3</f>
        <v>6779.3967948717955</v>
      </c>
      <c r="AL3" s="3">
        <v>0</v>
      </c>
      <c r="AM3" s="4">
        <f>+AK3-AL3</f>
        <v>6779.3967948717955</v>
      </c>
      <c r="AN3" s="1">
        <f>+AE3*0.1875</f>
        <v>1009.6153846153846</v>
      </c>
      <c r="AO3" s="46"/>
      <c r="AP3" s="55">
        <f>AD3+AN3</f>
        <v>8626.2820512820508</v>
      </c>
    </row>
    <row r="4" spans="1:42" x14ac:dyDescent="0.35">
      <c r="A4" s="49" t="s">
        <v>41</v>
      </c>
      <c r="B4" s="26" t="s">
        <v>118</v>
      </c>
      <c r="C4" s="59" t="s">
        <v>200</v>
      </c>
      <c r="D4" s="32" t="s">
        <v>205</v>
      </c>
      <c r="E4" s="42">
        <v>30211132800338</v>
      </c>
      <c r="F4" s="14" t="s">
        <v>36</v>
      </c>
      <c r="G4" s="30">
        <v>4000</v>
      </c>
      <c r="H4" s="30">
        <v>3000</v>
      </c>
      <c r="I4" s="30">
        <v>0</v>
      </c>
      <c r="J4" s="53">
        <v>1</v>
      </c>
      <c r="K4" s="9">
        <f t="shared" ref="K4:K67" si="1">+H4*J4</f>
        <v>3000</v>
      </c>
      <c r="L4" s="9">
        <v>0</v>
      </c>
      <c r="M4" s="9">
        <f t="shared" ref="M4:M67" si="2">30-W4</f>
        <v>30</v>
      </c>
      <c r="N4" s="9">
        <f t="shared" ref="N4:N13" si="3">L4*M4</f>
        <v>0</v>
      </c>
      <c r="O4" s="10">
        <f t="shared" ref="O4:O42" si="4">G4/30</f>
        <v>133.33333333333334</v>
      </c>
      <c r="P4" s="10">
        <f t="shared" ref="P4:P42" si="5">K4/30</f>
        <v>100</v>
      </c>
      <c r="Q4" s="10">
        <f t="shared" ref="Q4:Q42" si="6">(H4+G4)/30</f>
        <v>233.33333333333334</v>
      </c>
      <c r="R4" s="10">
        <f t="shared" ref="R4:R42" si="7">+O4/8</f>
        <v>16.666666666666668</v>
      </c>
      <c r="S4" s="9">
        <v>37</v>
      </c>
      <c r="T4" s="9">
        <f t="shared" ref="T4:T67" si="8">+R4*S4</f>
        <v>616.66666666666674</v>
      </c>
      <c r="U4" s="9">
        <v>0</v>
      </c>
      <c r="V4" s="15">
        <f t="shared" ref="V4:V67" si="9">G4+K4+N4+T4+U4+I4</f>
        <v>7616.666666666667</v>
      </c>
      <c r="W4" s="52">
        <v>0</v>
      </c>
      <c r="X4" s="29">
        <f t="shared" ref="X4:X67" si="10">Q4*W4</f>
        <v>0</v>
      </c>
      <c r="Y4" s="43">
        <v>0</v>
      </c>
      <c r="Z4" s="29">
        <f t="shared" ref="Z4:Z13" si="11">Y4*O4</f>
        <v>0</v>
      </c>
      <c r="AA4" s="29">
        <v>0</v>
      </c>
      <c r="AB4" s="29">
        <f t="shared" ref="AB4:AB67" si="12">P4*AA4</f>
        <v>0</v>
      </c>
      <c r="AC4" s="11">
        <f t="shared" ref="AC4:AC67" si="13">X4+Z4+AB4</f>
        <v>0</v>
      </c>
      <c r="AD4" s="4">
        <f t="shared" si="0"/>
        <v>7616.666666666667</v>
      </c>
      <c r="AE4" s="3">
        <f t="shared" ref="AE4:AE67" si="14">7000/1.3</f>
        <v>5384.6153846153848</v>
      </c>
      <c r="AF4" s="3">
        <f t="shared" ref="AF4:AF67" si="15">+AE4*0.11</f>
        <v>592.30769230769238</v>
      </c>
      <c r="AG4" s="1">
        <v>1666.6666666666667</v>
      </c>
      <c r="AH4" s="1">
        <f t="shared" ref="AH4:AH67" si="16">(AD4-AF4-AG4)*12</f>
        <v>64292.307692307688</v>
      </c>
      <c r="AI4" s="1">
        <f t="shared" ref="AI4:AI67" si="17">IF(AND(AH4&gt;40000,AH4&lt;=55000),(AH4-40000)*10%,
IF(AND(AH4&gt;55000,AH4&lt;=70000),(AH4-55000)*15%+15000*10%,
IF(AND(AH4&gt;70000,AH4&lt;=200000),(AH4-70000)*20%+15000*10%+15000*15%,
IF(AND(AH4&gt;200000,AH4&lt;=400000),(AH4-200000)*22.5%+15000*10%+15000*15%+130000*20%,
IF(AND(AH4&gt;400000,AH4&lt;=600000),(AH4-400000)*25%+15000*10%+15000*15%+130000*20%+200000*22.5%,
IF(AND(AH4&gt;600000,AH4&lt;=700000),(AH4-400000)*25%+55000*10%+15000*15%+130000*20%+200000*22.5%,
IF(AND(AH4&gt;700000,AH4&lt;=800000),(AH4-400000)*25%+70000*15%+130000*20%+200000*22.5%,
IF(AND(AH4&gt;800000,AH4&lt;=900000),(AH4-400000)*25%+200000*20%+200000*22.5%,
IF(AND(AH4&gt;900000,AH4&lt;=1200000),(AH4-400000)*25%+400000*22.5%,
IF(AH4&gt;1200000,(AH4-1200000)*27.5%+1200000*25%))))))))))/12</f>
        <v>241.1538461538461</v>
      </c>
      <c r="AJ4" s="3">
        <f t="shared" ref="AJ4:AJ67" si="18">+AD4*0.0005</f>
        <v>3.8083333333333336</v>
      </c>
      <c r="AK4" s="4">
        <f t="shared" ref="AK4:AK67" si="19">+AD4-AF4-AI4-AJ4</f>
        <v>6779.3967948717955</v>
      </c>
      <c r="AL4" s="3">
        <v>0</v>
      </c>
      <c r="AM4" s="4">
        <f t="shared" ref="AM4:AM67" si="20">+AK4-AL4</f>
        <v>6779.3967948717955</v>
      </c>
      <c r="AN4" s="1">
        <f t="shared" ref="AN4:AN13" si="21">+AE4*0.1875</f>
        <v>1009.6153846153846</v>
      </c>
      <c r="AO4" s="46"/>
      <c r="AP4" s="55">
        <f t="shared" ref="AP4:AP67" si="22">AD4+AN4</f>
        <v>8626.2820512820508</v>
      </c>
    </row>
    <row r="5" spans="1:42" x14ac:dyDescent="0.35">
      <c r="A5" s="49" t="s">
        <v>42</v>
      </c>
      <c r="B5" s="26" t="s">
        <v>119</v>
      </c>
      <c r="C5" s="59" t="s">
        <v>200</v>
      </c>
      <c r="D5" s="32" t="s">
        <v>206</v>
      </c>
      <c r="E5" s="27">
        <v>29510242101771</v>
      </c>
      <c r="F5" s="14" t="s">
        <v>36</v>
      </c>
      <c r="G5" s="30">
        <v>4000</v>
      </c>
      <c r="H5" s="30">
        <v>3000</v>
      </c>
      <c r="I5" s="30">
        <v>0</v>
      </c>
      <c r="J5" s="53">
        <v>1</v>
      </c>
      <c r="K5" s="9">
        <f t="shared" si="1"/>
        <v>3000</v>
      </c>
      <c r="L5" s="9">
        <v>0</v>
      </c>
      <c r="M5" s="9">
        <f t="shared" si="2"/>
        <v>30</v>
      </c>
      <c r="N5" s="9">
        <f t="shared" si="3"/>
        <v>0</v>
      </c>
      <c r="O5" s="10">
        <f t="shared" si="4"/>
        <v>133.33333333333334</v>
      </c>
      <c r="P5" s="10">
        <f t="shared" si="5"/>
        <v>100</v>
      </c>
      <c r="Q5" s="10">
        <f t="shared" si="6"/>
        <v>233.33333333333334</v>
      </c>
      <c r="R5" s="10">
        <f t="shared" si="7"/>
        <v>16.666666666666668</v>
      </c>
      <c r="S5" s="9">
        <v>37</v>
      </c>
      <c r="T5" s="9">
        <f t="shared" si="8"/>
        <v>616.66666666666674</v>
      </c>
      <c r="U5" s="9">
        <v>0</v>
      </c>
      <c r="V5" s="15">
        <f t="shared" si="9"/>
        <v>7616.666666666667</v>
      </c>
      <c r="W5" s="52">
        <v>0</v>
      </c>
      <c r="X5" s="29">
        <f t="shared" si="10"/>
        <v>0</v>
      </c>
      <c r="Y5" s="43">
        <v>0</v>
      </c>
      <c r="Z5" s="29">
        <f t="shared" si="11"/>
        <v>0</v>
      </c>
      <c r="AA5" s="29">
        <v>0</v>
      </c>
      <c r="AB5" s="29">
        <f t="shared" si="12"/>
        <v>0</v>
      </c>
      <c r="AC5" s="11">
        <f t="shared" si="13"/>
        <v>0</v>
      </c>
      <c r="AD5" s="4">
        <f t="shared" si="0"/>
        <v>7616.666666666667</v>
      </c>
      <c r="AE5" s="3">
        <f t="shared" si="14"/>
        <v>5384.6153846153848</v>
      </c>
      <c r="AF5" s="3">
        <f t="shared" si="15"/>
        <v>592.30769230769238</v>
      </c>
      <c r="AG5" s="1">
        <v>1666.6666666666667</v>
      </c>
      <c r="AH5" s="1">
        <f t="shared" si="16"/>
        <v>64292.307692307688</v>
      </c>
      <c r="AI5" s="1">
        <f t="shared" si="17"/>
        <v>241.1538461538461</v>
      </c>
      <c r="AJ5" s="3">
        <f t="shared" si="18"/>
        <v>3.8083333333333336</v>
      </c>
      <c r="AK5" s="4">
        <f t="shared" si="19"/>
        <v>6779.3967948717955</v>
      </c>
      <c r="AL5" s="3">
        <v>0</v>
      </c>
      <c r="AM5" s="4">
        <f t="shared" si="20"/>
        <v>6779.3967948717955</v>
      </c>
      <c r="AN5" s="1">
        <f t="shared" si="21"/>
        <v>1009.6153846153846</v>
      </c>
      <c r="AO5" s="46"/>
      <c r="AP5" s="55">
        <f t="shared" si="22"/>
        <v>8626.2820512820508</v>
      </c>
    </row>
    <row r="6" spans="1:42" x14ac:dyDescent="0.35">
      <c r="A6" s="49" t="s">
        <v>43</v>
      </c>
      <c r="B6" s="25" t="s">
        <v>120</v>
      </c>
      <c r="C6" s="59" t="s">
        <v>200</v>
      </c>
      <c r="D6" s="33" t="s">
        <v>207</v>
      </c>
      <c r="E6" s="19">
        <v>30012072103826</v>
      </c>
      <c r="F6" s="14" t="s">
        <v>36</v>
      </c>
      <c r="G6" s="30">
        <v>4000</v>
      </c>
      <c r="H6" s="30">
        <v>3000</v>
      </c>
      <c r="I6" s="30">
        <v>0</v>
      </c>
      <c r="J6" s="53">
        <v>1</v>
      </c>
      <c r="K6" s="9">
        <f t="shared" si="1"/>
        <v>3000</v>
      </c>
      <c r="L6" s="9">
        <v>0</v>
      </c>
      <c r="M6" s="9">
        <f t="shared" si="2"/>
        <v>30</v>
      </c>
      <c r="N6" s="9">
        <f t="shared" si="3"/>
        <v>0</v>
      </c>
      <c r="O6" s="10">
        <f t="shared" si="4"/>
        <v>133.33333333333334</v>
      </c>
      <c r="P6" s="10">
        <f t="shared" si="5"/>
        <v>100</v>
      </c>
      <c r="Q6" s="10">
        <f t="shared" si="6"/>
        <v>233.33333333333334</v>
      </c>
      <c r="R6" s="10">
        <f t="shared" si="7"/>
        <v>16.666666666666668</v>
      </c>
      <c r="S6" s="9">
        <v>33</v>
      </c>
      <c r="T6" s="9">
        <f t="shared" si="8"/>
        <v>550</v>
      </c>
      <c r="U6" s="9">
        <v>0</v>
      </c>
      <c r="V6" s="15">
        <f t="shared" si="9"/>
        <v>7550</v>
      </c>
      <c r="W6" s="52">
        <v>0</v>
      </c>
      <c r="X6" s="29">
        <f t="shared" si="10"/>
        <v>0</v>
      </c>
      <c r="Y6" s="43">
        <v>1</v>
      </c>
      <c r="Z6" s="29">
        <f t="shared" si="11"/>
        <v>133.33333333333334</v>
      </c>
      <c r="AA6" s="29">
        <v>0</v>
      </c>
      <c r="AB6" s="29">
        <f t="shared" si="12"/>
        <v>0</v>
      </c>
      <c r="AC6" s="11">
        <f t="shared" si="13"/>
        <v>133.33333333333334</v>
      </c>
      <c r="AD6" s="4">
        <f t="shared" si="0"/>
        <v>7416.666666666667</v>
      </c>
      <c r="AE6" s="3">
        <f t="shared" si="14"/>
        <v>5384.6153846153848</v>
      </c>
      <c r="AF6" s="3">
        <f t="shared" si="15"/>
        <v>592.30769230769238</v>
      </c>
      <c r="AG6" s="1">
        <v>1666.6666666666667</v>
      </c>
      <c r="AH6" s="1">
        <f t="shared" si="16"/>
        <v>61892.307692307688</v>
      </c>
      <c r="AI6" s="1">
        <f t="shared" si="17"/>
        <v>211.1538461538461</v>
      </c>
      <c r="AJ6" s="3">
        <f t="shared" si="18"/>
        <v>3.7083333333333335</v>
      </c>
      <c r="AK6" s="4">
        <f t="shared" si="19"/>
        <v>6609.4967948717958</v>
      </c>
      <c r="AL6" s="3">
        <v>0</v>
      </c>
      <c r="AM6" s="4">
        <f t="shared" si="20"/>
        <v>6609.4967948717958</v>
      </c>
      <c r="AN6" s="1">
        <f t="shared" si="21"/>
        <v>1009.6153846153846</v>
      </c>
      <c r="AO6" s="46"/>
      <c r="AP6" s="55">
        <f t="shared" si="22"/>
        <v>8426.2820512820508</v>
      </c>
    </row>
    <row r="7" spans="1:42" x14ac:dyDescent="0.35">
      <c r="A7" s="49" t="s">
        <v>44</v>
      </c>
      <c r="B7" s="25" t="s">
        <v>121</v>
      </c>
      <c r="C7" s="59" t="s">
        <v>200</v>
      </c>
      <c r="D7" s="33" t="s">
        <v>208</v>
      </c>
      <c r="E7" s="19">
        <v>29907252105365</v>
      </c>
      <c r="F7" s="14" t="s">
        <v>36</v>
      </c>
      <c r="G7" s="30">
        <v>4000</v>
      </c>
      <c r="H7" s="30">
        <v>3000</v>
      </c>
      <c r="I7" s="30">
        <v>0</v>
      </c>
      <c r="J7" s="53">
        <v>1</v>
      </c>
      <c r="K7" s="9">
        <f t="shared" si="1"/>
        <v>3000</v>
      </c>
      <c r="L7" s="9">
        <v>0</v>
      </c>
      <c r="M7" s="9">
        <f t="shared" si="2"/>
        <v>30</v>
      </c>
      <c r="N7" s="9">
        <f t="shared" si="3"/>
        <v>0</v>
      </c>
      <c r="O7" s="10">
        <f t="shared" si="4"/>
        <v>133.33333333333334</v>
      </c>
      <c r="P7" s="10">
        <f t="shared" si="5"/>
        <v>100</v>
      </c>
      <c r="Q7" s="10">
        <f t="shared" si="6"/>
        <v>233.33333333333334</v>
      </c>
      <c r="R7" s="10">
        <f t="shared" si="7"/>
        <v>16.666666666666668</v>
      </c>
      <c r="S7" s="9">
        <v>34</v>
      </c>
      <c r="T7" s="9">
        <f t="shared" si="8"/>
        <v>566.66666666666674</v>
      </c>
      <c r="U7" s="9">
        <v>0</v>
      </c>
      <c r="V7" s="15">
        <f t="shared" si="9"/>
        <v>7566.666666666667</v>
      </c>
      <c r="W7" s="52">
        <v>0</v>
      </c>
      <c r="X7" s="29">
        <f t="shared" si="10"/>
        <v>0</v>
      </c>
      <c r="Y7" s="43">
        <v>2</v>
      </c>
      <c r="Z7" s="29">
        <f t="shared" si="11"/>
        <v>266.66666666666669</v>
      </c>
      <c r="AA7" s="29">
        <v>0</v>
      </c>
      <c r="AB7" s="29">
        <f t="shared" si="12"/>
        <v>0</v>
      </c>
      <c r="AC7" s="11">
        <f t="shared" si="13"/>
        <v>266.66666666666669</v>
      </c>
      <c r="AD7" s="4">
        <f t="shared" si="0"/>
        <v>7300</v>
      </c>
      <c r="AE7" s="3">
        <f t="shared" si="14"/>
        <v>5384.6153846153848</v>
      </c>
      <c r="AF7" s="3">
        <f t="shared" si="15"/>
        <v>592.30769230769238</v>
      </c>
      <c r="AG7" s="1">
        <v>1666.6666666666667</v>
      </c>
      <c r="AH7" s="1">
        <f t="shared" si="16"/>
        <v>60492.307692307688</v>
      </c>
      <c r="AI7" s="1">
        <f t="shared" si="17"/>
        <v>193.6538461538461</v>
      </c>
      <c r="AJ7" s="3">
        <f t="shared" si="18"/>
        <v>3.65</v>
      </c>
      <c r="AK7" s="4">
        <f t="shared" si="19"/>
        <v>6510.3884615384623</v>
      </c>
      <c r="AL7" s="3">
        <v>0</v>
      </c>
      <c r="AM7" s="4">
        <f t="shared" si="20"/>
        <v>6510.3884615384623</v>
      </c>
      <c r="AN7" s="1">
        <f t="shared" si="21"/>
        <v>1009.6153846153846</v>
      </c>
      <c r="AO7" s="46"/>
      <c r="AP7" s="55">
        <f t="shared" si="22"/>
        <v>8309.6153846153848</v>
      </c>
    </row>
    <row r="8" spans="1:42" x14ac:dyDescent="0.35">
      <c r="A8" s="49" t="s">
        <v>45</v>
      </c>
      <c r="B8" s="25" t="s">
        <v>122</v>
      </c>
      <c r="C8" s="59" t="s">
        <v>200</v>
      </c>
      <c r="D8" s="33" t="s">
        <v>209</v>
      </c>
      <c r="E8" s="19">
        <v>30510012111218</v>
      </c>
      <c r="F8" s="14" t="s">
        <v>36</v>
      </c>
      <c r="G8" s="30">
        <v>4000</v>
      </c>
      <c r="H8" s="30">
        <v>3000</v>
      </c>
      <c r="I8" s="30">
        <v>0</v>
      </c>
      <c r="J8" s="53">
        <v>1</v>
      </c>
      <c r="K8" s="9">
        <f t="shared" si="1"/>
        <v>3000</v>
      </c>
      <c r="L8" s="9">
        <v>0</v>
      </c>
      <c r="M8" s="9">
        <f t="shared" si="2"/>
        <v>30</v>
      </c>
      <c r="N8" s="9">
        <f t="shared" si="3"/>
        <v>0</v>
      </c>
      <c r="O8" s="10">
        <f t="shared" si="4"/>
        <v>133.33333333333334</v>
      </c>
      <c r="P8" s="10">
        <f t="shared" si="5"/>
        <v>100</v>
      </c>
      <c r="Q8" s="10">
        <f t="shared" si="6"/>
        <v>233.33333333333334</v>
      </c>
      <c r="R8" s="10">
        <f t="shared" si="7"/>
        <v>16.666666666666668</v>
      </c>
      <c r="S8" s="9">
        <v>34</v>
      </c>
      <c r="T8" s="9">
        <f t="shared" si="8"/>
        <v>566.66666666666674</v>
      </c>
      <c r="U8" s="9">
        <v>0</v>
      </c>
      <c r="V8" s="15">
        <f t="shared" si="9"/>
        <v>7566.666666666667</v>
      </c>
      <c r="W8" s="52">
        <v>0</v>
      </c>
      <c r="X8" s="29">
        <f t="shared" si="10"/>
        <v>0</v>
      </c>
      <c r="Y8" s="43">
        <v>0</v>
      </c>
      <c r="Z8" s="29">
        <f t="shared" si="11"/>
        <v>0</v>
      </c>
      <c r="AA8" s="29">
        <v>0</v>
      </c>
      <c r="AB8" s="29">
        <f t="shared" si="12"/>
        <v>0</v>
      </c>
      <c r="AC8" s="11">
        <f t="shared" si="13"/>
        <v>0</v>
      </c>
      <c r="AD8" s="4">
        <f t="shared" si="0"/>
        <v>7566.666666666667</v>
      </c>
      <c r="AE8" s="3">
        <f t="shared" si="14"/>
        <v>5384.6153846153848</v>
      </c>
      <c r="AF8" s="3">
        <f t="shared" si="15"/>
        <v>592.30769230769238</v>
      </c>
      <c r="AG8" s="1">
        <v>1666.6666666666667</v>
      </c>
      <c r="AH8" s="1">
        <f t="shared" si="16"/>
        <v>63692.307692307688</v>
      </c>
      <c r="AI8" s="1">
        <f t="shared" si="17"/>
        <v>233.6538461538461</v>
      </c>
      <c r="AJ8" s="3">
        <f t="shared" si="18"/>
        <v>3.7833333333333337</v>
      </c>
      <c r="AK8" s="4">
        <f t="shared" si="19"/>
        <v>6736.9217948717951</v>
      </c>
      <c r="AL8" s="3">
        <v>0</v>
      </c>
      <c r="AM8" s="4">
        <f t="shared" si="20"/>
        <v>6736.9217948717951</v>
      </c>
      <c r="AN8" s="1">
        <f t="shared" si="21"/>
        <v>1009.6153846153846</v>
      </c>
      <c r="AO8" s="46"/>
      <c r="AP8" s="55">
        <f t="shared" si="22"/>
        <v>8576.2820512820508</v>
      </c>
    </row>
    <row r="9" spans="1:42" x14ac:dyDescent="0.35">
      <c r="A9" s="49" t="s">
        <v>46</v>
      </c>
      <c r="B9" s="26" t="s">
        <v>123</v>
      </c>
      <c r="C9" s="40" t="s">
        <v>33</v>
      </c>
      <c r="D9" s="32" t="s">
        <v>210</v>
      </c>
      <c r="E9" s="19">
        <v>30206032101048</v>
      </c>
      <c r="F9" s="14" t="s">
        <v>36</v>
      </c>
      <c r="G9" s="30">
        <v>4000</v>
      </c>
      <c r="H9" s="30">
        <v>3000</v>
      </c>
      <c r="I9" s="30">
        <v>850</v>
      </c>
      <c r="J9" s="53">
        <v>1</v>
      </c>
      <c r="K9" s="9">
        <f t="shared" si="1"/>
        <v>3000</v>
      </c>
      <c r="L9" s="9">
        <v>0</v>
      </c>
      <c r="M9" s="9">
        <f t="shared" si="2"/>
        <v>30</v>
      </c>
      <c r="N9" s="9">
        <f t="shared" si="3"/>
        <v>0</v>
      </c>
      <c r="O9" s="10">
        <f t="shared" si="4"/>
        <v>133.33333333333334</v>
      </c>
      <c r="P9" s="10">
        <f t="shared" si="5"/>
        <v>100</v>
      </c>
      <c r="Q9" s="10">
        <f t="shared" si="6"/>
        <v>233.33333333333334</v>
      </c>
      <c r="R9" s="10">
        <f t="shared" si="7"/>
        <v>16.666666666666668</v>
      </c>
      <c r="S9" s="9">
        <v>16</v>
      </c>
      <c r="T9" s="9">
        <f t="shared" si="8"/>
        <v>266.66666666666669</v>
      </c>
      <c r="U9" s="9">
        <v>0</v>
      </c>
      <c r="V9" s="15">
        <f t="shared" si="9"/>
        <v>8116.666666666667</v>
      </c>
      <c r="W9" s="52">
        <v>0</v>
      </c>
      <c r="X9" s="29">
        <f t="shared" si="10"/>
        <v>0</v>
      </c>
      <c r="Y9" s="43">
        <v>0</v>
      </c>
      <c r="Z9" s="29">
        <f t="shared" si="11"/>
        <v>0</v>
      </c>
      <c r="AA9" s="29">
        <v>0</v>
      </c>
      <c r="AB9" s="29">
        <f t="shared" si="12"/>
        <v>0</v>
      </c>
      <c r="AC9" s="11">
        <f t="shared" si="13"/>
        <v>0</v>
      </c>
      <c r="AD9" s="4">
        <f t="shared" si="0"/>
        <v>8116.666666666667</v>
      </c>
      <c r="AE9" s="3">
        <f t="shared" si="14"/>
        <v>5384.6153846153848</v>
      </c>
      <c r="AF9" s="3">
        <f t="shared" si="15"/>
        <v>592.30769230769238</v>
      </c>
      <c r="AG9" s="1">
        <v>1666.6666666666667</v>
      </c>
      <c r="AH9" s="1">
        <f t="shared" si="16"/>
        <v>70292.307692307688</v>
      </c>
      <c r="AI9" s="1">
        <f t="shared" si="17"/>
        <v>317.3717948717948</v>
      </c>
      <c r="AJ9" s="3">
        <f t="shared" si="18"/>
        <v>4.0583333333333336</v>
      </c>
      <c r="AK9" s="4">
        <f t="shared" si="19"/>
        <v>7202.9288461538463</v>
      </c>
      <c r="AL9" s="3">
        <v>0</v>
      </c>
      <c r="AM9" s="4">
        <f t="shared" si="20"/>
        <v>7202.9288461538463</v>
      </c>
      <c r="AN9" s="1">
        <f t="shared" si="21"/>
        <v>1009.6153846153846</v>
      </c>
      <c r="AO9" s="46"/>
      <c r="AP9" s="55">
        <f t="shared" si="22"/>
        <v>9126.2820512820508</v>
      </c>
    </row>
    <row r="10" spans="1:42" x14ac:dyDescent="0.35">
      <c r="A10" s="49" t="s">
        <v>47</v>
      </c>
      <c r="B10" s="25" t="s">
        <v>124</v>
      </c>
      <c r="C10" s="40" t="s">
        <v>33</v>
      </c>
      <c r="D10" s="33" t="s">
        <v>211</v>
      </c>
      <c r="E10" s="19">
        <v>30012122106163</v>
      </c>
      <c r="F10" s="14" t="s">
        <v>36</v>
      </c>
      <c r="G10" s="30">
        <v>4000</v>
      </c>
      <c r="H10" s="30">
        <v>3000</v>
      </c>
      <c r="I10" s="30">
        <v>0</v>
      </c>
      <c r="J10" s="53">
        <v>1</v>
      </c>
      <c r="K10" s="9">
        <f t="shared" si="1"/>
        <v>3000</v>
      </c>
      <c r="L10" s="9">
        <v>0</v>
      </c>
      <c r="M10" s="9">
        <f t="shared" si="2"/>
        <v>30</v>
      </c>
      <c r="N10" s="9">
        <f t="shared" si="3"/>
        <v>0</v>
      </c>
      <c r="O10" s="10">
        <f t="shared" si="4"/>
        <v>133.33333333333334</v>
      </c>
      <c r="P10" s="10">
        <f t="shared" si="5"/>
        <v>100</v>
      </c>
      <c r="Q10" s="10">
        <f t="shared" si="6"/>
        <v>233.33333333333334</v>
      </c>
      <c r="R10" s="10">
        <f t="shared" si="7"/>
        <v>16.666666666666668</v>
      </c>
      <c r="S10" s="9">
        <v>36</v>
      </c>
      <c r="T10" s="9">
        <f t="shared" si="8"/>
        <v>600</v>
      </c>
      <c r="U10" s="9">
        <v>0</v>
      </c>
      <c r="V10" s="15">
        <f t="shared" si="9"/>
        <v>7600</v>
      </c>
      <c r="W10" s="52">
        <v>0</v>
      </c>
      <c r="X10" s="29">
        <f t="shared" si="10"/>
        <v>0</v>
      </c>
      <c r="Y10" s="43">
        <v>0</v>
      </c>
      <c r="Z10" s="29">
        <f t="shared" si="11"/>
        <v>0</v>
      </c>
      <c r="AA10" s="29">
        <v>0</v>
      </c>
      <c r="AB10" s="29">
        <f t="shared" si="12"/>
        <v>0</v>
      </c>
      <c r="AC10" s="11">
        <f t="shared" si="13"/>
        <v>0</v>
      </c>
      <c r="AD10" s="4">
        <f t="shared" si="0"/>
        <v>7600</v>
      </c>
      <c r="AE10" s="3">
        <f t="shared" si="14"/>
        <v>5384.6153846153848</v>
      </c>
      <c r="AF10" s="3">
        <f t="shared" si="15"/>
        <v>592.30769230769238</v>
      </c>
      <c r="AG10" s="1">
        <v>1666.6666666666667</v>
      </c>
      <c r="AH10" s="1">
        <f t="shared" si="16"/>
        <v>64092.307692307688</v>
      </c>
      <c r="AI10" s="1">
        <f t="shared" si="17"/>
        <v>238.6538461538461</v>
      </c>
      <c r="AJ10" s="3">
        <f t="shared" si="18"/>
        <v>3.8000000000000003</v>
      </c>
      <c r="AK10" s="4">
        <f t="shared" si="19"/>
        <v>6765.2384615384617</v>
      </c>
      <c r="AL10" s="3">
        <v>0</v>
      </c>
      <c r="AM10" s="4">
        <f t="shared" si="20"/>
        <v>6765.2384615384617</v>
      </c>
      <c r="AN10" s="1">
        <f t="shared" si="21"/>
        <v>1009.6153846153846</v>
      </c>
      <c r="AO10" s="46"/>
      <c r="AP10" s="55">
        <f t="shared" si="22"/>
        <v>8609.6153846153848</v>
      </c>
    </row>
    <row r="11" spans="1:42" x14ac:dyDescent="0.35">
      <c r="A11" s="49" t="s">
        <v>48</v>
      </c>
      <c r="B11" s="25" t="s">
        <v>125</v>
      </c>
      <c r="C11" s="59" t="s">
        <v>200</v>
      </c>
      <c r="D11" s="33" t="s">
        <v>212</v>
      </c>
      <c r="E11" s="19">
        <v>29003090102344</v>
      </c>
      <c r="F11" s="14" t="s">
        <v>36</v>
      </c>
      <c r="G11" s="30">
        <v>4000</v>
      </c>
      <c r="H11" s="30">
        <v>3000</v>
      </c>
      <c r="I11" s="30">
        <v>0</v>
      </c>
      <c r="J11" s="53">
        <v>1</v>
      </c>
      <c r="K11" s="9">
        <f t="shared" si="1"/>
        <v>3000</v>
      </c>
      <c r="L11" s="9">
        <v>0</v>
      </c>
      <c r="M11" s="9">
        <f t="shared" si="2"/>
        <v>30</v>
      </c>
      <c r="N11" s="9">
        <f t="shared" si="3"/>
        <v>0</v>
      </c>
      <c r="O11" s="10">
        <f t="shared" si="4"/>
        <v>133.33333333333334</v>
      </c>
      <c r="P11" s="10">
        <f t="shared" si="5"/>
        <v>100</v>
      </c>
      <c r="Q11" s="10">
        <f t="shared" si="6"/>
        <v>233.33333333333334</v>
      </c>
      <c r="R11" s="10">
        <f t="shared" si="7"/>
        <v>16.666666666666668</v>
      </c>
      <c r="S11" s="9">
        <v>36</v>
      </c>
      <c r="T11" s="9">
        <f t="shared" si="8"/>
        <v>600</v>
      </c>
      <c r="U11" s="9">
        <v>0</v>
      </c>
      <c r="V11" s="15">
        <f t="shared" si="9"/>
        <v>7600</v>
      </c>
      <c r="W11" s="52">
        <v>0</v>
      </c>
      <c r="X11" s="29">
        <f t="shared" si="10"/>
        <v>0</v>
      </c>
      <c r="Y11" s="43">
        <v>0</v>
      </c>
      <c r="Z11" s="29">
        <f t="shared" si="11"/>
        <v>0</v>
      </c>
      <c r="AA11" s="29">
        <v>0</v>
      </c>
      <c r="AB11" s="29">
        <f t="shared" si="12"/>
        <v>0</v>
      </c>
      <c r="AC11" s="11">
        <f t="shared" si="13"/>
        <v>0</v>
      </c>
      <c r="AD11" s="4">
        <f t="shared" si="0"/>
        <v>7600</v>
      </c>
      <c r="AE11" s="3">
        <f t="shared" si="14"/>
        <v>5384.6153846153848</v>
      </c>
      <c r="AF11" s="3">
        <f t="shared" si="15"/>
        <v>592.30769230769238</v>
      </c>
      <c r="AG11" s="1">
        <v>1666.6666666666667</v>
      </c>
      <c r="AH11" s="1">
        <f t="shared" si="16"/>
        <v>64092.307692307688</v>
      </c>
      <c r="AI11" s="1">
        <f t="shared" si="17"/>
        <v>238.6538461538461</v>
      </c>
      <c r="AJ11" s="3">
        <f t="shared" si="18"/>
        <v>3.8000000000000003</v>
      </c>
      <c r="AK11" s="4">
        <f t="shared" si="19"/>
        <v>6765.2384615384617</v>
      </c>
      <c r="AL11" s="3">
        <v>0</v>
      </c>
      <c r="AM11" s="4">
        <f t="shared" si="20"/>
        <v>6765.2384615384617</v>
      </c>
      <c r="AN11" s="1">
        <f t="shared" si="21"/>
        <v>1009.6153846153846</v>
      </c>
      <c r="AO11" s="46"/>
      <c r="AP11" s="55">
        <f t="shared" si="22"/>
        <v>8609.6153846153848</v>
      </c>
    </row>
    <row r="12" spans="1:42" x14ac:dyDescent="0.35">
      <c r="A12" s="49" t="s">
        <v>49</v>
      </c>
      <c r="B12" s="25" t="s">
        <v>126</v>
      </c>
      <c r="C12" s="40" t="s">
        <v>33</v>
      </c>
      <c r="D12" s="33" t="s">
        <v>213</v>
      </c>
      <c r="E12" s="19">
        <v>30009152103729</v>
      </c>
      <c r="F12" s="14" t="s">
        <v>36</v>
      </c>
      <c r="G12" s="30">
        <v>4000</v>
      </c>
      <c r="H12" s="30">
        <v>3000</v>
      </c>
      <c r="I12" s="30">
        <v>0</v>
      </c>
      <c r="J12" s="53">
        <v>1</v>
      </c>
      <c r="K12" s="9">
        <f t="shared" si="1"/>
        <v>3000</v>
      </c>
      <c r="L12" s="9">
        <v>0</v>
      </c>
      <c r="M12" s="9">
        <f t="shared" si="2"/>
        <v>30</v>
      </c>
      <c r="N12" s="9">
        <f t="shared" si="3"/>
        <v>0</v>
      </c>
      <c r="O12" s="10">
        <f t="shared" si="4"/>
        <v>133.33333333333334</v>
      </c>
      <c r="P12" s="10">
        <f t="shared" si="5"/>
        <v>100</v>
      </c>
      <c r="Q12" s="10">
        <f t="shared" si="6"/>
        <v>233.33333333333334</v>
      </c>
      <c r="R12" s="10">
        <f t="shared" si="7"/>
        <v>16.666666666666668</v>
      </c>
      <c r="S12" s="9">
        <v>34</v>
      </c>
      <c r="T12" s="9">
        <f t="shared" si="8"/>
        <v>566.66666666666674</v>
      </c>
      <c r="U12" s="9">
        <v>0</v>
      </c>
      <c r="V12" s="15">
        <f t="shared" si="9"/>
        <v>7566.666666666667</v>
      </c>
      <c r="W12" s="52">
        <v>0</v>
      </c>
      <c r="X12" s="29">
        <f t="shared" si="10"/>
        <v>0</v>
      </c>
      <c r="Y12" s="43">
        <v>0</v>
      </c>
      <c r="Z12" s="29">
        <f t="shared" si="11"/>
        <v>0</v>
      </c>
      <c r="AA12" s="29">
        <v>0</v>
      </c>
      <c r="AB12" s="29">
        <f t="shared" si="12"/>
        <v>0</v>
      </c>
      <c r="AC12" s="11">
        <f t="shared" si="13"/>
        <v>0</v>
      </c>
      <c r="AD12" s="4">
        <f t="shared" si="0"/>
        <v>7566.666666666667</v>
      </c>
      <c r="AE12" s="3">
        <f t="shared" si="14"/>
        <v>5384.6153846153848</v>
      </c>
      <c r="AF12" s="3">
        <f t="shared" si="15"/>
        <v>592.30769230769238</v>
      </c>
      <c r="AG12" s="1">
        <v>1666.6666666666667</v>
      </c>
      <c r="AH12" s="1">
        <f t="shared" si="16"/>
        <v>63692.307692307688</v>
      </c>
      <c r="AI12" s="1">
        <f t="shared" si="17"/>
        <v>233.6538461538461</v>
      </c>
      <c r="AJ12" s="3">
        <f t="shared" si="18"/>
        <v>3.7833333333333337</v>
      </c>
      <c r="AK12" s="4">
        <f t="shared" si="19"/>
        <v>6736.9217948717951</v>
      </c>
      <c r="AL12" s="3">
        <v>0</v>
      </c>
      <c r="AM12" s="4">
        <f t="shared" si="20"/>
        <v>6736.9217948717951</v>
      </c>
      <c r="AN12" s="1">
        <f t="shared" si="21"/>
        <v>1009.6153846153846</v>
      </c>
      <c r="AO12" s="46"/>
      <c r="AP12" s="55">
        <f t="shared" si="22"/>
        <v>8576.2820512820508</v>
      </c>
    </row>
    <row r="13" spans="1:42" x14ac:dyDescent="0.35">
      <c r="A13" s="49" t="s">
        <v>50</v>
      </c>
      <c r="B13" s="26" t="s">
        <v>127</v>
      </c>
      <c r="C13" s="40" t="s">
        <v>33</v>
      </c>
      <c r="D13" s="32" t="s">
        <v>214</v>
      </c>
      <c r="E13" s="27">
        <v>30009062100801</v>
      </c>
      <c r="F13" s="14" t="s">
        <v>36</v>
      </c>
      <c r="G13" s="30">
        <v>4000</v>
      </c>
      <c r="H13" s="30">
        <v>3000</v>
      </c>
      <c r="I13" s="30">
        <v>0</v>
      </c>
      <c r="J13" s="53">
        <v>1</v>
      </c>
      <c r="K13" s="9">
        <f t="shared" si="1"/>
        <v>3000</v>
      </c>
      <c r="L13" s="9">
        <v>0</v>
      </c>
      <c r="M13" s="9">
        <f t="shared" si="2"/>
        <v>30</v>
      </c>
      <c r="N13" s="9">
        <f t="shared" si="3"/>
        <v>0</v>
      </c>
      <c r="O13" s="10">
        <f t="shared" si="4"/>
        <v>133.33333333333334</v>
      </c>
      <c r="P13" s="10">
        <f t="shared" si="5"/>
        <v>100</v>
      </c>
      <c r="Q13" s="10">
        <f t="shared" si="6"/>
        <v>233.33333333333334</v>
      </c>
      <c r="R13" s="10">
        <f t="shared" si="7"/>
        <v>16.666666666666668</v>
      </c>
      <c r="S13" s="9">
        <v>37</v>
      </c>
      <c r="T13" s="9">
        <f t="shared" si="8"/>
        <v>616.66666666666674</v>
      </c>
      <c r="U13" s="9">
        <v>0</v>
      </c>
      <c r="V13" s="15">
        <f t="shared" si="9"/>
        <v>7616.666666666667</v>
      </c>
      <c r="W13" s="52">
        <v>0</v>
      </c>
      <c r="X13" s="29">
        <f t="shared" si="10"/>
        <v>0</v>
      </c>
      <c r="Y13" s="43">
        <v>0</v>
      </c>
      <c r="Z13" s="29">
        <f t="shared" si="11"/>
        <v>0</v>
      </c>
      <c r="AA13" s="29">
        <v>0</v>
      </c>
      <c r="AB13" s="29">
        <f t="shared" si="12"/>
        <v>0</v>
      </c>
      <c r="AC13" s="11">
        <f t="shared" si="13"/>
        <v>0</v>
      </c>
      <c r="AD13" s="4">
        <f t="shared" si="0"/>
        <v>7616.666666666667</v>
      </c>
      <c r="AE13" s="3">
        <f t="shared" si="14"/>
        <v>5384.6153846153848</v>
      </c>
      <c r="AF13" s="3">
        <f t="shared" si="15"/>
        <v>592.30769230769238</v>
      </c>
      <c r="AG13" s="1">
        <v>1666.6666666666667</v>
      </c>
      <c r="AH13" s="1">
        <f t="shared" si="16"/>
        <v>64292.307692307688</v>
      </c>
      <c r="AI13" s="1">
        <f t="shared" si="17"/>
        <v>241.1538461538461</v>
      </c>
      <c r="AJ13" s="3">
        <f t="shared" si="18"/>
        <v>3.8083333333333336</v>
      </c>
      <c r="AK13" s="4">
        <f t="shared" si="19"/>
        <v>6779.3967948717955</v>
      </c>
      <c r="AL13" s="3">
        <v>0</v>
      </c>
      <c r="AM13" s="4">
        <f t="shared" si="20"/>
        <v>6779.3967948717955</v>
      </c>
      <c r="AN13" s="1">
        <f t="shared" si="21"/>
        <v>1009.6153846153846</v>
      </c>
      <c r="AO13" s="46"/>
      <c r="AP13" s="55">
        <f t="shared" si="22"/>
        <v>8626.2820512820508</v>
      </c>
    </row>
    <row r="14" spans="1:42" x14ac:dyDescent="0.35">
      <c r="A14" s="49" t="s">
        <v>196</v>
      </c>
      <c r="B14" s="26" t="s">
        <v>198</v>
      </c>
      <c r="C14" s="40" t="s">
        <v>33</v>
      </c>
      <c r="D14" s="32" t="s">
        <v>215</v>
      </c>
      <c r="E14" s="19">
        <v>29707092103124</v>
      </c>
      <c r="F14" s="14" t="s">
        <v>36</v>
      </c>
      <c r="G14" s="30">
        <v>4000</v>
      </c>
      <c r="H14" s="30">
        <v>3000</v>
      </c>
      <c r="I14" s="30"/>
      <c r="J14" s="53">
        <v>1</v>
      </c>
      <c r="K14" s="9">
        <f t="shared" si="1"/>
        <v>3000</v>
      </c>
      <c r="L14" s="9">
        <v>0</v>
      </c>
      <c r="M14" s="9">
        <f t="shared" si="2"/>
        <v>3</v>
      </c>
      <c r="N14" s="9">
        <f t="shared" ref="N14:N42" si="23">L14*M14</f>
        <v>0</v>
      </c>
      <c r="O14" s="10">
        <f t="shared" si="4"/>
        <v>133.33333333333334</v>
      </c>
      <c r="P14" s="10">
        <f t="shared" si="5"/>
        <v>100</v>
      </c>
      <c r="Q14" s="10">
        <f t="shared" si="6"/>
        <v>233.33333333333334</v>
      </c>
      <c r="R14" s="10">
        <f t="shared" si="7"/>
        <v>16.666666666666668</v>
      </c>
      <c r="S14" s="9">
        <v>2</v>
      </c>
      <c r="T14" s="9">
        <f t="shared" si="8"/>
        <v>33.333333333333336</v>
      </c>
      <c r="U14" s="9">
        <v>0</v>
      </c>
      <c r="V14" s="15">
        <f t="shared" si="9"/>
        <v>7033.333333333333</v>
      </c>
      <c r="W14" s="52">
        <v>27</v>
      </c>
      <c r="X14" s="29">
        <f t="shared" si="10"/>
        <v>6300</v>
      </c>
      <c r="Y14" s="43">
        <v>0</v>
      </c>
      <c r="Z14" s="29">
        <f>Y14*O14</f>
        <v>0</v>
      </c>
      <c r="AA14" s="29">
        <v>0</v>
      </c>
      <c r="AB14" s="29">
        <f t="shared" si="12"/>
        <v>0</v>
      </c>
      <c r="AC14" s="11">
        <f t="shared" si="13"/>
        <v>6300</v>
      </c>
      <c r="AD14" s="4">
        <f t="shared" si="0"/>
        <v>733.33333333333303</v>
      </c>
      <c r="AE14" s="3">
        <v>0</v>
      </c>
      <c r="AF14" s="3">
        <f t="shared" si="15"/>
        <v>0</v>
      </c>
      <c r="AG14" s="1">
        <v>1666.6666666666667</v>
      </c>
      <c r="AH14" s="1">
        <f t="shared" si="16"/>
        <v>-11200.000000000004</v>
      </c>
      <c r="AI14" s="1">
        <f t="shared" si="17"/>
        <v>0</v>
      </c>
      <c r="AJ14" s="3">
        <f t="shared" si="18"/>
        <v>0.36666666666666653</v>
      </c>
      <c r="AK14" s="4">
        <f t="shared" si="19"/>
        <v>732.96666666666636</v>
      </c>
      <c r="AL14" s="3">
        <v>0</v>
      </c>
      <c r="AM14" s="4">
        <f t="shared" si="20"/>
        <v>732.96666666666636</v>
      </c>
      <c r="AN14" s="1">
        <f>+AE14*0.1875</f>
        <v>0</v>
      </c>
      <c r="AO14" s="46"/>
      <c r="AP14" s="55">
        <f t="shared" si="22"/>
        <v>733.33333333333303</v>
      </c>
    </row>
    <row r="15" spans="1:42" x14ac:dyDescent="0.35">
      <c r="A15" s="49" t="s">
        <v>51</v>
      </c>
      <c r="B15" s="25" t="s">
        <v>128</v>
      </c>
      <c r="C15" s="59" t="s">
        <v>200</v>
      </c>
      <c r="D15" s="33" t="s">
        <v>216</v>
      </c>
      <c r="E15" s="19">
        <v>30009142103208</v>
      </c>
      <c r="F15" s="14" t="s">
        <v>36</v>
      </c>
      <c r="G15" s="30">
        <v>4000</v>
      </c>
      <c r="H15" s="30">
        <v>3000</v>
      </c>
      <c r="I15" s="30">
        <v>0</v>
      </c>
      <c r="J15" s="53">
        <v>1</v>
      </c>
      <c r="K15" s="9">
        <f t="shared" si="1"/>
        <v>3000</v>
      </c>
      <c r="L15" s="9">
        <v>0</v>
      </c>
      <c r="M15" s="9">
        <f t="shared" si="2"/>
        <v>30</v>
      </c>
      <c r="N15" s="9">
        <f t="shared" si="23"/>
        <v>0</v>
      </c>
      <c r="O15" s="10">
        <f t="shared" si="4"/>
        <v>133.33333333333334</v>
      </c>
      <c r="P15" s="10">
        <f t="shared" si="5"/>
        <v>100</v>
      </c>
      <c r="Q15" s="10">
        <f t="shared" si="6"/>
        <v>233.33333333333334</v>
      </c>
      <c r="R15" s="10">
        <f t="shared" si="7"/>
        <v>16.666666666666668</v>
      </c>
      <c r="S15" s="9">
        <v>35</v>
      </c>
      <c r="T15" s="9">
        <f t="shared" si="8"/>
        <v>583.33333333333337</v>
      </c>
      <c r="U15" s="9">
        <v>0</v>
      </c>
      <c r="V15" s="15">
        <f t="shared" si="9"/>
        <v>7583.333333333333</v>
      </c>
      <c r="W15" s="52">
        <v>0</v>
      </c>
      <c r="X15" s="29">
        <f t="shared" si="10"/>
        <v>0</v>
      </c>
      <c r="Y15" s="43">
        <v>0</v>
      </c>
      <c r="Z15" s="29">
        <f t="shared" ref="Z15:Z78" si="24">Y15*O15</f>
        <v>0</v>
      </c>
      <c r="AA15" s="29">
        <v>0</v>
      </c>
      <c r="AB15" s="29">
        <f t="shared" si="12"/>
        <v>0</v>
      </c>
      <c r="AC15" s="11">
        <f t="shared" si="13"/>
        <v>0</v>
      </c>
      <c r="AD15" s="4">
        <f t="shared" si="0"/>
        <v>7583.333333333333</v>
      </c>
      <c r="AE15" s="3">
        <f t="shared" si="14"/>
        <v>5384.6153846153848</v>
      </c>
      <c r="AF15" s="3">
        <f t="shared" si="15"/>
        <v>592.30769230769238</v>
      </c>
      <c r="AG15" s="1">
        <v>1666.6666666666667</v>
      </c>
      <c r="AH15" s="1">
        <f t="shared" si="16"/>
        <v>63892.307692307688</v>
      </c>
      <c r="AI15" s="1">
        <f t="shared" si="17"/>
        <v>236.1538461538461</v>
      </c>
      <c r="AJ15" s="3">
        <f t="shared" si="18"/>
        <v>3.7916666666666665</v>
      </c>
      <c r="AK15" s="4">
        <f t="shared" si="19"/>
        <v>6751.0801282051279</v>
      </c>
      <c r="AL15" s="3">
        <v>0</v>
      </c>
      <c r="AM15" s="4">
        <f t="shared" si="20"/>
        <v>6751.0801282051279</v>
      </c>
      <c r="AN15" s="1">
        <f t="shared" ref="AN15:AN78" si="25">+AE15*0.1875</f>
        <v>1009.6153846153846</v>
      </c>
      <c r="AO15" s="46"/>
      <c r="AP15" s="55">
        <f t="shared" si="22"/>
        <v>8592.9487179487169</v>
      </c>
    </row>
    <row r="16" spans="1:42" x14ac:dyDescent="0.35">
      <c r="A16" s="49" t="s">
        <v>52</v>
      </c>
      <c r="B16" s="26" t="s">
        <v>129</v>
      </c>
      <c r="C16" s="40" t="s">
        <v>33</v>
      </c>
      <c r="D16" s="32" t="s">
        <v>217</v>
      </c>
      <c r="E16" s="27">
        <v>30205282101047</v>
      </c>
      <c r="F16" s="14" t="s">
        <v>36</v>
      </c>
      <c r="G16" s="30">
        <v>4000</v>
      </c>
      <c r="H16" s="30">
        <v>3000</v>
      </c>
      <c r="I16" s="30">
        <v>0</v>
      </c>
      <c r="J16" s="53">
        <v>1</v>
      </c>
      <c r="K16" s="9">
        <f t="shared" si="1"/>
        <v>3000</v>
      </c>
      <c r="L16" s="9">
        <v>0</v>
      </c>
      <c r="M16" s="9">
        <f t="shared" si="2"/>
        <v>30</v>
      </c>
      <c r="N16" s="9">
        <f t="shared" si="23"/>
        <v>0</v>
      </c>
      <c r="O16" s="10">
        <f t="shared" si="4"/>
        <v>133.33333333333334</v>
      </c>
      <c r="P16" s="10">
        <f t="shared" si="5"/>
        <v>100</v>
      </c>
      <c r="Q16" s="10">
        <f t="shared" si="6"/>
        <v>233.33333333333334</v>
      </c>
      <c r="R16" s="10">
        <f t="shared" si="7"/>
        <v>16.666666666666668</v>
      </c>
      <c r="S16" s="9">
        <v>0</v>
      </c>
      <c r="T16" s="9">
        <f t="shared" si="8"/>
        <v>0</v>
      </c>
      <c r="U16" s="9">
        <v>0</v>
      </c>
      <c r="V16" s="15">
        <f t="shared" si="9"/>
        <v>7000</v>
      </c>
      <c r="W16" s="52">
        <v>0</v>
      </c>
      <c r="X16" s="29">
        <f t="shared" si="10"/>
        <v>0</v>
      </c>
      <c r="Y16" s="43">
        <v>0</v>
      </c>
      <c r="Z16" s="29">
        <f t="shared" si="24"/>
        <v>0</v>
      </c>
      <c r="AA16" s="29">
        <v>0</v>
      </c>
      <c r="AB16" s="29">
        <f t="shared" si="12"/>
        <v>0</v>
      </c>
      <c r="AC16" s="11">
        <f t="shared" si="13"/>
        <v>0</v>
      </c>
      <c r="AD16" s="4">
        <f t="shared" si="0"/>
        <v>7000</v>
      </c>
      <c r="AE16" s="3">
        <f t="shared" si="14"/>
        <v>5384.6153846153848</v>
      </c>
      <c r="AF16" s="3">
        <f t="shared" si="15"/>
        <v>592.30769230769238</v>
      </c>
      <c r="AG16" s="1">
        <v>1666.6666666666667</v>
      </c>
      <c r="AH16" s="1">
        <f t="shared" si="16"/>
        <v>56892.307692307688</v>
      </c>
      <c r="AI16" s="1">
        <f t="shared" si="17"/>
        <v>148.6538461538461</v>
      </c>
      <c r="AJ16" s="3">
        <f t="shared" si="18"/>
        <v>3.5</v>
      </c>
      <c r="AK16" s="4">
        <f t="shared" si="19"/>
        <v>6255.5384615384619</v>
      </c>
      <c r="AL16" s="3">
        <v>0</v>
      </c>
      <c r="AM16" s="4">
        <f t="shared" si="20"/>
        <v>6255.5384615384619</v>
      </c>
      <c r="AN16" s="1">
        <f t="shared" si="25"/>
        <v>1009.6153846153846</v>
      </c>
      <c r="AO16" s="46"/>
      <c r="AP16" s="55">
        <f t="shared" si="22"/>
        <v>8009.6153846153848</v>
      </c>
    </row>
    <row r="17" spans="1:42" x14ac:dyDescent="0.35">
      <c r="A17" s="49" t="s">
        <v>53</v>
      </c>
      <c r="B17" s="25" t="s">
        <v>130</v>
      </c>
      <c r="C17" s="59" t="s">
        <v>200</v>
      </c>
      <c r="D17" s="33" t="s">
        <v>218</v>
      </c>
      <c r="E17" s="19">
        <v>30404292100351</v>
      </c>
      <c r="F17" s="14" t="s">
        <v>36</v>
      </c>
      <c r="G17" s="30">
        <v>4000</v>
      </c>
      <c r="H17" s="30">
        <v>3000</v>
      </c>
      <c r="I17" s="30">
        <v>0</v>
      </c>
      <c r="J17" s="53">
        <v>1</v>
      </c>
      <c r="K17" s="9">
        <f t="shared" si="1"/>
        <v>3000</v>
      </c>
      <c r="L17" s="9">
        <v>0</v>
      </c>
      <c r="M17" s="9">
        <f t="shared" si="2"/>
        <v>30</v>
      </c>
      <c r="N17" s="9">
        <f t="shared" si="23"/>
        <v>0</v>
      </c>
      <c r="O17" s="10">
        <f t="shared" si="4"/>
        <v>133.33333333333334</v>
      </c>
      <c r="P17" s="10">
        <f t="shared" si="5"/>
        <v>100</v>
      </c>
      <c r="Q17" s="10">
        <f t="shared" si="6"/>
        <v>233.33333333333334</v>
      </c>
      <c r="R17" s="10">
        <f t="shared" si="7"/>
        <v>16.666666666666668</v>
      </c>
      <c r="S17" s="9">
        <v>36</v>
      </c>
      <c r="T17" s="9">
        <f t="shared" si="8"/>
        <v>600</v>
      </c>
      <c r="U17" s="9">
        <v>0</v>
      </c>
      <c r="V17" s="15">
        <f t="shared" si="9"/>
        <v>7600</v>
      </c>
      <c r="W17" s="52">
        <v>0</v>
      </c>
      <c r="X17" s="29">
        <f t="shared" si="10"/>
        <v>0</v>
      </c>
      <c r="Y17" s="43">
        <v>2</v>
      </c>
      <c r="Z17" s="29">
        <f t="shared" si="24"/>
        <v>266.66666666666669</v>
      </c>
      <c r="AA17" s="29">
        <v>0</v>
      </c>
      <c r="AB17" s="29">
        <f t="shared" si="12"/>
        <v>0</v>
      </c>
      <c r="AC17" s="11">
        <f t="shared" si="13"/>
        <v>266.66666666666669</v>
      </c>
      <c r="AD17" s="4">
        <f t="shared" si="0"/>
        <v>7333.333333333333</v>
      </c>
      <c r="AE17" s="3">
        <f t="shared" si="14"/>
        <v>5384.6153846153848</v>
      </c>
      <c r="AF17" s="3">
        <f t="shared" si="15"/>
        <v>592.30769230769238</v>
      </c>
      <c r="AG17" s="1">
        <v>1666.6666666666667</v>
      </c>
      <c r="AH17" s="1">
        <f t="shared" si="16"/>
        <v>60892.307692307688</v>
      </c>
      <c r="AI17" s="1">
        <f t="shared" si="17"/>
        <v>198.6538461538461</v>
      </c>
      <c r="AJ17" s="3">
        <f t="shared" si="18"/>
        <v>3.6666666666666665</v>
      </c>
      <c r="AK17" s="4">
        <f t="shared" si="19"/>
        <v>6538.7051282051279</v>
      </c>
      <c r="AL17" s="3">
        <v>0</v>
      </c>
      <c r="AM17" s="4">
        <f t="shared" si="20"/>
        <v>6538.7051282051279</v>
      </c>
      <c r="AN17" s="1">
        <f t="shared" si="25"/>
        <v>1009.6153846153846</v>
      </c>
      <c r="AO17" s="46"/>
      <c r="AP17" s="55">
        <f t="shared" si="22"/>
        <v>8342.9487179487169</v>
      </c>
    </row>
    <row r="18" spans="1:42" x14ac:dyDescent="0.35">
      <c r="A18" s="49" t="s">
        <v>54</v>
      </c>
      <c r="B18" s="25" t="s">
        <v>131</v>
      </c>
      <c r="C18" s="40" t="s">
        <v>33</v>
      </c>
      <c r="D18" s="33" t="s">
        <v>219</v>
      </c>
      <c r="E18" s="19">
        <v>30208222100792</v>
      </c>
      <c r="F18" s="14" t="s">
        <v>36</v>
      </c>
      <c r="G18" s="30">
        <v>4000</v>
      </c>
      <c r="H18" s="30">
        <v>3000</v>
      </c>
      <c r="I18" s="30">
        <v>0</v>
      </c>
      <c r="J18" s="53">
        <v>1</v>
      </c>
      <c r="K18" s="9">
        <f t="shared" si="1"/>
        <v>3000</v>
      </c>
      <c r="L18" s="9">
        <v>0</v>
      </c>
      <c r="M18" s="9">
        <f t="shared" si="2"/>
        <v>30</v>
      </c>
      <c r="N18" s="9">
        <f t="shared" si="23"/>
        <v>0</v>
      </c>
      <c r="O18" s="10">
        <f t="shared" si="4"/>
        <v>133.33333333333334</v>
      </c>
      <c r="P18" s="10">
        <f t="shared" si="5"/>
        <v>100</v>
      </c>
      <c r="Q18" s="10">
        <f t="shared" si="6"/>
        <v>233.33333333333334</v>
      </c>
      <c r="R18" s="10">
        <f t="shared" si="7"/>
        <v>16.666666666666668</v>
      </c>
      <c r="S18" s="9">
        <v>34</v>
      </c>
      <c r="T18" s="9">
        <f t="shared" si="8"/>
        <v>566.66666666666674</v>
      </c>
      <c r="U18" s="9">
        <v>0</v>
      </c>
      <c r="V18" s="15">
        <f t="shared" si="9"/>
        <v>7566.666666666667</v>
      </c>
      <c r="W18" s="52">
        <v>0</v>
      </c>
      <c r="X18" s="29">
        <f t="shared" si="10"/>
        <v>0</v>
      </c>
      <c r="Y18" s="43">
        <v>0</v>
      </c>
      <c r="Z18" s="29">
        <f t="shared" si="24"/>
        <v>0</v>
      </c>
      <c r="AA18" s="29">
        <v>0</v>
      </c>
      <c r="AB18" s="29">
        <f t="shared" si="12"/>
        <v>0</v>
      </c>
      <c r="AC18" s="11">
        <f t="shared" si="13"/>
        <v>0</v>
      </c>
      <c r="AD18" s="4">
        <f t="shared" si="0"/>
        <v>7566.666666666667</v>
      </c>
      <c r="AE18" s="3">
        <f t="shared" si="14"/>
        <v>5384.6153846153848</v>
      </c>
      <c r="AF18" s="3">
        <f t="shared" si="15"/>
        <v>592.30769230769238</v>
      </c>
      <c r="AG18" s="1">
        <v>1666.6666666666667</v>
      </c>
      <c r="AH18" s="1">
        <f t="shared" si="16"/>
        <v>63692.307692307688</v>
      </c>
      <c r="AI18" s="1">
        <f t="shared" si="17"/>
        <v>233.6538461538461</v>
      </c>
      <c r="AJ18" s="3">
        <f t="shared" si="18"/>
        <v>3.7833333333333337</v>
      </c>
      <c r="AK18" s="4">
        <f t="shared" si="19"/>
        <v>6736.9217948717951</v>
      </c>
      <c r="AL18" s="3">
        <v>0</v>
      </c>
      <c r="AM18" s="4">
        <f t="shared" si="20"/>
        <v>6736.9217948717951</v>
      </c>
      <c r="AN18" s="1">
        <f t="shared" si="25"/>
        <v>1009.6153846153846</v>
      </c>
      <c r="AO18" s="46"/>
      <c r="AP18" s="55">
        <f t="shared" si="22"/>
        <v>8576.2820512820508</v>
      </c>
    </row>
    <row r="19" spans="1:42" x14ac:dyDescent="0.35">
      <c r="A19" s="49" t="s">
        <v>55</v>
      </c>
      <c r="B19" s="25" t="s">
        <v>132</v>
      </c>
      <c r="C19" s="59" t="s">
        <v>200</v>
      </c>
      <c r="D19" s="33" t="s">
        <v>220</v>
      </c>
      <c r="E19" s="19">
        <v>29403152106145</v>
      </c>
      <c r="F19" s="14" t="s">
        <v>36</v>
      </c>
      <c r="G19" s="30">
        <v>4000</v>
      </c>
      <c r="H19" s="30">
        <v>3000</v>
      </c>
      <c r="I19" s="30">
        <v>0</v>
      </c>
      <c r="J19" s="53">
        <v>1</v>
      </c>
      <c r="K19" s="9">
        <f t="shared" si="1"/>
        <v>3000</v>
      </c>
      <c r="L19" s="9">
        <v>0</v>
      </c>
      <c r="M19" s="9">
        <f t="shared" si="2"/>
        <v>30</v>
      </c>
      <c r="N19" s="9">
        <f t="shared" si="23"/>
        <v>0</v>
      </c>
      <c r="O19" s="10">
        <f t="shared" si="4"/>
        <v>133.33333333333334</v>
      </c>
      <c r="P19" s="10">
        <f t="shared" si="5"/>
        <v>100</v>
      </c>
      <c r="Q19" s="10">
        <f t="shared" si="6"/>
        <v>233.33333333333334</v>
      </c>
      <c r="R19" s="10">
        <f t="shared" si="7"/>
        <v>16.666666666666668</v>
      </c>
      <c r="S19" s="9">
        <v>38</v>
      </c>
      <c r="T19" s="9">
        <f t="shared" si="8"/>
        <v>633.33333333333337</v>
      </c>
      <c r="U19" s="9">
        <v>0</v>
      </c>
      <c r="V19" s="15">
        <f t="shared" si="9"/>
        <v>7633.333333333333</v>
      </c>
      <c r="W19" s="52">
        <v>0</v>
      </c>
      <c r="X19" s="29">
        <f t="shared" si="10"/>
        <v>0</v>
      </c>
      <c r="Y19" s="43">
        <v>0</v>
      </c>
      <c r="Z19" s="29">
        <f t="shared" si="24"/>
        <v>0</v>
      </c>
      <c r="AA19" s="29">
        <v>0</v>
      </c>
      <c r="AB19" s="29">
        <f t="shared" si="12"/>
        <v>0</v>
      </c>
      <c r="AC19" s="11">
        <f t="shared" si="13"/>
        <v>0</v>
      </c>
      <c r="AD19" s="4">
        <f t="shared" si="0"/>
        <v>7633.333333333333</v>
      </c>
      <c r="AE19" s="3">
        <f t="shared" si="14"/>
        <v>5384.6153846153848</v>
      </c>
      <c r="AF19" s="3">
        <f t="shared" si="15"/>
        <v>592.30769230769238</v>
      </c>
      <c r="AG19" s="1">
        <v>1666.6666666666667</v>
      </c>
      <c r="AH19" s="1">
        <f t="shared" si="16"/>
        <v>64492.307692307688</v>
      </c>
      <c r="AI19" s="1">
        <f t="shared" si="17"/>
        <v>243.6538461538461</v>
      </c>
      <c r="AJ19" s="3">
        <f t="shared" si="18"/>
        <v>3.8166666666666664</v>
      </c>
      <c r="AK19" s="4">
        <f t="shared" si="19"/>
        <v>6793.5551282051283</v>
      </c>
      <c r="AL19" s="3">
        <v>0</v>
      </c>
      <c r="AM19" s="4">
        <f t="shared" si="20"/>
        <v>6793.5551282051283</v>
      </c>
      <c r="AN19" s="1">
        <f t="shared" si="25"/>
        <v>1009.6153846153846</v>
      </c>
      <c r="AO19" s="46"/>
      <c r="AP19" s="55">
        <f t="shared" si="22"/>
        <v>8642.9487179487169</v>
      </c>
    </row>
    <row r="20" spans="1:42" x14ac:dyDescent="0.35">
      <c r="A20" s="49" t="s">
        <v>56</v>
      </c>
      <c r="B20" s="25" t="s">
        <v>133</v>
      </c>
      <c r="C20" s="59" t="s">
        <v>200</v>
      </c>
      <c r="D20" s="33" t="s">
        <v>221</v>
      </c>
      <c r="E20" s="19">
        <v>29807232101822</v>
      </c>
      <c r="F20" s="14" t="s">
        <v>36</v>
      </c>
      <c r="G20" s="30">
        <v>4000</v>
      </c>
      <c r="H20" s="30">
        <v>3000</v>
      </c>
      <c r="I20" s="30">
        <v>0</v>
      </c>
      <c r="J20" s="53">
        <v>1</v>
      </c>
      <c r="K20" s="9">
        <f t="shared" si="1"/>
        <v>3000</v>
      </c>
      <c r="L20" s="9">
        <v>0</v>
      </c>
      <c r="M20" s="9">
        <f t="shared" si="2"/>
        <v>30</v>
      </c>
      <c r="N20" s="9">
        <f t="shared" si="23"/>
        <v>0</v>
      </c>
      <c r="O20" s="10">
        <f t="shared" si="4"/>
        <v>133.33333333333334</v>
      </c>
      <c r="P20" s="10">
        <f t="shared" si="5"/>
        <v>100</v>
      </c>
      <c r="Q20" s="10">
        <f t="shared" si="6"/>
        <v>233.33333333333334</v>
      </c>
      <c r="R20" s="10">
        <f t="shared" si="7"/>
        <v>16.666666666666668</v>
      </c>
      <c r="S20" s="9">
        <v>37</v>
      </c>
      <c r="T20" s="9">
        <f t="shared" si="8"/>
        <v>616.66666666666674</v>
      </c>
      <c r="U20" s="9">
        <v>0</v>
      </c>
      <c r="V20" s="15">
        <f t="shared" si="9"/>
        <v>7616.666666666667</v>
      </c>
      <c r="W20" s="52">
        <v>0</v>
      </c>
      <c r="X20" s="29">
        <f t="shared" si="10"/>
        <v>0</v>
      </c>
      <c r="Y20" s="43">
        <v>2</v>
      </c>
      <c r="Z20" s="29">
        <f t="shared" si="24"/>
        <v>266.66666666666669</v>
      </c>
      <c r="AA20" s="29">
        <v>0</v>
      </c>
      <c r="AB20" s="29">
        <f t="shared" si="12"/>
        <v>0</v>
      </c>
      <c r="AC20" s="11">
        <f t="shared" si="13"/>
        <v>266.66666666666669</v>
      </c>
      <c r="AD20" s="4">
        <f t="shared" si="0"/>
        <v>7350</v>
      </c>
      <c r="AE20" s="3">
        <f t="shared" si="14"/>
        <v>5384.6153846153848</v>
      </c>
      <c r="AF20" s="3">
        <f t="shared" si="15"/>
        <v>592.30769230769238</v>
      </c>
      <c r="AG20" s="1">
        <v>1666.6666666666667</v>
      </c>
      <c r="AH20" s="1">
        <f t="shared" si="16"/>
        <v>61092.307692307688</v>
      </c>
      <c r="AI20" s="1">
        <f t="shared" si="17"/>
        <v>201.1538461538461</v>
      </c>
      <c r="AJ20" s="3">
        <f t="shared" si="18"/>
        <v>3.6750000000000003</v>
      </c>
      <c r="AK20" s="4">
        <f t="shared" si="19"/>
        <v>6552.8634615384617</v>
      </c>
      <c r="AL20" s="3">
        <v>0</v>
      </c>
      <c r="AM20" s="4">
        <f t="shared" si="20"/>
        <v>6552.8634615384617</v>
      </c>
      <c r="AN20" s="1">
        <f t="shared" si="25"/>
        <v>1009.6153846153846</v>
      </c>
      <c r="AO20" s="46"/>
      <c r="AP20" s="55">
        <f t="shared" si="22"/>
        <v>8359.6153846153848</v>
      </c>
    </row>
    <row r="21" spans="1:42" x14ac:dyDescent="0.35">
      <c r="A21" s="49" t="s">
        <v>57</v>
      </c>
      <c r="B21" s="25" t="s">
        <v>134</v>
      </c>
      <c r="C21" s="40" t="s">
        <v>33</v>
      </c>
      <c r="D21" s="33" t="s">
        <v>222</v>
      </c>
      <c r="E21" s="19">
        <v>30008250101789</v>
      </c>
      <c r="F21" s="14" t="s">
        <v>36</v>
      </c>
      <c r="G21" s="30">
        <v>4000</v>
      </c>
      <c r="H21" s="30">
        <v>3000</v>
      </c>
      <c r="I21" s="30">
        <v>700</v>
      </c>
      <c r="J21" s="53">
        <v>1</v>
      </c>
      <c r="K21" s="9">
        <f t="shared" si="1"/>
        <v>3000</v>
      </c>
      <c r="L21" s="9">
        <v>0</v>
      </c>
      <c r="M21" s="9">
        <f t="shared" si="2"/>
        <v>30</v>
      </c>
      <c r="N21" s="9">
        <f t="shared" si="23"/>
        <v>0</v>
      </c>
      <c r="O21" s="10">
        <f t="shared" si="4"/>
        <v>133.33333333333334</v>
      </c>
      <c r="P21" s="10">
        <f t="shared" si="5"/>
        <v>100</v>
      </c>
      <c r="Q21" s="10">
        <f t="shared" si="6"/>
        <v>233.33333333333334</v>
      </c>
      <c r="R21" s="10">
        <f t="shared" si="7"/>
        <v>16.666666666666668</v>
      </c>
      <c r="S21" s="9">
        <v>16</v>
      </c>
      <c r="T21" s="9">
        <f t="shared" si="8"/>
        <v>266.66666666666669</v>
      </c>
      <c r="U21" s="9">
        <v>0</v>
      </c>
      <c r="V21" s="15">
        <f t="shared" si="9"/>
        <v>7966.666666666667</v>
      </c>
      <c r="W21" s="52">
        <v>0</v>
      </c>
      <c r="X21" s="29">
        <f t="shared" si="10"/>
        <v>0</v>
      </c>
      <c r="Y21" s="43">
        <v>2</v>
      </c>
      <c r="Z21" s="29">
        <f t="shared" si="24"/>
        <v>266.66666666666669</v>
      </c>
      <c r="AA21" s="29">
        <v>0</v>
      </c>
      <c r="AB21" s="29">
        <f t="shared" si="12"/>
        <v>0</v>
      </c>
      <c r="AC21" s="11">
        <f t="shared" si="13"/>
        <v>266.66666666666669</v>
      </c>
      <c r="AD21" s="4">
        <f t="shared" si="0"/>
        <v>7700</v>
      </c>
      <c r="AE21" s="3">
        <f t="shared" si="14"/>
        <v>5384.6153846153848</v>
      </c>
      <c r="AF21" s="3">
        <f t="shared" si="15"/>
        <v>592.30769230769238</v>
      </c>
      <c r="AG21" s="1">
        <v>1666.6666666666667</v>
      </c>
      <c r="AH21" s="1">
        <f t="shared" si="16"/>
        <v>65292.307692307688</v>
      </c>
      <c r="AI21" s="1">
        <f t="shared" si="17"/>
        <v>253.6538461538461</v>
      </c>
      <c r="AJ21" s="3">
        <f t="shared" si="18"/>
        <v>3.85</v>
      </c>
      <c r="AK21" s="4">
        <f t="shared" si="19"/>
        <v>6850.1884615384615</v>
      </c>
      <c r="AL21" s="3">
        <v>0</v>
      </c>
      <c r="AM21" s="4">
        <f t="shared" si="20"/>
        <v>6850.1884615384615</v>
      </c>
      <c r="AN21" s="1">
        <f t="shared" si="25"/>
        <v>1009.6153846153846</v>
      </c>
      <c r="AO21" s="46"/>
      <c r="AP21" s="55">
        <f t="shared" si="22"/>
        <v>8709.6153846153848</v>
      </c>
    </row>
    <row r="22" spans="1:42" x14ac:dyDescent="0.35">
      <c r="A22" s="49" t="s">
        <v>58</v>
      </c>
      <c r="B22" s="25" t="s">
        <v>135</v>
      </c>
      <c r="C22" s="59" t="s">
        <v>200</v>
      </c>
      <c r="D22" s="33" t="s">
        <v>223</v>
      </c>
      <c r="E22" s="19">
        <v>30112142102762</v>
      </c>
      <c r="F22" s="14" t="s">
        <v>36</v>
      </c>
      <c r="G22" s="30">
        <v>4000</v>
      </c>
      <c r="H22" s="30">
        <v>3000</v>
      </c>
      <c r="I22" s="30">
        <v>0</v>
      </c>
      <c r="J22" s="53">
        <v>1</v>
      </c>
      <c r="K22" s="9">
        <f t="shared" si="1"/>
        <v>3000</v>
      </c>
      <c r="L22" s="9">
        <v>0</v>
      </c>
      <c r="M22" s="9">
        <f t="shared" si="2"/>
        <v>30</v>
      </c>
      <c r="N22" s="9">
        <f t="shared" si="23"/>
        <v>0</v>
      </c>
      <c r="O22" s="10">
        <f t="shared" si="4"/>
        <v>133.33333333333334</v>
      </c>
      <c r="P22" s="10">
        <f t="shared" si="5"/>
        <v>100</v>
      </c>
      <c r="Q22" s="10">
        <f t="shared" si="6"/>
        <v>233.33333333333334</v>
      </c>
      <c r="R22" s="10">
        <f t="shared" si="7"/>
        <v>16.666666666666668</v>
      </c>
      <c r="S22" s="9">
        <v>36</v>
      </c>
      <c r="T22" s="9">
        <f t="shared" si="8"/>
        <v>600</v>
      </c>
      <c r="U22" s="9">
        <v>0</v>
      </c>
      <c r="V22" s="15">
        <f t="shared" si="9"/>
        <v>7600</v>
      </c>
      <c r="W22" s="52">
        <v>0</v>
      </c>
      <c r="X22" s="29">
        <f t="shared" si="10"/>
        <v>0</v>
      </c>
      <c r="Y22" s="43">
        <v>0</v>
      </c>
      <c r="Z22" s="29">
        <f t="shared" si="24"/>
        <v>0</v>
      </c>
      <c r="AA22" s="29">
        <v>0</v>
      </c>
      <c r="AB22" s="29">
        <f t="shared" si="12"/>
        <v>0</v>
      </c>
      <c r="AC22" s="11">
        <f t="shared" si="13"/>
        <v>0</v>
      </c>
      <c r="AD22" s="4">
        <f t="shared" si="0"/>
        <v>7600</v>
      </c>
      <c r="AE22" s="3">
        <f t="shared" si="14"/>
        <v>5384.6153846153848</v>
      </c>
      <c r="AF22" s="3">
        <f t="shared" si="15"/>
        <v>592.30769230769238</v>
      </c>
      <c r="AG22" s="1">
        <v>1666.6666666666667</v>
      </c>
      <c r="AH22" s="1">
        <f t="shared" si="16"/>
        <v>64092.307692307688</v>
      </c>
      <c r="AI22" s="1">
        <f t="shared" si="17"/>
        <v>238.6538461538461</v>
      </c>
      <c r="AJ22" s="3">
        <f t="shared" si="18"/>
        <v>3.8000000000000003</v>
      </c>
      <c r="AK22" s="4">
        <f t="shared" si="19"/>
        <v>6765.2384615384617</v>
      </c>
      <c r="AL22" s="3">
        <v>0</v>
      </c>
      <c r="AM22" s="4">
        <f t="shared" si="20"/>
        <v>6765.2384615384617</v>
      </c>
      <c r="AN22" s="1">
        <f t="shared" si="25"/>
        <v>1009.6153846153846</v>
      </c>
      <c r="AO22" s="46"/>
      <c r="AP22" s="55">
        <f t="shared" si="22"/>
        <v>8609.6153846153848</v>
      </c>
    </row>
    <row r="23" spans="1:42" x14ac:dyDescent="0.35">
      <c r="A23" s="49" t="s">
        <v>59</v>
      </c>
      <c r="B23" s="25" t="s">
        <v>137</v>
      </c>
      <c r="C23" s="59" t="s">
        <v>200</v>
      </c>
      <c r="D23" s="33" t="s">
        <v>224</v>
      </c>
      <c r="E23" s="19">
        <v>30102062101808</v>
      </c>
      <c r="F23" s="14" t="s">
        <v>36</v>
      </c>
      <c r="G23" s="30">
        <v>4000</v>
      </c>
      <c r="H23" s="30">
        <v>3000</v>
      </c>
      <c r="I23" s="30">
        <v>0</v>
      </c>
      <c r="J23" s="53">
        <v>1</v>
      </c>
      <c r="K23" s="9">
        <f t="shared" si="1"/>
        <v>3000</v>
      </c>
      <c r="L23" s="9">
        <v>0</v>
      </c>
      <c r="M23" s="9">
        <f t="shared" si="2"/>
        <v>30</v>
      </c>
      <c r="N23" s="9">
        <f t="shared" si="23"/>
        <v>0</v>
      </c>
      <c r="O23" s="10">
        <f t="shared" si="4"/>
        <v>133.33333333333334</v>
      </c>
      <c r="P23" s="10">
        <f t="shared" si="5"/>
        <v>100</v>
      </c>
      <c r="Q23" s="10">
        <f t="shared" si="6"/>
        <v>233.33333333333334</v>
      </c>
      <c r="R23" s="10">
        <f t="shared" si="7"/>
        <v>16.666666666666668</v>
      </c>
      <c r="S23" s="9">
        <v>34</v>
      </c>
      <c r="T23" s="9">
        <f t="shared" si="8"/>
        <v>566.66666666666674</v>
      </c>
      <c r="U23" s="9">
        <v>0</v>
      </c>
      <c r="V23" s="15">
        <f t="shared" si="9"/>
        <v>7566.666666666667</v>
      </c>
      <c r="W23" s="52">
        <v>0</v>
      </c>
      <c r="X23" s="29">
        <f t="shared" si="10"/>
        <v>0</v>
      </c>
      <c r="Y23" s="43">
        <v>0</v>
      </c>
      <c r="Z23" s="29">
        <f t="shared" si="24"/>
        <v>0</v>
      </c>
      <c r="AA23" s="29">
        <v>0</v>
      </c>
      <c r="AB23" s="29">
        <f t="shared" si="12"/>
        <v>0</v>
      </c>
      <c r="AC23" s="11">
        <f t="shared" si="13"/>
        <v>0</v>
      </c>
      <c r="AD23" s="4">
        <f t="shared" si="0"/>
        <v>7566.666666666667</v>
      </c>
      <c r="AE23" s="3">
        <f t="shared" si="14"/>
        <v>5384.6153846153848</v>
      </c>
      <c r="AF23" s="3">
        <f t="shared" si="15"/>
        <v>592.30769230769238</v>
      </c>
      <c r="AG23" s="1">
        <v>1666.6666666666667</v>
      </c>
      <c r="AH23" s="1">
        <f t="shared" si="16"/>
        <v>63692.307692307688</v>
      </c>
      <c r="AI23" s="1">
        <f t="shared" si="17"/>
        <v>233.6538461538461</v>
      </c>
      <c r="AJ23" s="3">
        <f t="shared" si="18"/>
        <v>3.7833333333333337</v>
      </c>
      <c r="AK23" s="4">
        <f t="shared" si="19"/>
        <v>6736.9217948717951</v>
      </c>
      <c r="AL23" s="3">
        <v>0</v>
      </c>
      <c r="AM23" s="4">
        <f t="shared" si="20"/>
        <v>6736.9217948717951</v>
      </c>
      <c r="AN23" s="1">
        <f t="shared" si="25"/>
        <v>1009.6153846153846</v>
      </c>
      <c r="AO23" s="46"/>
      <c r="AP23" s="55">
        <f t="shared" si="22"/>
        <v>8576.2820512820508</v>
      </c>
    </row>
    <row r="24" spans="1:42" x14ac:dyDescent="0.35">
      <c r="A24" s="49" t="s">
        <v>60</v>
      </c>
      <c r="B24" s="25" t="s">
        <v>138</v>
      </c>
      <c r="C24" s="40" t="s">
        <v>33</v>
      </c>
      <c r="D24" s="33" t="s">
        <v>225</v>
      </c>
      <c r="E24" s="19">
        <v>30006092101943</v>
      </c>
      <c r="F24" s="14" t="s">
        <v>36</v>
      </c>
      <c r="G24" s="30">
        <v>4000</v>
      </c>
      <c r="H24" s="30">
        <v>3000</v>
      </c>
      <c r="I24" s="30">
        <v>0</v>
      </c>
      <c r="J24" s="53">
        <v>1</v>
      </c>
      <c r="K24" s="9">
        <f t="shared" si="1"/>
        <v>3000</v>
      </c>
      <c r="L24" s="9">
        <v>0</v>
      </c>
      <c r="M24" s="9">
        <f t="shared" si="2"/>
        <v>30</v>
      </c>
      <c r="N24" s="9">
        <f t="shared" si="23"/>
        <v>0</v>
      </c>
      <c r="O24" s="10">
        <f t="shared" si="4"/>
        <v>133.33333333333334</v>
      </c>
      <c r="P24" s="10">
        <f t="shared" si="5"/>
        <v>100</v>
      </c>
      <c r="Q24" s="10">
        <f t="shared" si="6"/>
        <v>233.33333333333334</v>
      </c>
      <c r="R24" s="10">
        <f t="shared" si="7"/>
        <v>16.666666666666668</v>
      </c>
      <c r="S24" s="9">
        <v>37</v>
      </c>
      <c r="T24" s="9">
        <f t="shared" si="8"/>
        <v>616.66666666666674</v>
      </c>
      <c r="U24" s="9">
        <v>0</v>
      </c>
      <c r="V24" s="15">
        <f t="shared" si="9"/>
        <v>7616.666666666667</v>
      </c>
      <c r="W24" s="52">
        <v>0</v>
      </c>
      <c r="X24" s="29">
        <f t="shared" si="10"/>
        <v>0</v>
      </c>
      <c r="Y24" s="43">
        <v>0</v>
      </c>
      <c r="Z24" s="29">
        <f t="shared" si="24"/>
        <v>0</v>
      </c>
      <c r="AA24" s="29">
        <v>0</v>
      </c>
      <c r="AB24" s="29">
        <f t="shared" si="12"/>
        <v>0</v>
      </c>
      <c r="AC24" s="11">
        <f t="shared" si="13"/>
        <v>0</v>
      </c>
      <c r="AD24" s="4">
        <f t="shared" si="0"/>
        <v>7616.666666666667</v>
      </c>
      <c r="AE24" s="3">
        <f t="shared" si="14"/>
        <v>5384.6153846153848</v>
      </c>
      <c r="AF24" s="3">
        <f t="shared" si="15"/>
        <v>592.30769230769238</v>
      </c>
      <c r="AG24" s="1">
        <v>1666.6666666666667</v>
      </c>
      <c r="AH24" s="1">
        <f t="shared" si="16"/>
        <v>64292.307692307688</v>
      </c>
      <c r="AI24" s="1">
        <f t="shared" si="17"/>
        <v>241.1538461538461</v>
      </c>
      <c r="AJ24" s="3">
        <f t="shared" si="18"/>
        <v>3.8083333333333336</v>
      </c>
      <c r="AK24" s="4">
        <f t="shared" si="19"/>
        <v>6779.3967948717955</v>
      </c>
      <c r="AL24" s="3">
        <v>0</v>
      </c>
      <c r="AM24" s="4">
        <f t="shared" si="20"/>
        <v>6779.3967948717955</v>
      </c>
      <c r="AN24" s="1">
        <f t="shared" si="25"/>
        <v>1009.6153846153846</v>
      </c>
      <c r="AO24" s="46"/>
      <c r="AP24" s="55">
        <f t="shared" si="22"/>
        <v>8626.2820512820508</v>
      </c>
    </row>
    <row r="25" spans="1:42" x14ac:dyDescent="0.35">
      <c r="A25" s="49" t="s">
        <v>61</v>
      </c>
      <c r="B25" s="25" t="s">
        <v>136</v>
      </c>
      <c r="C25" s="59" t="s">
        <v>200</v>
      </c>
      <c r="D25" s="33" t="s">
        <v>226</v>
      </c>
      <c r="E25" s="19">
        <v>27906170103379</v>
      </c>
      <c r="F25" s="14" t="s">
        <v>36</v>
      </c>
      <c r="G25" s="30">
        <v>4000</v>
      </c>
      <c r="H25" s="30">
        <v>3000</v>
      </c>
      <c r="I25" s="30">
        <v>0</v>
      </c>
      <c r="J25" s="53">
        <v>1</v>
      </c>
      <c r="K25" s="9">
        <f t="shared" si="1"/>
        <v>3000</v>
      </c>
      <c r="L25" s="9">
        <v>0</v>
      </c>
      <c r="M25" s="9">
        <f t="shared" si="2"/>
        <v>30</v>
      </c>
      <c r="N25" s="9">
        <f t="shared" si="23"/>
        <v>0</v>
      </c>
      <c r="O25" s="10">
        <f t="shared" si="4"/>
        <v>133.33333333333334</v>
      </c>
      <c r="P25" s="10">
        <f t="shared" si="5"/>
        <v>100</v>
      </c>
      <c r="Q25" s="10">
        <f t="shared" si="6"/>
        <v>233.33333333333334</v>
      </c>
      <c r="R25" s="10">
        <f t="shared" si="7"/>
        <v>16.666666666666668</v>
      </c>
      <c r="S25" s="9">
        <v>35</v>
      </c>
      <c r="T25" s="9">
        <f t="shared" si="8"/>
        <v>583.33333333333337</v>
      </c>
      <c r="U25" s="9">
        <v>0</v>
      </c>
      <c r="V25" s="15">
        <f t="shared" si="9"/>
        <v>7583.333333333333</v>
      </c>
      <c r="W25" s="52">
        <v>0</v>
      </c>
      <c r="X25" s="29">
        <f t="shared" si="10"/>
        <v>0</v>
      </c>
      <c r="Y25" s="43">
        <v>0</v>
      </c>
      <c r="Z25" s="29">
        <f t="shared" si="24"/>
        <v>0</v>
      </c>
      <c r="AA25" s="29">
        <v>0</v>
      </c>
      <c r="AB25" s="29">
        <f t="shared" si="12"/>
        <v>0</v>
      </c>
      <c r="AC25" s="11">
        <f t="shared" si="13"/>
        <v>0</v>
      </c>
      <c r="AD25" s="4">
        <f t="shared" si="0"/>
        <v>7583.333333333333</v>
      </c>
      <c r="AE25" s="3">
        <f t="shared" si="14"/>
        <v>5384.6153846153848</v>
      </c>
      <c r="AF25" s="3">
        <f t="shared" si="15"/>
        <v>592.30769230769238</v>
      </c>
      <c r="AG25" s="1">
        <v>1666.6666666666667</v>
      </c>
      <c r="AH25" s="1">
        <f t="shared" si="16"/>
        <v>63892.307692307688</v>
      </c>
      <c r="AI25" s="1">
        <f t="shared" si="17"/>
        <v>236.1538461538461</v>
      </c>
      <c r="AJ25" s="3">
        <f t="shared" si="18"/>
        <v>3.7916666666666665</v>
      </c>
      <c r="AK25" s="4">
        <f t="shared" si="19"/>
        <v>6751.0801282051279</v>
      </c>
      <c r="AL25" s="3">
        <v>0</v>
      </c>
      <c r="AM25" s="4">
        <f t="shared" si="20"/>
        <v>6751.0801282051279</v>
      </c>
      <c r="AN25" s="1">
        <f t="shared" si="25"/>
        <v>1009.6153846153846</v>
      </c>
      <c r="AO25" s="46"/>
      <c r="AP25" s="55">
        <f t="shared" si="22"/>
        <v>8592.9487179487169</v>
      </c>
    </row>
    <row r="26" spans="1:42" x14ac:dyDescent="0.35">
      <c r="A26" s="49" t="s">
        <v>62</v>
      </c>
      <c r="B26" s="25" t="s">
        <v>139</v>
      </c>
      <c r="C26" s="59" t="s">
        <v>200</v>
      </c>
      <c r="D26" s="33" t="s">
        <v>227</v>
      </c>
      <c r="E26" s="19">
        <v>30401282100311</v>
      </c>
      <c r="F26" s="14" t="s">
        <v>36</v>
      </c>
      <c r="G26" s="30">
        <v>4000</v>
      </c>
      <c r="H26" s="30">
        <v>3000</v>
      </c>
      <c r="I26" s="30">
        <v>0</v>
      </c>
      <c r="J26" s="53">
        <v>1</v>
      </c>
      <c r="K26" s="9">
        <f t="shared" si="1"/>
        <v>3000</v>
      </c>
      <c r="L26" s="9">
        <v>0</v>
      </c>
      <c r="M26" s="9">
        <f t="shared" si="2"/>
        <v>30</v>
      </c>
      <c r="N26" s="9">
        <f t="shared" si="23"/>
        <v>0</v>
      </c>
      <c r="O26" s="10">
        <f t="shared" si="4"/>
        <v>133.33333333333334</v>
      </c>
      <c r="P26" s="10">
        <f t="shared" si="5"/>
        <v>100</v>
      </c>
      <c r="Q26" s="10">
        <f t="shared" si="6"/>
        <v>233.33333333333334</v>
      </c>
      <c r="R26" s="10">
        <f t="shared" si="7"/>
        <v>16.666666666666668</v>
      </c>
      <c r="S26" s="9">
        <v>38</v>
      </c>
      <c r="T26" s="9">
        <f t="shared" si="8"/>
        <v>633.33333333333337</v>
      </c>
      <c r="U26" s="9">
        <v>0</v>
      </c>
      <c r="V26" s="15">
        <f t="shared" si="9"/>
        <v>7633.333333333333</v>
      </c>
      <c r="W26" s="52">
        <v>0</v>
      </c>
      <c r="X26" s="29">
        <f t="shared" si="10"/>
        <v>0</v>
      </c>
      <c r="Y26" s="43">
        <v>0</v>
      </c>
      <c r="Z26" s="29">
        <f t="shared" si="24"/>
        <v>0</v>
      </c>
      <c r="AA26" s="29">
        <v>0</v>
      </c>
      <c r="AB26" s="29">
        <f t="shared" si="12"/>
        <v>0</v>
      </c>
      <c r="AC26" s="11">
        <f t="shared" si="13"/>
        <v>0</v>
      </c>
      <c r="AD26" s="4">
        <f t="shared" si="0"/>
        <v>7633.333333333333</v>
      </c>
      <c r="AE26" s="3">
        <f t="shared" si="14"/>
        <v>5384.6153846153848</v>
      </c>
      <c r="AF26" s="3">
        <f t="shared" si="15"/>
        <v>592.30769230769238</v>
      </c>
      <c r="AG26" s="1">
        <v>1666.6666666666667</v>
      </c>
      <c r="AH26" s="1">
        <f t="shared" si="16"/>
        <v>64492.307692307688</v>
      </c>
      <c r="AI26" s="1">
        <f t="shared" si="17"/>
        <v>243.6538461538461</v>
      </c>
      <c r="AJ26" s="3">
        <f t="shared" si="18"/>
        <v>3.8166666666666664</v>
      </c>
      <c r="AK26" s="4">
        <f t="shared" si="19"/>
        <v>6793.5551282051283</v>
      </c>
      <c r="AL26" s="3">
        <v>0</v>
      </c>
      <c r="AM26" s="4">
        <f t="shared" si="20"/>
        <v>6793.5551282051283</v>
      </c>
      <c r="AN26" s="1">
        <f t="shared" si="25"/>
        <v>1009.6153846153846</v>
      </c>
      <c r="AO26" s="46"/>
      <c r="AP26" s="55">
        <f t="shared" si="22"/>
        <v>8642.9487179487169</v>
      </c>
    </row>
    <row r="27" spans="1:42" x14ac:dyDescent="0.35">
      <c r="A27" s="49" t="s">
        <v>63</v>
      </c>
      <c r="B27" s="25" t="s">
        <v>140</v>
      </c>
      <c r="C27" s="59" t="s">
        <v>200</v>
      </c>
      <c r="D27" s="33" t="s">
        <v>228</v>
      </c>
      <c r="E27" s="19">
        <v>29905090100345</v>
      </c>
      <c r="F27" s="14" t="s">
        <v>36</v>
      </c>
      <c r="G27" s="30">
        <v>4000</v>
      </c>
      <c r="H27" s="30">
        <v>3000</v>
      </c>
      <c r="I27" s="30">
        <v>0</v>
      </c>
      <c r="J27" s="53">
        <v>1</v>
      </c>
      <c r="K27" s="9">
        <f t="shared" si="1"/>
        <v>3000</v>
      </c>
      <c r="L27" s="9">
        <v>0</v>
      </c>
      <c r="M27" s="9">
        <f t="shared" si="2"/>
        <v>30</v>
      </c>
      <c r="N27" s="9">
        <f t="shared" si="23"/>
        <v>0</v>
      </c>
      <c r="O27" s="10">
        <f t="shared" si="4"/>
        <v>133.33333333333334</v>
      </c>
      <c r="P27" s="10">
        <f t="shared" si="5"/>
        <v>100</v>
      </c>
      <c r="Q27" s="10">
        <f t="shared" si="6"/>
        <v>233.33333333333334</v>
      </c>
      <c r="R27" s="10">
        <f t="shared" si="7"/>
        <v>16.666666666666668</v>
      </c>
      <c r="S27" s="9">
        <v>34</v>
      </c>
      <c r="T27" s="9">
        <f t="shared" si="8"/>
        <v>566.66666666666674</v>
      </c>
      <c r="U27" s="9">
        <v>0</v>
      </c>
      <c r="V27" s="15">
        <f t="shared" si="9"/>
        <v>7566.666666666667</v>
      </c>
      <c r="W27" s="52">
        <v>0</v>
      </c>
      <c r="X27" s="29">
        <f t="shared" si="10"/>
        <v>0</v>
      </c>
      <c r="Y27" s="43">
        <v>1</v>
      </c>
      <c r="Z27" s="29">
        <f t="shared" si="24"/>
        <v>133.33333333333334</v>
      </c>
      <c r="AA27" s="29">
        <v>0</v>
      </c>
      <c r="AB27" s="29">
        <f t="shared" si="12"/>
        <v>0</v>
      </c>
      <c r="AC27" s="11">
        <f t="shared" si="13"/>
        <v>133.33333333333334</v>
      </c>
      <c r="AD27" s="4">
        <f t="shared" si="0"/>
        <v>7433.3333333333339</v>
      </c>
      <c r="AE27" s="3">
        <f t="shared" si="14"/>
        <v>5384.6153846153848</v>
      </c>
      <c r="AF27" s="3">
        <f t="shared" si="15"/>
        <v>592.30769230769238</v>
      </c>
      <c r="AG27" s="1">
        <v>1666.6666666666667</v>
      </c>
      <c r="AH27" s="1">
        <f t="shared" si="16"/>
        <v>62092.307692307695</v>
      </c>
      <c r="AI27" s="1">
        <f t="shared" si="17"/>
        <v>213.65384615384619</v>
      </c>
      <c r="AJ27" s="3">
        <f t="shared" si="18"/>
        <v>3.7166666666666672</v>
      </c>
      <c r="AK27" s="4">
        <f t="shared" si="19"/>
        <v>6623.6551282051287</v>
      </c>
      <c r="AL27" s="3">
        <v>0</v>
      </c>
      <c r="AM27" s="4">
        <f t="shared" si="20"/>
        <v>6623.6551282051287</v>
      </c>
      <c r="AN27" s="1">
        <f t="shared" si="25"/>
        <v>1009.6153846153846</v>
      </c>
      <c r="AO27" s="46"/>
      <c r="AP27" s="55">
        <f t="shared" si="22"/>
        <v>8442.9487179487187</v>
      </c>
    </row>
    <row r="28" spans="1:42" x14ac:dyDescent="0.35">
      <c r="A28" s="49" t="s">
        <v>64</v>
      </c>
      <c r="B28" s="25" t="s">
        <v>141</v>
      </c>
      <c r="C28" s="40" t="s">
        <v>33</v>
      </c>
      <c r="D28" s="33" t="s">
        <v>229</v>
      </c>
      <c r="E28" s="19">
        <v>29810312101581</v>
      </c>
      <c r="F28" s="14" t="s">
        <v>36</v>
      </c>
      <c r="G28" s="30">
        <v>4000</v>
      </c>
      <c r="H28" s="30">
        <v>3000</v>
      </c>
      <c r="I28" s="30">
        <v>0</v>
      </c>
      <c r="J28" s="53">
        <v>1</v>
      </c>
      <c r="K28" s="9">
        <f t="shared" si="1"/>
        <v>3000</v>
      </c>
      <c r="L28" s="9">
        <v>0</v>
      </c>
      <c r="M28" s="9">
        <f t="shared" si="2"/>
        <v>30</v>
      </c>
      <c r="N28" s="9">
        <f t="shared" si="23"/>
        <v>0</v>
      </c>
      <c r="O28" s="10">
        <f t="shared" si="4"/>
        <v>133.33333333333334</v>
      </c>
      <c r="P28" s="10">
        <f t="shared" si="5"/>
        <v>100</v>
      </c>
      <c r="Q28" s="10">
        <f t="shared" si="6"/>
        <v>233.33333333333334</v>
      </c>
      <c r="R28" s="10">
        <f t="shared" si="7"/>
        <v>16.666666666666668</v>
      </c>
      <c r="S28" s="9">
        <v>16</v>
      </c>
      <c r="T28" s="9">
        <f t="shared" si="8"/>
        <v>266.66666666666669</v>
      </c>
      <c r="U28" s="9">
        <v>0</v>
      </c>
      <c r="V28" s="15">
        <f t="shared" si="9"/>
        <v>7266.666666666667</v>
      </c>
      <c r="W28" s="52">
        <v>0</v>
      </c>
      <c r="X28" s="29">
        <f t="shared" si="10"/>
        <v>0</v>
      </c>
      <c r="Y28" s="43">
        <v>0</v>
      </c>
      <c r="Z28" s="29">
        <f t="shared" si="24"/>
        <v>0</v>
      </c>
      <c r="AA28" s="29">
        <v>0</v>
      </c>
      <c r="AB28" s="29">
        <f t="shared" si="12"/>
        <v>0</v>
      </c>
      <c r="AC28" s="11">
        <f t="shared" si="13"/>
        <v>0</v>
      </c>
      <c r="AD28" s="4">
        <f t="shared" si="0"/>
        <v>7266.666666666667</v>
      </c>
      <c r="AE28" s="3">
        <f t="shared" si="14"/>
        <v>5384.6153846153848</v>
      </c>
      <c r="AF28" s="3">
        <f t="shared" si="15"/>
        <v>592.30769230769238</v>
      </c>
      <c r="AG28" s="1">
        <v>1666.6666666666667</v>
      </c>
      <c r="AH28" s="1">
        <f t="shared" si="16"/>
        <v>60092.307692307688</v>
      </c>
      <c r="AI28" s="1">
        <f t="shared" si="17"/>
        <v>188.6538461538461</v>
      </c>
      <c r="AJ28" s="3">
        <f t="shared" si="18"/>
        <v>3.6333333333333337</v>
      </c>
      <c r="AK28" s="4">
        <f t="shared" si="19"/>
        <v>6482.0717948717956</v>
      </c>
      <c r="AL28" s="3">
        <v>0</v>
      </c>
      <c r="AM28" s="4">
        <f t="shared" si="20"/>
        <v>6482.0717948717956</v>
      </c>
      <c r="AN28" s="1">
        <f t="shared" si="25"/>
        <v>1009.6153846153846</v>
      </c>
      <c r="AO28" s="46"/>
      <c r="AP28" s="55">
        <f t="shared" si="22"/>
        <v>8276.2820512820508</v>
      </c>
    </row>
    <row r="29" spans="1:42" x14ac:dyDescent="0.35">
      <c r="A29" s="49" t="s">
        <v>65</v>
      </c>
      <c r="B29" s="25" t="s">
        <v>142</v>
      </c>
      <c r="C29" s="59" t="s">
        <v>200</v>
      </c>
      <c r="D29" s="33" t="s">
        <v>230</v>
      </c>
      <c r="E29" s="19">
        <v>30301190100248</v>
      </c>
      <c r="F29" s="14" t="s">
        <v>36</v>
      </c>
      <c r="G29" s="30">
        <v>4000</v>
      </c>
      <c r="H29" s="30">
        <v>3000</v>
      </c>
      <c r="I29" s="30">
        <v>0</v>
      </c>
      <c r="J29" s="53">
        <v>1</v>
      </c>
      <c r="K29" s="9">
        <f t="shared" si="1"/>
        <v>3000</v>
      </c>
      <c r="L29" s="9">
        <v>0</v>
      </c>
      <c r="M29" s="9">
        <f t="shared" si="2"/>
        <v>30</v>
      </c>
      <c r="N29" s="9">
        <f t="shared" si="23"/>
        <v>0</v>
      </c>
      <c r="O29" s="10">
        <f t="shared" si="4"/>
        <v>133.33333333333334</v>
      </c>
      <c r="P29" s="10">
        <f t="shared" si="5"/>
        <v>100</v>
      </c>
      <c r="Q29" s="10">
        <f t="shared" si="6"/>
        <v>233.33333333333334</v>
      </c>
      <c r="R29" s="10">
        <f t="shared" si="7"/>
        <v>16.666666666666668</v>
      </c>
      <c r="S29" s="9">
        <v>35</v>
      </c>
      <c r="T29" s="9">
        <f t="shared" si="8"/>
        <v>583.33333333333337</v>
      </c>
      <c r="U29" s="9">
        <v>0</v>
      </c>
      <c r="V29" s="15">
        <f t="shared" si="9"/>
        <v>7583.333333333333</v>
      </c>
      <c r="W29" s="52">
        <v>0</v>
      </c>
      <c r="X29" s="29">
        <f t="shared" si="10"/>
        <v>0</v>
      </c>
      <c r="Y29" s="43">
        <v>2</v>
      </c>
      <c r="Z29" s="29">
        <f t="shared" si="24"/>
        <v>266.66666666666669</v>
      </c>
      <c r="AA29" s="29">
        <v>0</v>
      </c>
      <c r="AB29" s="29">
        <f t="shared" si="12"/>
        <v>0</v>
      </c>
      <c r="AC29" s="11">
        <f t="shared" si="13"/>
        <v>266.66666666666669</v>
      </c>
      <c r="AD29" s="4">
        <f t="shared" si="0"/>
        <v>7316.6666666666661</v>
      </c>
      <c r="AE29" s="3">
        <f t="shared" si="14"/>
        <v>5384.6153846153848</v>
      </c>
      <c r="AF29" s="3">
        <f t="shared" si="15"/>
        <v>592.30769230769238</v>
      </c>
      <c r="AG29" s="1">
        <v>1666.6666666666667</v>
      </c>
      <c r="AH29" s="1">
        <f t="shared" si="16"/>
        <v>60692.307692307681</v>
      </c>
      <c r="AI29" s="1">
        <f t="shared" si="17"/>
        <v>196.15384615384599</v>
      </c>
      <c r="AJ29" s="3">
        <f t="shared" si="18"/>
        <v>3.6583333333333332</v>
      </c>
      <c r="AK29" s="4">
        <f t="shared" si="19"/>
        <v>6524.5467948717942</v>
      </c>
      <c r="AL29" s="3">
        <v>0</v>
      </c>
      <c r="AM29" s="4">
        <f t="shared" si="20"/>
        <v>6524.5467948717942</v>
      </c>
      <c r="AN29" s="1">
        <f t="shared" si="25"/>
        <v>1009.6153846153846</v>
      </c>
      <c r="AO29" s="46"/>
      <c r="AP29" s="55">
        <f t="shared" si="22"/>
        <v>8326.2820512820508</v>
      </c>
    </row>
    <row r="30" spans="1:42" x14ac:dyDescent="0.35">
      <c r="A30" s="49" t="s">
        <v>66</v>
      </c>
      <c r="B30" s="26" t="s">
        <v>143</v>
      </c>
      <c r="C30" s="59" t="s">
        <v>200</v>
      </c>
      <c r="D30" s="32" t="s">
        <v>231</v>
      </c>
      <c r="E30" s="27">
        <v>30007012401328</v>
      </c>
      <c r="F30" s="14" t="s">
        <v>36</v>
      </c>
      <c r="G30" s="30">
        <v>4000</v>
      </c>
      <c r="H30" s="30">
        <v>3000</v>
      </c>
      <c r="I30" s="30">
        <v>0</v>
      </c>
      <c r="J30" s="53">
        <v>1</v>
      </c>
      <c r="K30" s="9">
        <f t="shared" si="1"/>
        <v>3000</v>
      </c>
      <c r="L30" s="9">
        <v>0</v>
      </c>
      <c r="M30" s="9">
        <f t="shared" si="2"/>
        <v>30</v>
      </c>
      <c r="N30" s="9">
        <f t="shared" si="23"/>
        <v>0</v>
      </c>
      <c r="O30" s="10">
        <f t="shared" si="4"/>
        <v>133.33333333333334</v>
      </c>
      <c r="P30" s="10">
        <f t="shared" si="5"/>
        <v>100</v>
      </c>
      <c r="Q30" s="10">
        <f t="shared" si="6"/>
        <v>233.33333333333334</v>
      </c>
      <c r="R30" s="10">
        <f t="shared" si="7"/>
        <v>16.666666666666668</v>
      </c>
      <c r="S30" s="9">
        <v>32</v>
      </c>
      <c r="T30" s="9">
        <f t="shared" si="8"/>
        <v>533.33333333333337</v>
      </c>
      <c r="U30" s="9">
        <v>0</v>
      </c>
      <c r="V30" s="15">
        <f t="shared" si="9"/>
        <v>7533.333333333333</v>
      </c>
      <c r="W30" s="52">
        <v>0</v>
      </c>
      <c r="X30" s="29">
        <f t="shared" si="10"/>
        <v>0</v>
      </c>
      <c r="Y30" s="43">
        <v>0</v>
      </c>
      <c r="Z30" s="29">
        <f t="shared" si="24"/>
        <v>0</v>
      </c>
      <c r="AA30" s="29">
        <v>0</v>
      </c>
      <c r="AB30" s="29">
        <f t="shared" si="12"/>
        <v>0</v>
      </c>
      <c r="AC30" s="11">
        <f t="shared" si="13"/>
        <v>0</v>
      </c>
      <c r="AD30" s="4">
        <f t="shared" si="0"/>
        <v>7533.333333333333</v>
      </c>
      <c r="AE30" s="3">
        <f t="shared" si="14"/>
        <v>5384.6153846153848</v>
      </c>
      <c r="AF30" s="3">
        <f t="shared" si="15"/>
        <v>592.30769230769238</v>
      </c>
      <c r="AG30" s="1">
        <v>1666.6666666666667</v>
      </c>
      <c r="AH30" s="1">
        <f t="shared" si="16"/>
        <v>63292.307692307688</v>
      </c>
      <c r="AI30" s="1">
        <f t="shared" si="17"/>
        <v>228.6538461538461</v>
      </c>
      <c r="AJ30" s="3">
        <f t="shared" si="18"/>
        <v>3.7666666666666666</v>
      </c>
      <c r="AK30" s="4">
        <f t="shared" si="19"/>
        <v>6708.6051282051285</v>
      </c>
      <c r="AL30" s="3">
        <v>0</v>
      </c>
      <c r="AM30" s="4">
        <f t="shared" si="20"/>
        <v>6708.6051282051285</v>
      </c>
      <c r="AN30" s="1">
        <f t="shared" si="25"/>
        <v>1009.6153846153846</v>
      </c>
      <c r="AO30" s="46"/>
      <c r="AP30" s="55">
        <f t="shared" si="22"/>
        <v>8542.9487179487169</v>
      </c>
    </row>
    <row r="31" spans="1:42" x14ac:dyDescent="0.35">
      <c r="A31" s="49" t="s">
        <v>67</v>
      </c>
      <c r="B31" s="26" t="s">
        <v>144</v>
      </c>
      <c r="C31" s="59" t="s">
        <v>200</v>
      </c>
      <c r="D31" s="32" t="s">
        <v>232</v>
      </c>
      <c r="E31" s="39">
        <v>29710182501669</v>
      </c>
      <c r="F31" s="38" t="s">
        <v>36</v>
      </c>
      <c r="G31" s="30">
        <v>4000</v>
      </c>
      <c r="H31" s="30">
        <v>3000</v>
      </c>
      <c r="I31" s="30">
        <v>0</v>
      </c>
      <c r="J31" s="53">
        <v>1</v>
      </c>
      <c r="K31" s="9">
        <f t="shared" si="1"/>
        <v>3000</v>
      </c>
      <c r="L31" s="9">
        <v>0</v>
      </c>
      <c r="M31" s="9">
        <f t="shared" si="2"/>
        <v>30</v>
      </c>
      <c r="N31" s="37">
        <f t="shared" si="23"/>
        <v>0</v>
      </c>
      <c r="O31" s="10">
        <f t="shared" si="4"/>
        <v>133.33333333333334</v>
      </c>
      <c r="P31" s="10">
        <f t="shared" si="5"/>
        <v>100</v>
      </c>
      <c r="Q31" s="10">
        <f t="shared" si="6"/>
        <v>233.33333333333334</v>
      </c>
      <c r="R31" s="10">
        <f t="shared" si="7"/>
        <v>16.666666666666668</v>
      </c>
      <c r="S31" s="9">
        <v>32</v>
      </c>
      <c r="T31" s="9">
        <f t="shared" si="8"/>
        <v>533.33333333333337</v>
      </c>
      <c r="U31" s="9">
        <v>0</v>
      </c>
      <c r="V31" s="15">
        <f t="shared" si="9"/>
        <v>7533.333333333333</v>
      </c>
      <c r="W31" s="52">
        <v>0</v>
      </c>
      <c r="X31" s="29">
        <f t="shared" si="10"/>
        <v>0</v>
      </c>
      <c r="Y31" s="43">
        <v>0</v>
      </c>
      <c r="Z31" s="29">
        <f t="shared" si="24"/>
        <v>0</v>
      </c>
      <c r="AA31" s="29">
        <v>0</v>
      </c>
      <c r="AB31" s="29">
        <f t="shared" si="12"/>
        <v>0</v>
      </c>
      <c r="AC31" s="11">
        <f t="shared" si="13"/>
        <v>0</v>
      </c>
      <c r="AD31" s="4">
        <f t="shared" si="0"/>
        <v>7533.333333333333</v>
      </c>
      <c r="AE31" s="3">
        <f t="shared" si="14"/>
        <v>5384.6153846153848</v>
      </c>
      <c r="AF31" s="3">
        <f t="shared" si="15"/>
        <v>592.30769230769238</v>
      </c>
      <c r="AG31" s="1">
        <v>1666.6666666666667</v>
      </c>
      <c r="AH31" s="1">
        <f t="shared" si="16"/>
        <v>63292.307692307688</v>
      </c>
      <c r="AI31" s="1">
        <f t="shared" si="17"/>
        <v>228.6538461538461</v>
      </c>
      <c r="AJ31" s="3">
        <f t="shared" si="18"/>
        <v>3.7666666666666666</v>
      </c>
      <c r="AK31" s="4">
        <f t="shared" si="19"/>
        <v>6708.6051282051285</v>
      </c>
      <c r="AL31" s="3">
        <v>0</v>
      </c>
      <c r="AM31" s="4">
        <f t="shared" si="20"/>
        <v>6708.6051282051285</v>
      </c>
      <c r="AN31" s="1">
        <f t="shared" si="25"/>
        <v>1009.6153846153846</v>
      </c>
      <c r="AO31" s="46"/>
      <c r="AP31" s="55">
        <f t="shared" si="22"/>
        <v>8542.9487179487169</v>
      </c>
    </row>
    <row r="32" spans="1:42" x14ac:dyDescent="0.35">
      <c r="A32" s="49" t="s">
        <v>68</v>
      </c>
      <c r="B32" s="26" t="s">
        <v>145</v>
      </c>
      <c r="C32" s="40" t="s">
        <v>33</v>
      </c>
      <c r="D32" s="32" t="s">
        <v>233</v>
      </c>
      <c r="E32" s="19">
        <v>29606102103445</v>
      </c>
      <c r="F32" s="51" t="s">
        <v>197</v>
      </c>
      <c r="G32" s="30">
        <v>5000</v>
      </c>
      <c r="H32" s="30">
        <v>3000</v>
      </c>
      <c r="I32" s="30">
        <v>750</v>
      </c>
      <c r="J32" s="53">
        <v>1</v>
      </c>
      <c r="K32" s="9">
        <f t="shared" si="1"/>
        <v>3000</v>
      </c>
      <c r="L32" s="9">
        <v>0</v>
      </c>
      <c r="M32" s="9">
        <f t="shared" si="2"/>
        <v>30</v>
      </c>
      <c r="N32" s="9">
        <f t="shared" si="23"/>
        <v>0</v>
      </c>
      <c r="O32" s="10">
        <f t="shared" si="4"/>
        <v>166.66666666666666</v>
      </c>
      <c r="P32" s="10">
        <f t="shared" si="5"/>
        <v>100</v>
      </c>
      <c r="Q32" s="10">
        <f t="shared" si="6"/>
        <v>266.66666666666669</v>
      </c>
      <c r="R32" s="10">
        <f t="shared" si="7"/>
        <v>20.833333333333332</v>
      </c>
      <c r="S32" s="9">
        <v>16</v>
      </c>
      <c r="T32" s="9">
        <f t="shared" si="8"/>
        <v>333.33333333333331</v>
      </c>
      <c r="U32" s="9">
        <v>0</v>
      </c>
      <c r="V32" s="15">
        <f t="shared" si="9"/>
        <v>9083.3333333333339</v>
      </c>
      <c r="W32" s="52">
        <v>0</v>
      </c>
      <c r="X32" s="29">
        <f t="shared" si="10"/>
        <v>0</v>
      </c>
      <c r="Y32" s="43">
        <v>0</v>
      </c>
      <c r="Z32" s="29">
        <f t="shared" si="24"/>
        <v>0</v>
      </c>
      <c r="AA32" s="29">
        <v>0</v>
      </c>
      <c r="AB32" s="29">
        <f t="shared" si="12"/>
        <v>0</v>
      </c>
      <c r="AC32" s="11">
        <f t="shared" si="13"/>
        <v>0</v>
      </c>
      <c r="AD32" s="4">
        <f t="shared" si="0"/>
        <v>9083.3333333333339</v>
      </c>
      <c r="AE32" s="3">
        <f t="shared" si="14"/>
        <v>5384.6153846153848</v>
      </c>
      <c r="AF32" s="3">
        <f t="shared" si="15"/>
        <v>592.30769230769238</v>
      </c>
      <c r="AG32" s="1">
        <v>1666.6666666666667</v>
      </c>
      <c r="AH32" s="1">
        <f t="shared" si="16"/>
        <v>81892.307692307688</v>
      </c>
      <c r="AI32" s="1">
        <f t="shared" si="17"/>
        <v>510.70512820512812</v>
      </c>
      <c r="AJ32" s="3">
        <f t="shared" si="18"/>
        <v>4.541666666666667</v>
      </c>
      <c r="AK32" s="4">
        <f t="shared" si="19"/>
        <v>7975.7788461538457</v>
      </c>
      <c r="AL32" s="3">
        <v>0</v>
      </c>
      <c r="AM32" s="4">
        <f t="shared" si="20"/>
        <v>7975.7788461538457</v>
      </c>
      <c r="AN32" s="1">
        <f t="shared" si="25"/>
        <v>1009.6153846153846</v>
      </c>
      <c r="AO32" s="46"/>
      <c r="AP32" s="55">
        <f t="shared" si="22"/>
        <v>10092.948717948719</v>
      </c>
    </row>
    <row r="33" spans="1:16380" x14ac:dyDescent="0.35">
      <c r="A33" s="49" t="s">
        <v>69</v>
      </c>
      <c r="B33" s="26" t="s">
        <v>146</v>
      </c>
      <c r="C33" s="59" t="s">
        <v>200</v>
      </c>
      <c r="D33" s="32" t="s">
        <v>234</v>
      </c>
      <c r="E33" s="27">
        <v>30004242101286</v>
      </c>
      <c r="F33" s="14" t="s">
        <v>36</v>
      </c>
      <c r="G33" s="30">
        <v>4000</v>
      </c>
      <c r="H33" s="30">
        <v>3000</v>
      </c>
      <c r="I33" s="30">
        <v>0</v>
      </c>
      <c r="J33" s="53">
        <v>1</v>
      </c>
      <c r="K33" s="9">
        <f t="shared" si="1"/>
        <v>3000</v>
      </c>
      <c r="L33" s="9">
        <v>0</v>
      </c>
      <c r="M33" s="9">
        <f t="shared" si="2"/>
        <v>30</v>
      </c>
      <c r="N33" s="9">
        <f t="shared" si="23"/>
        <v>0</v>
      </c>
      <c r="O33" s="10">
        <f t="shared" si="4"/>
        <v>133.33333333333334</v>
      </c>
      <c r="P33" s="10">
        <f t="shared" si="5"/>
        <v>100</v>
      </c>
      <c r="Q33" s="10">
        <f t="shared" si="6"/>
        <v>233.33333333333334</v>
      </c>
      <c r="R33" s="10">
        <f t="shared" si="7"/>
        <v>16.666666666666668</v>
      </c>
      <c r="S33" s="9">
        <v>35</v>
      </c>
      <c r="T33" s="9">
        <f t="shared" si="8"/>
        <v>583.33333333333337</v>
      </c>
      <c r="U33" s="9">
        <v>0</v>
      </c>
      <c r="V33" s="15">
        <f t="shared" si="9"/>
        <v>7583.333333333333</v>
      </c>
      <c r="W33" s="52">
        <v>0</v>
      </c>
      <c r="X33" s="29">
        <f t="shared" si="10"/>
        <v>0</v>
      </c>
      <c r="Y33" s="43">
        <v>0</v>
      </c>
      <c r="Z33" s="29">
        <f t="shared" si="24"/>
        <v>0</v>
      </c>
      <c r="AA33" s="29">
        <v>0</v>
      </c>
      <c r="AB33" s="29">
        <f t="shared" si="12"/>
        <v>0</v>
      </c>
      <c r="AC33" s="11">
        <f t="shared" si="13"/>
        <v>0</v>
      </c>
      <c r="AD33" s="4">
        <f t="shared" si="0"/>
        <v>7583.333333333333</v>
      </c>
      <c r="AE33" s="3">
        <f t="shared" si="14"/>
        <v>5384.6153846153848</v>
      </c>
      <c r="AF33" s="3">
        <f t="shared" si="15"/>
        <v>592.30769230769238</v>
      </c>
      <c r="AG33" s="1">
        <v>1666.6666666666667</v>
      </c>
      <c r="AH33" s="1">
        <f t="shared" si="16"/>
        <v>63892.307692307688</v>
      </c>
      <c r="AI33" s="1">
        <f t="shared" si="17"/>
        <v>236.1538461538461</v>
      </c>
      <c r="AJ33" s="3">
        <f t="shared" si="18"/>
        <v>3.7916666666666665</v>
      </c>
      <c r="AK33" s="4">
        <f t="shared" si="19"/>
        <v>6751.0801282051279</v>
      </c>
      <c r="AL33" s="3">
        <v>0</v>
      </c>
      <c r="AM33" s="4">
        <f t="shared" si="20"/>
        <v>6751.0801282051279</v>
      </c>
      <c r="AN33" s="1">
        <f t="shared" si="25"/>
        <v>1009.6153846153846</v>
      </c>
      <c r="AO33" s="46"/>
      <c r="AP33" s="55">
        <f t="shared" si="22"/>
        <v>8592.9487179487169</v>
      </c>
    </row>
    <row r="34" spans="1:16380" x14ac:dyDescent="0.35">
      <c r="A34" s="49" t="s">
        <v>70</v>
      </c>
      <c r="B34" s="25" t="s">
        <v>147</v>
      </c>
      <c r="C34" s="40" t="s">
        <v>33</v>
      </c>
      <c r="D34" s="33" t="s">
        <v>235</v>
      </c>
      <c r="E34" s="19">
        <v>29805102100961</v>
      </c>
      <c r="F34" s="14" t="s">
        <v>36</v>
      </c>
      <c r="G34" s="30">
        <v>4000</v>
      </c>
      <c r="H34" s="30">
        <v>3000</v>
      </c>
      <c r="I34" s="30">
        <v>0</v>
      </c>
      <c r="J34" s="53">
        <v>1</v>
      </c>
      <c r="K34" s="9">
        <f t="shared" si="1"/>
        <v>3000</v>
      </c>
      <c r="L34" s="9">
        <v>0</v>
      </c>
      <c r="M34" s="9">
        <f t="shared" si="2"/>
        <v>30</v>
      </c>
      <c r="N34" s="9">
        <f t="shared" si="23"/>
        <v>0</v>
      </c>
      <c r="O34" s="10">
        <f t="shared" si="4"/>
        <v>133.33333333333334</v>
      </c>
      <c r="P34" s="10">
        <f t="shared" si="5"/>
        <v>100</v>
      </c>
      <c r="Q34" s="10">
        <f t="shared" si="6"/>
        <v>233.33333333333334</v>
      </c>
      <c r="R34" s="10">
        <f t="shared" si="7"/>
        <v>16.666666666666668</v>
      </c>
      <c r="S34" s="9">
        <v>35</v>
      </c>
      <c r="T34" s="9">
        <f t="shared" si="8"/>
        <v>583.33333333333337</v>
      </c>
      <c r="U34" s="9">
        <v>0</v>
      </c>
      <c r="V34" s="15">
        <f t="shared" si="9"/>
        <v>7583.333333333333</v>
      </c>
      <c r="W34" s="52">
        <v>0</v>
      </c>
      <c r="X34" s="29">
        <f t="shared" si="10"/>
        <v>0</v>
      </c>
      <c r="Y34" s="43">
        <v>0</v>
      </c>
      <c r="Z34" s="29">
        <f t="shared" si="24"/>
        <v>0</v>
      </c>
      <c r="AA34" s="29">
        <v>0</v>
      </c>
      <c r="AB34" s="29">
        <f t="shared" si="12"/>
        <v>0</v>
      </c>
      <c r="AC34" s="11">
        <f t="shared" si="13"/>
        <v>0</v>
      </c>
      <c r="AD34" s="4">
        <f t="shared" si="0"/>
        <v>7583.333333333333</v>
      </c>
      <c r="AE34" s="3">
        <f t="shared" si="14"/>
        <v>5384.6153846153848</v>
      </c>
      <c r="AF34" s="3">
        <f t="shared" si="15"/>
        <v>592.30769230769238</v>
      </c>
      <c r="AG34" s="1">
        <v>1666.6666666666667</v>
      </c>
      <c r="AH34" s="1">
        <f t="shared" si="16"/>
        <v>63892.307692307688</v>
      </c>
      <c r="AI34" s="1">
        <f t="shared" si="17"/>
        <v>236.1538461538461</v>
      </c>
      <c r="AJ34" s="3">
        <f t="shared" si="18"/>
        <v>3.7916666666666665</v>
      </c>
      <c r="AK34" s="4">
        <f t="shared" si="19"/>
        <v>6751.0801282051279</v>
      </c>
      <c r="AL34" s="3">
        <v>0</v>
      </c>
      <c r="AM34" s="4">
        <f t="shared" si="20"/>
        <v>6751.0801282051279</v>
      </c>
      <c r="AN34" s="1">
        <f t="shared" si="25"/>
        <v>1009.6153846153846</v>
      </c>
      <c r="AO34" s="46"/>
      <c r="AP34" s="55">
        <f t="shared" si="22"/>
        <v>8592.9487179487169</v>
      </c>
    </row>
    <row r="35" spans="1:16380" x14ac:dyDescent="0.35">
      <c r="A35" s="49" t="s">
        <v>71</v>
      </c>
      <c r="B35" s="26" t="s">
        <v>148</v>
      </c>
      <c r="C35" s="40" t="s">
        <v>33</v>
      </c>
      <c r="D35" s="32" t="s">
        <v>236</v>
      </c>
      <c r="E35" s="27">
        <v>28007028800649</v>
      </c>
      <c r="F35" s="14" t="s">
        <v>36</v>
      </c>
      <c r="G35" s="30">
        <v>4000</v>
      </c>
      <c r="H35" s="30">
        <v>3000</v>
      </c>
      <c r="I35" s="30">
        <v>0</v>
      </c>
      <c r="J35" s="53">
        <v>1</v>
      </c>
      <c r="K35" s="9">
        <f t="shared" si="1"/>
        <v>3000</v>
      </c>
      <c r="L35" s="9">
        <v>0</v>
      </c>
      <c r="M35" s="9">
        <f t="shared" si="2"/>
        <v>30</v>
      </c>
      <c r="N35" s="9">
        <f t="shared" si="23"/>
        <v>0</v>
      </c>
      <c r="O35" s="10">
        <f t="shared" si="4"/>
        <v>133.33333333333334</v>
      </c>
      <c r="P35" s="10">
        <f t="shared" si="5"/>
        <v>100</v>
      </c>
      <c r="Q35" s="10">
        <f t="shared" si="6"/>
        <v>233.33333333333334</v>
      </c>
      <c r="R35" s="10">
        <f t="shared" si="7"/>
        <v>16.666666666666668</v>
      </c>
      <c r="S35" s="9">
        <v>33</v>
      </c>
      <c r="T35" s="9">
        <f t="shared" si="8"/>
        <v>550</v>
      </c>
      <c r="U35" s="9">
        <v>0</v>
      </c>
      <c r="V35" s="15">
        <f t="shared" si="9"/>
        <v>7550</v>
      </c>
      <c r="W35" s="52">
        <v>0</v>
      </c>
      <c r="X35" s="29">
        <f t="shared" si="10"/>
        <v>0</v>
      </c>
      <c r="Y35" s="43">
        <v>0</v>
      </c>
      <c r="Z35" s="29">
        <f t="shared" si="24"/>
        <v>0</v>
      </c>
      <c r="AA35" s="29">
        <v>0</v>
      </c>
      <c r="AB35" s="29">
        <f t="shared" si="12"/>
        <v>0</v>
      </c>
      <c r="AC35" s="11">
        <f t="shared" si="13"/>
        <v>0</v>
      </c>
      <c r="AD35" s="4">
        <f t="shared" si="0"/>
        <v>7550</v>
      </c>
      <c r="AE35" s="3">
        <f t="shared" si="14"/>
        <v>5384.6153846153848</v>
      </c>
      <c r="AF35" s="3">
        <f t="shared" si="15"/>
        <v>592.30769230769238</v>
      </c>
      <c r="AG35" s="1">
        <v>1666.6666666666667</v>
      </c>
      <c r="AH35" s="1">
        <f t="shared" si="16"/>
        <v>63492.307692307688</v>
      </c>
      <c r="AI35" s="1">
        <f t="shared" si="17"/>
        <v>231.1538461538461</v>
      </c>
      <c r="AJ35" s="3">
        <f t="shared" si="18"/>
        <v>3.7749999999999999</v>
      </c>
      <c r="AK35" s="4">
        <f t="shared" si="19"/>
        <v>6722.7634615384623</v>
      </c>
      <c r="AL35" s="3">
        <v>0</v>
      </c>
      <c r="AM35" s="4">
        <f t="shared" si="20"/>
        <v>6722.7634615384623</v>
      </c>
      <c r="AN35" s="1">
        <f t="shared" si="25"/>
        <v>1009.6153846153846</v>
      </c>
      <c r="AO35" s="46"/>
      <c r="AP35" s="55">
        <f t="shared" si="22"/>
        <v>8559.6153846153848</v>
      </c>
    </row>
    <row r="36" spans="1:16380" x14ac:dyDescent="0.35">
      <c r="A36" s="49" t="s">
        <v>72</v>
      </c>
      <c r="B36" s="25" t="s">
        <v>149</v>
      </c>
      <c r="C36" s="40" t="s">
        <v>33</v>
      </c>
      <c r="D36" s="33" t="s">
        <v>237</v>
      </c>
      <c r="E36" s="19">
        <v>29303202102541</v>
      </c>
      <c r="F36" s="14" t="s">
        <v>36</v>
      </c>
      <c r="G36" s="30">
        <v>4000</v>
      </c>
      <c r="H36" s="30">
        <v>3000</v>
      </c>
      <c r="I36" s="30">
        <v>0</v>
      </c>
      <c r="J36" s="53">
        <v>1</v>
      </c>
      <c r="K36" s="9">
        <f t="shared" si="1"/>
        <v>3000</v>
      </c>
      <c r="L36" s="9">
        <v>0</v>
      </c>
      <c r="M36" s="9">
        <f t="shared" si="2"/>
        <v>30</v>
      </c>
      <c r="N36" s="9">
        <f t="shared" si="23"/>
        <v>0</v>
      </c>
      <c r="O36" s="10">
        <f t="shared" si="4"/>
        <v>133.33333333333334</v>
      </c>
      <c r="P36" s="10">
        <f t="shared" si="5"/>
        <v>100</v>
      </c>
      <c r="Q36" s="10">
        <f t="shared" si="6"/>
        <v>233.33333333333334</v>
      </c>
      <c r="R36" s="10">
        <f t="shared" si="7"/>
        <v>16.666666666666668</v>
      </c>
      <c r="S36" s="9">
        <v>34</v>
      </c>
      <c r="T36" s="9">
        <f t="shared" si="8"/>
        <v>566.66666666666674</v>
      </c>
      <c r="U36" s="9">
        <v>0</v>
      </c>
      <c r="V36" s="15">
        <f t="shared" si="9"/>
        <v>7566.666666666667</v>
      </c>
      <c r="W36" s="52">
        <v>0</v>
      </c>
      <c r="X36" s="29">
        <f t="shared" si="10"/>
        <v>0</v>
      </c>
      <c r="Y36" s="43">
        <v>2</v>
      </c>
      <c r="Z36" s="29">
        <f t="shared" si="24"/>
        <v>266.66666666666669</v>
      </c>
      <c r="AA36" s="29">
        <v>0</v>
      </c>
      <c r="AB36" s="29">
        <f t="shared" si="12"/>
        <v>0</v>
      </c>
      <c r="AC36" s="11">
        <f t="shared" si="13"/>
        <v>266.66666666666669</v>
      </c>
      <c r="AD36" s="4">
        <f t="shared" si="0"/>
        <v>7300</v>
      </c>
      <c r="AE36" s="3">
        <f t="shared" si="14"/>
        <v>5384.6153846153848</v>
      </c>
      <c r="AF36" s="3">
        <f t="shared" si="15"/>
        <v>592.30769230769238</v>
      </c>
      <c r="AG36" s="1">
        <v>1666.6666666666667</v>
      </c>
      <c r="AH36" s="1">
        <f t="shared" si="16"/>
        <v>60492.307692307688</v>
      </c>
      <c r="AI36" s="1">
        <f t="shared" si="17"/>
        <v>193.6538461538461</v>
      </c>
      <c r="AJ36" s="3">
        <f t="shared" si="18"/>
        <v>3.65</v>
      </c>
      <c r="AK36" s="4">
        <f t="shared" si="19"/>
        <v>6510.3884615384623</v>
      </c>
      <c r="AL36" s="3">
        <v>0</v>
      </c>
      <c r="AM36" s="4">
        <f t="shared" si="20"/>
        <v>6510.3884615384623</v>
      </c>
      <c r="AN36" s="1">
        <f t="shared" si="25"/>
        <v>1009.6153846153846</v>
      </c>
      <c r="AO36" s="46"/>
      <c r="AP36" s="55">
        <f t="shared" si="22"/>
        <v>8309.6153846153848</v>
      </c>
    </row>
    <row r="37" spans="1:16380" x14ac:dyDescent="0.35">
      <c r="A37" s="49" t="s">
        <v>73</v>
      </c>
      <c r="B37" s="25" t="s">
        <v>150</v>
      </c>
      <c r="C37" s="59" t="s">
        <v>200</v>
      </c>
      <c r="D37" s="33" t="s">
        <v>238</v>
      </c>
      <c r="E37" s="19">
        <v>30007160103778</v>
      </c>
      <c r="F37" s="14" t="s">
        <v>197</v>
      </c>
      <c r="G37" s="30">
        <v>5000</v>
      </c>
      <c r="H37" s="30">
        <v>3000</v>
      </c>
      <c r="I37" s="30">
        <v>0</v>
      </c>
      <c r="J37" s="53">
        <v>1</v>
      </c>
      <c r="K37" s="9">
        <f t="shared" si="1"/>
        <v>3000</v>
      </c>
      <c r="L37" s="9">
        <v>0</v>
      </c>
      <c r="M37" s="9">
        <f t="shared" si="2"/>
        <v>30</v>
      </c>
      <c r="N37" s="9">
        <f t="shared" si="23"/>
        <v>0</v>
      </c>
      <c r="O37" s="10">
        <f t="shared" si="4"/>
        <v>166.66666666666666</v>
      </c>
      <c r="P37" s="10">
        <f t="shared" si="5"/>
        <v>100</v>
      </c>
      <c r="Q37" s="10">
        <f t="shared" si="6"/>
        <v>266.66666666666669</v>
      </c>
      <c r="R37" s="10">
        <f t="shared" si="7"/>
        <v>20.833333333333332</v>
      </c>
      <c r="S37" s="9">
        <v>33</v>
      </c>
      <c r="T37" s="9">
        <f t="shared" si="8"/>
        <v>687.5</v>
      </c>
      <c r="U37" s="9">
        <v>0</v>
      </c>
      <c r="V37" s="15">
        <f t="shared" si="9"/>
        <v>8687.5</v>
      </c>
      <c r="W37" s="52">
        <v>0</v>
      </c>
      <c r="X37" s="29">
        <f t="shared" si="10"/>
        <v>0</v>
      </c>
      <c r="Y37" s="43">
        <v>0</v>
      </c>
      <c r="Z37" s="29">
        <f t="shared" si="24"/>
        <v>0</v>
      </c>
      <c r="AA37" s="29">
        <v>0</v>
      </c>
      <c r="AB37" s="29">
        <f t="shared" si="12"/>
        <v>0</v>
      </c>
      <c r="AC37" s="11">
        <f t="shared" si="13"/>
        <v>0</v>
      </c>
      <c r="AD37" s="4">
        <f t="shared" si="0"/>
        <v>8687.5</v>
      </c>
      <c r="AE37" s="3">
        <f t="shared" si="14"/>
        <v>5384.6153846153848</v>
      </c>
      <c r="AF37" s="3">
        <f t="shared" si="15"/>
        <v>592.30769230769238</v>
      </c>
      <c r="AG37" s="1">
        <v>1666.6666666666667</v>
      </c>
      <c r="AH37" s="1">
        <f t="shared" si="16"/>
        <v>77142.307692307688</v>
      </c>
      <c r="AI37" s="1">
        <f t="shared" si="17"/>
        <v>431.53846153846143</v>
      </c>
      <c r="AJ37" s="3">
        <f t="shared" si="18"/>
        <v>4.34375</v>
      </c>
      <c r="AK37" s="4">
        <f t="shared" si="19"/>
        <v>7659.3100961538457</v>
      </c>
      <c r="AL37" s="3">
        <v>0</v>
      </c>
      <c r="AM37" s="4">
        <f t="shared" si="20"/>
        <v>7659.3100961538457</v>
      </c>
      <c r="AN37" s="1">
        <f t="shared" si="25"/>
        <v>1009.6153846153846</v>
      </c>
      <c r="AO37" s="46"/>
      <c r="AP37" s="55">
        <f t="shared" si="22"/>
        <v>9697.1153846153848</v>
      </c>
    </row>
    <row r="38" spans="1:16380" x14ac:dyDescent="0.35">
      <c r="A38" s="49" t="s">
        <v>74</v>
      </c>
      <c r="B38" s="25" t="s">
        <v>151</v>
      </c>
      <c r="C38" s="40" t="s">
        <v>33</v>
      </c>
      <c r="D38" s="33" t="s">
        <v>239</v>
      </c>
      <c r="E38" s="19">
        <v>29907222101446</v>
      </c>
      <c r="F38" s="14" t="s">
        <v>36</v>
      </c>
      <c r="G38" s="30">
        <v>4000</v>
      </c>
      <c r="H38" s="30">
        <v>3000</v>
      </c>
      <c r="I38" s="30">
        <v>0</v>
      </c>
      <c r="J38" s="53">
        <v>1</v>
      </c>
      <c r="K38" s="9">
        <f t="shared" si="1"/>
        <v>3000</v>
      </c>
      <c r="L38" s="9">
        <v>0</v>
      </c>
      <c r="M38" s="9">
        <f t="shared" si="2"/>
        <v>30</v>
      </c>
      <c r="N38" s="9">
        <f t="shared" si="23"/>
        <v>0</v>
      </c>
      <c r="O38" s="10">
        <f t="shared" si="4"/>
        <v>133.33333333333334</v>
      </c>
      <c r="P38" s="10">
        <f t="shared" si="5"/>
        <v>100</v>
      </c>
      <c r="Q38" s="10">
        <f t="shared" si="6"/>
        <v>233.33333333333334</v>
      </c>
      <c r="R38" s="10">
        <f t="shared" si="7"/>
        <v>16.666666666666668</v>
      </c>
      <c r="S38" s="9">
        <v>16</v>
      </c>
      <c r="T38" s="9">
        <f t="shared" si="8"/>
        <v>266.66666666666669</v>
      </c>
      <c r="U38" s="9">
        <v>0</v>
      </c>
      <c r="V38" s="15">
        <f t="shared" si="9"/>
        <v>7266.666666666667</v>
      </c>
      <c r="W38" s="52">
        <v>0</v>
      </c>
      <c r="X38" s="29">
        <f t="shared" si="10"/>
        <v>0</v>
      </c>
      <c r="Y38" s="43">
        <v>0</v>
      </c>
      <c r="Z38" s="29">
        <f t="shared" si="24"/>
        <v>0</v>
      </c>
      <c r="AA38" s="29">
        <v>0</v>
      </c>
      <c r="AB38" s="29">
        <f t="shared" si="12"/>
        <v>0</v>
      </c>
      <c r="AC38" s="11">
        <f t="shared" si="13"/>
        <v>0</v>
      </c>
      <c r="AD38" s="4">
        <f t="shared" si="0"/>
        <v>7266.666666666667</v>
      </c>
      <c r="AE38" s="3">
        <f t="shared" si="14"/>
        <v>5384.6153846153848</v>
      </c>
      <c r="AF38" s="3">
        <f t="shared" si="15"/>
        <v>592.30769230769238</v>
      </c>
      <c r="AG38" s="1">
        <v>1666.6666666666667</v>
      </c>
      <c r="AH38" s="1">
        <f t="shared" si="16"/>
        <v>60092.307692307688</v>
      </c>
      <c r="AI38" s="1">
        <f t="shared" si="17"/>
        <v>188.6538461538461</v>
      </c>
      <c r="AJ38" s="3">
        <f t="shared" si="18"/>
        <v>3.6333333333333337</v>
      </c>
      <c r="AK38" s="4">
        <f t="shared" si="19"/>
        <v>6482.0717948717956</v>
      </c>
      <c r="AL38" s="3">
        <v>0</v>
      </c>
      <c r="AM38" s="4">
        <f t="shared" si="20"/>
        <v>6482.0717948717956</v>
      </c>
      <c r="AN38" s="1">
        <f t="shared" si="25"/>
        <v>1009.6153846153846</v>
      </c>
      <c r="AO38" s="46"/>
      <c r="AP38" s="55">
        <f t="shared" si="22"/>
        <v>8276.2820512820508</v>
      </c>
    </row>
    <row r="39" spans="1:16380" x14ac:dyDescent="0.35">
      <c r="A39" s="49" t="s">
        <v>75</v>
      </c>
      <c r="B39" s="25" t="s">
        <v>152</v>
      </c>
      <c r="C39" s="59" t="s">
        <v>200</v>
      </c>
      <c r="D39" s="33" t="s">
        <v>240</v>
      </c>
      <c r="E39" s="19">
        <v>30108012612737</v>
      </c>
      <c r="F39" s="14" t="s">
        <v>36</v>
      </c>
      <c r="G39" s="30">
        <v>4000</v>
      </c>
      <c r="H39" s="30">
        <v>3000</v>
      </c>
      <c r="I39" s="30">
        <v>0</v>
      </c>
      <c r="J39" s="53">
        <v>1</v>
      </c>
      <c r="K39" s="9">
        <f t="shared" si="1"/>
        <v>3000</v>
      </c>
      <c r="L39" s="9">
        <v>0</v>
      </c>
      <c r="M39" s="9">
        <f t="shared" si="2"/>
        <v>30</v>
      </c>
      <c r="N39" s="9">
        <f t="shared" si="23"/>
        <v>0</v>
      </c>
      <c r="O39" s="10">
        <f t="shared" si="4"/>
        <v>133.33333333333334</v>
      </c>
      <c r="P39" s="10">
        <f t="shared" si="5"/>
        <v>100</v>
      </c>
      <c r="Q39" s="10">
        <f t="shared" si="6"/>
        <v>233.33333333333334</v>
      </c>
      <c r="R39" s="10">
        <f t="shared" si="7"/>
        <v>16.666666666666668</v>
      </c>
      <c r="S39" s="9">
        <v>31</v>
      </c>
      <c r="T39" s="9">
        <f t="shared" si="8"/>
        <v>516.66666666666674</v>
      </c>
      <c r="U39" s="9">
        <v>0</v>
      </c>
      <c r="V39" s="15">
        <f t="shared" si="9"/>
        <v>7516.666666666667</v>
      </c>
      <c r="W39" s="52">
        <v>0</v>
      </c>
      <c r="X39" s="29">
        <f t="shared" si="10"/>
        <v>0</v>
      </c>
      <c r="Y39" s="43">
        <v>0</v>
      </c>
      <c r="Z39" s="29">
        <f t="shared" si="24"/>
        <v>0</v>
      </c>
      <c r="AA39" s="29">
        <v>0</v>
      </c>
      <c r="AB39" s="29">
        <f t="shared" si="12"/>
        <v>0</v>
      </c>
      <c r="AC39" s="11">
        <f t="shared" si="13"/>
        <v>0</v>
      </c>
      <c r="AD39" s="4">
        <f t="shared" si="0"/>
        <v>7516.666666666667</v>
      </c>
      <c r="AE39" s="3">
        <f t="shared" si="14"/>
        <v>5384.6153846153848</v>
      </c>
      <c r="AF39" s="3">
        <f t="shared" si="15"/>
        <v>592.30769230769238</v>
      </c>
      <c r="AG39" s="1">
        <v>1666.6666666666667</v>
      </c>
      <c r="AH39" s="1">
        <f t="shared" si="16"/>
        <v>63092.307692307688</v>
      </c>
      <c r="AI39" s="1">
        <f t="shared" si="17"/>
        <v>226.1538461538461</v>
      </c>
      <c r="AJ39" s="3">
        <f t="shared" si="18"/>
        <v>3.7583333333333337</v>
      </c>
      <c r="AK39" s="4">
        <f t="shared" si="19"/>
        <v>6694.4467948717956</v>
      </c>
      <c r="AL39" s="3">
        <v>0</v>
      </c>
      <c r="AM39" s="4">
        <f t="shared" si="20"/>
        <v>6694.4467948717956</v>
      </c>
      <c r="AN39" s="1">
        <f t="shared" si="25"/>
        <v>1009.6153846153846</v>
      </c>
      <c r="AO39" s="46"/>
      <c r="AP39" s="55">
        <f t="shared" si="22"/>
        <v>8526.2820512820508</v>
      </c>
    </row>
    <row r="40" spans="1:16380" x14ac:dyDescent="0.35">
      <c r="A40" s="49" t="s">
        <v>76</v>
      </c>
      <c r="B40" s="25" t="s">
        <v>192</v>
      </c>
      <c r="C40" s="59" t="s">
        <v>200</v>
      </c>
      <c r="D40" s="33" t="s">
        <v>241</v>
      </c>
      <c r="E40" s="19">
        <v>30003072102014</v>
      </c>
      <c r="F40" s="14" t="s">
        <v>36</v>
      </c>
      <c r="G40" s="30">
        <v>4000</v>
      </c>
      <c r="H40" s="30">
        <v>3000</v>
      </c>
      <c r="I40" s="30">
        <v>0</v>
      </c>
      <c r="J40" s="53">
        <v>1</v>
      </c>
      <c r="K40" s="9">
        <f t="shared" si="1"/>
        <v>3000</v>
      </c>
      <c r="L40" s="9">
        <v>0</v>
      </c>
      <c r="M40" s="9">
        <f t="shared" si="2"/>
        <v>30</v>
      </c>
      <c r="N40" s="9">
        <f t="shared" si="23"/>
        <v>0</v>
      </c>
      <c r="O40" s="10">
        <f t="shared" si="4"/>
        <v>133.33333333333334</v>
      </c>
      <c r="P40" s="10">
        <f t="shared" si="5"/>
        <v>100</v>
      </c>
      <c r="Q40" s="10">
        <f t="shared" si="6"/>
        <v>233.33333333333334</v>
      </c>
      <c r="R40" s="10">
        <f t="shared" si="7"/>
        <v>16.666666666666668</v>
      </c>
      <c r="S40" s="9">
        <v>31</v>
      </c>
      <c r="T40" s="9">
        <f t="shared" si="8"/>
        <v>516.66666666666674</v>
      </c>
      <c r="U40" s="9">
        <v>0</v>
      </c>
      <c r="V40" s="15">
        <f t="shared" si="9"/>
        <v>7516.666666666667</v>
      </c>
      <c r="W40" s="52">
        <v>0</v>
      </c>
      <c r="X40" s="29">
        <f t="shared" si="10"/>
        <v>0</v>
      </c>
      <c r="Y40" s="43">
        <v>0</v>
      </c>
      <c r="Z40" s="29">
        <f t="shared" si="24"/>
        <v>0</v>
      </c>
      <c r="AA40" s="29">
        <v>0</v>
      </c>
      <c r="AB40" s="29">
        <f t="shared" si="12"/>
        <v>0</v>
      </c>
      <c r="AC40" s="11">
        <f t="shared" si="13"/>
        <v>0</v>
      </c>
      <c r="AD40" s="4">
        <f t="shared" si="0"/>
        <v>7516.666666666667</v>
      </c>
      <c r="AE40" s="3">
        <f t="shared" si="14"/>
        <v>5384.6153846153848</v>
      </c>
      <c r="AF40" s="3">
        <f t="shared" si="15"/>
        <v>592.30769230769238</v>
      </c>
      <c r="AG40" s="1">
        <v>1666.6666666666667</v>
      </c>
      <c r="AH40" s="1">
        <f t="shared" si="16"/>
        <v>63092.307692307688</v>
      </c>
      <c r="AI40" s="1">
        <f t="shared" si="17"/>
        <v>226.1538461538461</v>
      </c>
      <c r="AJ40" s="3">
        <f t="shared" si="18"/>
        <v>3.7583333333333337</v>
      </c>
      <c r="AK40" s="4">
        <f t="shared" si="19"/>
        <v>6694.4467948717956</v>
      </c>
      <c r="AL40" s="3">
        <v>0</v>
      </c>
      <c r="AM40" s="4">
        <f t="shared" si="20"/>
        <v>6694.4467948717956</v>
      </c>
      <c r="AN40" s="1">
        <f t="shared" si="25"/>
        <v>1009.6153846153846</v>
      </c>
      <c r="AO40" s="46"/>
      <c r="AP40" s="55">
        <f t="shared" si="22"/>
        <v>8526.2820512820508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/>
      <c r="BHW40"/>
      <c r="BHX40"/>
      <c r="BHY40"/>
      <c r="BHZ40"/>
      <c r="BIA40"/>
      <c r="BIB40"/>
      <c r="BIC40"/>
      <c r="BID40"/>
      <c r="BIE40"/>
      <c r="BIF40"/>
      <c r="BIG40"/>
      <c r="BIH40"/>
      <c r="BII40"/>
      <c r="BIJ40"/>
      <c r="BIK40"/>
      <c r="BIL40"/>
      <c r="BIM40"/>
      <c r="BIN40"/>
      <c r="BIO40"/>
      <c r="BIP40"/>
      <c r="BIQ40"/>
      <c r="BIR40"/>
      <c r="BIS40"/>
      <c r="BIT40"/>
      <c r="BIU40"/>
      <c r="BIV40"/>
      <c r="BIW40"/>
      <c r="BIX40"/>
      <c r="BIY40"/>
      <c r="BIZ40"/>
      <c r="BJA40"/>
      <c r="BJB40"/>
      <c r="BJC40"/>
      <c r="BJD40"/>
      <c r="BJE40"/>
      <c r="BJF40"/>
      <c r="BJG40"/>
      <c r="BJH40"/>
      <c r="BJI40"/>
      <c r="BJJ40"/>
      <c r="BJK40"/>
      <c r="BJL40"/>
      <c r="BJM40"/>
      <c r="BJN40"/>
      <c r="BJO40"/>
      <c r="BJP40"/>
      <c r="BJQ40"/>
      <c r="BJR40"/>
      <c r="BJS40"/>
      <c r="BJT40"/>
      <c r="BJU40"/>
      <c r="BJV40"/>
      <c r="BJW40"/>
      <c r="BJX40"/>
      <c r="BJY40"/>
      <c r="BJZ40"/>
      <c r="BKA40"/>
      <c r="BKB40"/>
      <c r="BKC40"/>
      <c r="BKD40"/>
      <c r="BKE40"/>
      <c r="BKF40"/>
      <c r="BKG40"/>
      <c r="BKH40"/>
      <c r="BKI40"/>
      <c r="BKJ40"/>
      <c r="BKK40"/>
      <c r="BKL40"/>
      <c r="BKM40"/>
      <c r="BKN40"/>
      <c r="BKO40"/>
      <c r="BKP40"/>
      <c r="BKQ40"/>
      <c r="BKR40"/>
      <c r="BKS40"/>
      <c r="BKT40"/>
      <c r="BKU40"/>
      <c r="BKV40"/>
      <c r="BKW40"/>
      <c r="BKX40"/>
      <c r="BKY40"/>
      <c r="BKZ40"/>
      <c r="BLA40"/>
      <c r="BLB40"/>
      <c r="BLC40"/>
      <c r="BLD40"/>
      <c r="BLE40"/>
      <c r="BLF40"/>
      <c r="BLG40"/>
      <c r="BLH40"/>
      <c r="BLI40"/>
      <c r="BLJ40"/>
      <c r="BLK40"/>
      <c r="BLL40"/>
      <c r="BLM40"/>
      <c r="BLN40"/>
      <c r="BLO40"/>
      <c r="BLP40"/>
      <c r="BLQ40"/>
      <c r="BLR40"/>
      <c r="BLS40"/>
      <c r="BLT40"/>
      <c r="BLU40"/>
      <c r="BLV40"/>
      <c r="BLW40"/>
      <c r="BLX40"/>
      <c r="BLY40"/>
      <c r="BLZ40"/>
      <c r="BMA40"/>
      <c r="BMB40"/>
      <c r="BMC40"/>
      <c r="BMD40"/>
      <c r="BME40"/>
      <c r="BMF40"/>
      <c r="BMG40"/>
      <c r="BMH40"/>
      <c r="BMI40"/>
      <c r="BMJ40"/>
      <c r="BMK40"/>
      <c r="BML40"/>
      <c r="BMM40"/>
      <c r="BMN40"/>
      <c r="BMO40"/>
      <c r="BMP40"/>
      <c r="BMQ40"/>
      <c r="BMR40"/>
      <c r="BMS40"/>
      <c r="BMT40"/>
      <c r="BMU40"/>
      <c r="BMV40"/>
      <c r="BMW40"/>
      <c r="BMX40"/>
      <c r="BMY40"/>
      <c r="BMZ40"/>
      <c r="BNA40"/>
      <c r="BNB40"/>
      <c r="BNC40"/>
      <c r="BND40"/>
      <c r="BNE40"/>
      <c r="BNF40"/>
      <c r="BNG40"/>
      <c r="BNH40"/>
      <c r="BNI40"/>
      <c r="BNJ40"/>
      <c r="BNK40"/>
      <c r="BNL40"/>
      <c r="BNM40"/>
      <c r="BNN40"/>
      <c r="BNO40"/>
      <c r="BNP40"/>
      <c r="BNQ40"/>
      <c r="BNR40"/>
      <c r="BNS40"/>
      <c r="BNT40"/>
      <c r="BNU40"/>
      <c r="BNV40"/>
      <c r="BNW40"/>
      <c r="BNX40"/>
      <c r="BNY40"/>
      <c r="BNZ40"/>
      <c r="BOA40"/>
      <c r="BOB40"/>
      <c r="BOC40"/>
      <c r="BOD40"/>
      <c r="BOE40"/>
      <c r="BOF40"/>
      <c r="BOG40"/>
      <c r="BOH40"/>
      <c r="BOI40"/>
      <c r="BOJ40"/>
      <c r="BOK40"/>
      <c r="BOL40"/>
      <c r="BOM40"/>
      <c r="BON40"/>
      <c r="BOO40"/>
      <c r="BOP40"/>
      <c r="BOQ40"/>
      <c r="BOR40"/>
      <c r="BOS40"/>
      <c r="BOT40"/>
      <c r="BOU40"/>
      <c r="BOV40"/>
      <c r="BOW40"/>
      <c r="BOX40"/>
      <c r="BOY40"/>
      <c r="BOZ40"/>
      <c r="BPA40"/>
      <c r="BPB40"/>
      <c r="BPC40"/>
      <c r="BPD40"/>
      <c r="BPE40"/>
      <c r="BPF40"/>
      <c r="BPG40"/>
      <c r="BPH40"/>
      <c r="BPI40"/>
      <c r="BPJ40"/>
      <c r="BPK40"/>
      <c r="BPL40"/>
      <c r="BPM40"/>
      <c r="BPN40"/>
      <c r="BPO40"/>
      <c r="BPP40"/>
      <c r="BPQ40"/>
      <c r="BPR40"/>
      <c r="BPS40"/>
      <c r="BPT40"/>
      <c r="BPU40"/>
      <c r="BPV40"/>
      <c r="BPW40"/>
      <c r="BPX40"/>
      <c r="BPY40"/>
      <c r="BPZ40"/>
      <c r="BQA40"/>
      <c r="BQB40"/>
      <c r="BQC40"/>
      <c r="BQD40"/>
      <c r="BQE40"/>
      <c r="BQF40"/>
      <c r="BQG40"/>
      <c r="BQH40"/>
      <c r="BQI40"/>
      <c r="BQJ40"/>
      <c r="BQK40"/>
      <c r="BQL40"/>
      <c r="BQM40"/>
      <c r="BQN40"/>
      <c r="BQO40"/>
      <c r="BQP40"/>
      <c r="BQQ40"/>
      <c r="BQR40"/>
      <c r="BQS40"/>
      <c r="BQT40"/>
      <c r="BQU40"/>
      <c r="BQV40"/>
      <c r="BQW40"/>
      <c r="BQX40"/>
      <c r="BQY40"/>
      <c r="BQZ40"/>
      <c r="BRA40"/>
      <c r="BRB40"/>
      <c r="BRC40"/>
      <c r="BRD40"/>
      <c r="BRE40"/>
      <c r="BRF40"/>
      <c r="BRG40"/>
      <c r="BRH40"/>
      <c r="BRI40"/>
      <c r="BRJ40"/>
      <c r="BRK40"/>
      <c r="BRL40"/>
      <c r="BRM40"/>
      <c r="BRN40"/>
      <c r="BRO40"/>
      <c r="BRP40"/>
      <c r="BRQ40"/>
      <c r="BRR40"/>
      <c r="BRS40"/>
      <c r="BRT40"/>
      <c r="BRU40"/>
      <c r="BRV40"/>
      <c r="BRW40"/>
      <c r="BRX40"/>
      <c r="BRY40"/>
      <c r="BRZ40"/>
      <c r="BSA40"/>
      <c r="BSB40"/>
      <c r="BSC40"/>
      <c r="BSD40"/>
      <c r="BSE40"/>
      <c r="BSF40"/>
      <c r="BSG40"/>
      <c r="BSH40"/>
      <c r="BSI40"/>
      <c r="BSJ40"/>
      <c r="BSK40"/>
      <c r="BSL40"/>
      <c r="BSM40"/>
      <c r="BSN40"/>
      <c r="BSO40"/>
      <c r="BSP40"/>
      <c r="BSQ40"/>
      <c r="BSR40"/>
      <c r="BSS40"/>
      <c r="BST40"/>
      <c r="BSU40"/>
      <c r="BSV40"/>
      <c r="BSW40"/>
      <c r="BSX40"/>
      <c r="BSY40"/>
      <c r="BSZ40"/>
      <c r="BTA40"/>
      <c r="BTB40"/>
      <c r="BTC40"/>
      <c r="BTD40"/>
      <c r="BTE40"/>
      <c r="BTF40"/>
      <c r="BTG40"/>
      <c r="BTH40"/>
      <c r="BTI40"/>
      <c r="BTJ40"/>
      <c r="BTK40"/>
      <c r="BTL40"/>
      <c r="BTM40"/>
      <c r="BTN40"/>
      <c r="BTO40"/>
      <c r="BTP40"/>
      <c r="BTQ40"/>
      <c r="BTR40"/>
      <c r="BTS40"/>
      <c r="BTT40"/>
      <c r="BTU40"/>
      <c r="BTV40"/>
      <c r="BTW40"/>
      <c r="BTX40"/>
      <c r="BTY40"/>
      <c r="BTZ40"/>
      <c r="BUA40"/>
      <c r="BUB40"/>
      <c r="BUC40"/>
      <c r="BUD40"/>
      <c r="BUE40"/>
      <c r="BUF40"/>
      <c r="BUG40"/>
      <c r="BUH40"/>
      <c r="BUI40"/>
      <c r="BUJ40"/>
      <c r="BUK40"/>
      <c r="BUL40"/>
      <c r="BUM40"/>
      <c r="BUN40"/>
      <c r="BUO40"/>
      <c r="BUP40"/>
      <c r="BUQ40"/>
      <c r="BUR40"/>
      <c r="BUS40"/>
      <c r="BUT40"/>
      <c r="BUU40"/>
      <c r="BUV40"/>
      <c r="BUW40"/>
      <c r="BUX40"/>
      <c r="BUY40"/>
      <c r="BUZ40"/>
      <c r="BVA40"/>
      <c r="BVB40"/>
      <c r="BVC40"/>
      <c r="BVD40"/>
      <c r="BVE40"/>
      <c r="BVF40"/>
      <c r="BVG40"/>
      <c r="BVH40"/>
      <c r="BVI40"/>
      <c r="BVJ40"/>
      <c r="BVK40"/>
      <c r="BVL40"/>
      <c r="BVM40"/>
      <c r="BVN40"/>
      <c r="BVO40"/>
      <c r="BVP40"/>
      <c r="BVQ40"/>
      <c r="BVR40"/>
      <c r="BVS40"/>
      <c r="BVT40"/>
      <c r="BVU40"/>
      <c r="BVV40"/>
      <c r="BVW40"/>
      <c r="BVX40"/>
      <c r="BVY40"/>
      <c r="BVZ40"/>
      <c r="BWA40"/>
      <c r="BWB40"/>
      <c r="BWC40"/>
      <c r="BWD40"/>
      <c r="BWE40"/>
      <c r="BWF40"/>
      <c r="BWG40"/>
      <c r="BWH40"/>
      <c r="BWI40"/>
      <c r="BWJ40"/>
      <c r="BWK40"/>
      <c r="BWL40"/>
      <c r="BWM40"/>
      <c r="BWN40"/>
      <c r="BWO40"/>
      <c r="BWP40"/>
      <c r="BWQ40"/>
      <c r="BWR40"/>
      <c r="BWS40"/>
      <c r="BWT40"/>
      <c r="BWU40"/>
      <c r="BWV40"/>
      <c r="BWW40"/>
      <c r="BWX40"/>
      <c r="BWY40"/>
      <c r="BWZ40"/>
      <c r="BXA40"/>
      <c r="BXB40"/>
      <c r="BXC40"/>
      <c r="BXD40"/>
      <c r="BXE40"/>
      <c r="BXF40"/>
      <c r="BXG40"/>
      <c r="BXH40"/>
      <c r="BXI40"/>
      <c r="BXJ40"/>
      <c r="BXK40"/>
      <c r="BXL40"/>
      <c r="BXM40"/>
      <c r="BXN40"/>
      <c r="BXO40"/>
      <c r="BXP40"/>
      <c r="BXQ40"/>
      <c r="BXR40"/>
      <c r="BXS40"/>
      <c r="BXT40"/>
      <c r="BXU40"/>
      <c r="BXV40"/>
      <c r="BXW40"/>
      <c r="BXX40"/>
      <c r="BXY40"/>
      <c r="BXZ40"/>
      <c r="BYA40"/>
      <c r="BYB40"/>
      <c r="BYC40"/>
      <c r="BYD40"/>
      <c r="BYE40"/>
      <c r="BYF40"/>
      <c r="BYG40"/>
      <c r="BYH40"/>
      <c r="BYI40"/>
      <c r="BYJ40"/>
      <c r="BYK40"/>
      <c r="BYL40"/>
      <c r="BYM40"/>
      <c r="BYN40"/>
      <c r="BYO40"/>
      <c r="BYP40"/>
      <c r="BYQ40"/>
      <c r="BYR40"/>
      <c r="BYS40"/>
      <c r="BYT40"/>
      <c r="BYU40"/>
      <c r="BYV40"/>
      <c r="BYW40"/>
      <c r="BYX40"/>
      <c r="BYY40"/>
      <c r="BYZ40"/>
      <c r="BZA40"/>
      <c r="BZB40"/>
      <c r="BZC40"/>
      <c r="BZD40"/>
      <c r="BZE40"/>
      <c r="BZF40"/>
      <c r="BZG40"/>
      <c r="BZH40"/>
      <c r="BZI40"/>
      <c r="BZJ40"/>
      <c r="BZK40"/>
      <c r="BZL40"/>
      <c r="BZM40"/>
      <c r="BZN40"/>
      <c r="BZO40"/>
      <c r="BZP40"/>
      <c r="BZQ40"/>
      <c r="BZR40"/>
      <c r="BZS40"/>
      <c r="BZT40"/>
      <c r="BZU40"/>
      <c r="BZV40"/>
      <c r="BZW40"/>
      <c r="BZX40"/>
      <c r="BZY40"/>
      <c r="BZZ40"/>
      <c r="CAA40"/>
      <c r="CAB40"/>
      <c r="CAC40"/>
      <c r="CAD40"/>
      <c r="CAE40"/>
      <c r="CAF40"/>
      <c r="CAG40"/>
      <c r="CAH40"/>
      <c r="CAI40"/>
      <c r="CAJ40"/>
      <c r="CAK40"/>
      <c r="CAL40"/>
      <c r="CAM40"/>
      <c r="CAN40"/>
      <c r="CAO40"/>
      <c r="CAP40"/>
      <c r="CAQ40"/>
      <c r="CAR40"/>
      <c r="CAS40"/>
      <c r="CAT40"/>
      <c r="CAU40"/>
      <c r="CAV40"/>
      <c r="CAW40"/>
      <c r="CAX40"/>
      <c r="CAY40"/>
      <c r="CAZ40"/>
      <c r="CBA40"/>
      <c r="CBB40"/>
      <c r="CBC40"/>
      <c r="CBD40"/>
      <c r="CBE40"/>
      <c r="CBF40"/>
      <c r="CBG40"/>
      <c r="CBH40"/>
      <c r="CBI40"/>
      <c r="CBJ40"/>
      <c r="CBK40"/>
      <c r="CBL40"/>
      <c r="CBM40"/>
      <c r="CBN40"/>
      <c r="CBO40"/>
      <c r="CBP40"/>
      <c r="CBQ40"/>
      <c r="CBR40"/>
      <c r="CBS40"/>
      <c r="CBT40"/>
      <c r="CBU40"/>
      <c r="CBV40"/>
      <c r="CBW40"/>
      <c r="CBX40"/>
      <c r="CBY40"/>
      <c r="CBZ40"/>
      <c r="CCA40"/>
      <c r="CCB40"/>
      <c r="CCC40"/>
      <c r="CCD40"/>
      <c r="CCE40"/>
      <c r="CCF40"/>
      <c r="CCG40"/>
      <c r="CCH40"/>
      <c r="CCI40"/>
      <c r="CCJ40"/>
      <c r="CCK40"/>
      <c r="CCL40"/>
      <c r="CCM40"/>
      <c r="CCN40"/>
      <c r="CCO40"/>
      <c r="CCP40"/>
      <c r="CCQ40"/>
      <c r="CCR40"/>
      <c r="CCS40"/>
      <c r="CCT40"/>
      <c r="CCU40"/>
      <c r="CCV40"/>
      <c r="CCW40"/>
      <c r="CCX40"/>
      <c r="CCY40"/>
      <c r="CCZ40"/>
      <c r="CDA40"/>
      <c r="CDB40"/>
      <c r="CDC40"/>
      <c r="CDD40"/>
      <c r="CDE40"/>
      <c r="CDF40"/>
      <c r="CDG40"/>
      <c r="CDH40"/>
      <c r="CDI40"/>
      <c r="CDJ40"/>
      <c r="CDK40"/>
      <c r="CDL40"/>
      <c r="CDM40"/>
      <c r="CDN40"/>
      <c r="CDO40"/>
      <c r="CDP40"/>
      <c r="CDQ40"/>
      <c r="CDR40"/>
      <c r="CDS40"/>
      <c r="CDT40"/>
      <c r="CDU40"/>
      <c r="CDV40"/>
      <c r="CDW40"/>
      <c r="CDX40"/>
      <c r="CDY40"/>
      <c r="CDZ40"/>
      <c r="CEA40"/>
      <c r="CEB40"/>
      <c r="CEC40"/>
      <c r="CED40"/>
      <c r="CEE40"/>
      <c r="CEF40"/>
      <c r="CEG40"/>
      <c r="CEH40"/>
      <c r="CEI40"/>
      <c r="CEJ40"/>
      <c r="CEK40"/>
      <c r="CEL40"/>
      <c r="CEM40"/>
      <c r="CEN40"/>
      <c r="CEO40"/>
      <c r="CEP40"/>
      <c r="CEQ40"/>
      <c r="CER40"/>
      <c r="CES40"/>
      <c r="CET40"/>
      <c r="CEU40"/>
      <c r="CEV40"/>
      <c r="CEW40"/>
      <c r="CEX40"/>
      <c r="CEY40"/>
      <c r="CEZ40"/>
      <c r="CFA40"/>
      <c r="CFB40"/>
      <c r="CFC40"/>
      <c r="CFD40"/>
      <c r="CFE40"/>
      <c r="CFF40"/>
      <c r="CFG40"/>
      <c r="CFH40"/>
      <c r="CFI40"/>
      <c r="CFJ40"/>
      <c r="CFK40"/>
      <c r="CFL40"/>
      <c r="CFM40"/>
      <c r="CFN40"/>
      <c r="CFO40"/>
      <c r="CFP40"/>
      <c r="CFQ40"/>
      <c r="CFR40"/>
      <c r="CFS40"/>
      <c r="CFT40"/>
      <c r="CFU40"/>
      <c r="CFV40"/>
      <c r="CFW40"/>
      <c r="CFX40"/>
      <c r="CFY40"/>
      <c r="CFZ40"/>
      <c r="CGA40"/>
      <c r="CGB40"/>
      <c r="CGC40"/>
      <c r="CGD40"/>
      <c r="CGE40"/>
      <c r="CGF40"/>
      <c r="CGG40"/>
      <c r="CGH40"/>
      <c r="CGI40"/>
      <c r="CGJ40"/>
      <c r="CGK40"/>
      <c r="CGL40"/>
      <c r="CGM40"/>
      <c r="CGN40"/>
      <c r="CGO40"/>
      <c r="CGP40"/>
      <c r="CGQ40"/>
      <c r="CGR40"/>
      <c r="CGS40"/>
      <c r="CGT40"/>
      <c r="CGU40"/>
      <c r="CGV40"/>
      <c r="CGW40"/>
      <c r="CGX40"/>
      <c r="CGY40"/>
      <c r="CGZ40"/>
      <c r="CHA40"/>
      <c r="CHB40"/>
      <c r="CHC40"/>
      <c r="CHD40"/>
      <c r="CHE40"/>
      <c r="CHF40"/>
      <c r="CHG40"/>
      <c r="CHH40"/>
      <c r="CHI40"/>
      <c r="CHJ40"/>
      <c r="CHK40"/>
      <c r="CHL40"/>
      <c r="CHM40"/>
      <c r="CHN40"/>
      <c r="CHO40"/>
      <c r="CHP40"/>
      <c r="CHQ40"/>
      <c r="CHR40"/>
      <c r="CHS40"/>
      <c r="CHT40"/>
      <c r="CHU40"/>
      <c r="CHV40"/>
      <c r="CHW40"/>
      <c r="CHX40"/>
      <c r="CHY40"/>
      <c r="CHZ40"/>
      <c r="CIA40"/>
      <c r="CIB40"/>
      <c r="CIC40"/>
      <c r="CID40"/>
      <c r="CIE40"/>
      <c r="CIF40"/>
      <c r="CIG40"/>
      <c r="CIH40"/>
      <c r="CII40"/>
      <c r="CIJ40"/>
      <c r="CIK40"/>
      <c r="CIL40"/>
      <c r="CIM40"/>
      <c r="CIN40"/>
      <c r="CIO40"/>
      <c r="CIP40"/>
      <c r="CIQ40"/>
      <c r="CIR40"/>
      <c r="CIS40"/>
      <c r="CIT40"/>
      <c r="CIU40"/>
      <c r="CIV40"/>
      <c r="CIW40"/>
      <c r="CIX40"/>
      <c r="CIY40"/>
      <c r="CIZ40"/>
      <c r="CJA40"/>
      <c r="CJB40"/>
      <c r="CJC40"/>
      <c r="CJD40"/>
      <c r="CJE40"/>
      <c r="CJF40"/>
      <c r="CJG40"/>
      <c r="CJH40"/>
      <c r="CJI40"/>
      <c r="CJJ40"/>
      <c r="CJK40"/>
      <c r="CJL40"/>
      <c r="CJM40"/>
      <c r="CJN40"/>
      <c r="CJO40"/>
      <c r="CJP40"/>
      <c r="CJQ40"/>
      <c r="CJR40"/>
      <c r="CJS40"/>
      <c r="CJT40"/>
      <c r="CJU40"/>
      <c r="CJV40"/>
      <c r="CJW40"/>
      <c r="CJX40"/>
      <c r="CJY40"/>
      <c r="CJZ40"/>
      <c r="CKA40"/>
      <c r="CKB40"/>
      <c r="CKC40"/>
      <c r="CKD40"/>
      <c r="CKE40"/>
      <c r="CKF40"/>
      <c r="CKG40"/>
      <c r="CKH40"/>
      <c r="CKI40"/>
      <c r="CKJ40"/>
      <c r="CKK40"/>
      <c r="CKL40"/>
      <c r="CKM40"/>
      <c r="CKN40"/>
      <c r="CKO40"/>
      <c r="CKP40"/>
      <c r="CKQ40"/>
      <c r="CKR40"/>
      <c r="CKS40"/>
      <c r="CKT40"/>
      <c r="CKU40"/>
      <c r="CKV40"/>
      <c r="CKW40"/>
      <c r="CKX40"/>
      <c r="CKY40"/>
      <c r="CKZ40"/>
      <c r="CLA40"/>
      <c r="CLB40"/>
      <c r="CLC40"/>
      <c r="CLD40"/>
      <c r="CLE40"/>
      <c r="CLF40"/>
      <c r="CLG40"/>
      <c r="CLH40"/>
      <c r="CLI40"/>
      <c r="CLJ40"/>
      <c r="CLK40"/>
      <c r="CLL40"/>
      <c r="CLM40"/>
      <c r="CLN40"/>
      <c r="CLO40"/>
      <c r="CLP40"/>
      <c r="CLQ40"/>
      <c r="CLR40"/>
      <c r="CLS40"/>
      <c r="CLT40"/>
      <c r="CLU40"/>
      <c r="CLV40"/>
      <c r="CLW40"/>
      <c r="CLX40"/>
      <c r="CLY40"/>
      <c r="CLZ40"/>
      <c r="CMA40"/>
      <c r="CMB40"/>
      <c r="CMC40"/>
      <c r="CMD40"/>
      <c r="CME40"/>
      <c r="CMF40"/>
      <c r="CMG40"/>
      <c r="CMH40"/>
      <c r="CMI40"/>
      <c r="CMJ40"/>
      <c r="CMK40"/>
      <c r="CML40"/>
      <c r="CMM40"/>
      <c r="CMN40"/>
      <c r="CMO40"/>
      <c r="CMP40"/>
      <c r="CMQ40"/>
      <c r="CMR40"/>
      <c r="CMS40"/>
      <c r="CMT40"/>
      <c r="CMU40"/>
      <c r="CMV40"/>
      <c r="CMW40"/>
      <c r="CMX40"/>
      <c r="CMY40"/>
      <c r="CMZ40"/>
      <c r="CNA40"/>
      <c r="CNB40"/>
      <c r="CNC40"/>
      <c r="CND40"/>
      <c r="CNE40"/>
      <c r="CNF40"/>
      <c r="CNG40"/>
      <c r="CNH40"/>
      <c r="CNI40"/>
      <c r="CNJ40"/>
      <c r="CNK40"/>
      <c r="CNL40"/>
      <c r="CNM40"/>
      <c r="CNN40"/>
      <c r="CNO40"/>
      <c r="CNP40"/>
      <c r="CNQ40"/>
      <c r="CNR40"/>
      <c r="CNS40"/>
      <c r="CNT40"/>
      <c r="CNU40"/>
      <c r="CNV40"/>
      <c r="CNW40"/>
      <c r="CNX40"/>
      <c r="CNY40"/>
      <c r="CNZ40"/>
      <c r="COA40"/>
      <c r="COB40"/>
      <c r="COC40"/>
      <c r="COD40"/>
      <c r="COE40"/>
      <c r="COF40"/>
      <c r="COG40"/>
      <c r="COH40"/>
      <c r="COI40"/>
      <c r="COJ40"/>
      <c r="COK40"/>
      <c r="COL40"/>
      <c r="COM40"/>
      <c r="CON40"/>
      <c r="COO40"/>
      <c r="COP40"/>
      <c r="COQ40"/>
      <c r="COR40"/>
      <c r="COS40"/>
      <c r="COT40"/>
      <c r="COU40"/>
      <c r="COV40"/>
      <c r="COW40"/>
      <c r="COX40"/>
      <c r="COY40"/>
      <c r="COZ40"/>
      <c r="CPA40"/>
      <c r="CPB40"/>
      <c r="CPC40"/>
      <c r="CPD40"/>
      <c r="CPE40"/>
      <c r="CPF40"/>
      <c r="CPG40"/>
      <c r="CPH40"/>
      <c r="CPI40"/>
      <c r="CPJ40"/>
      <c r="CPK40"/>
      <c r="CPL40"/>
      <c r="CPM40"/>
      <c r="CPN40"/>
      <c r="CPO40"/>
      <c r="CPP40"/>
      <c r="CPQ40"/>
      <c r="CPR40"/>
      <c r="CPS40"/>
      <c r="CPT40"/>
      <c r="CPU40"/>
      <c r="CPV40"/>
      <c r="CPW40"/>
      <c r="CPX40"/>
      <c r="CPY40"/>
      <c r="CPZ40"/>
      <c r="CQA40"/>
      <c r="CQB40"/>
      <c r="CQC40"/>
      <c r="CQD40"/>
      <c r="CQE40"/>
      <c r="CQF40"/>
      <c r="CQG40"/>
      <c r="CQH40"/>
      <c r="CQI40"/>
      <c r="CQJ40"/>
      <c r="CQK40"/>
      <c r="CQL40"/>
      <c r="CQM40"/>
      <c r="CQN40"/>
      <c r="CQO40"/>
      <c r="CQP40"/>
      <c r="CQQ40"/>
      <c r="CQR40"/>
      <c r="CQS40"/>
      <c r="CQT40"/>
      <c r="CQU40"/>
      <c r="CQV40"/>
      <c r="CQW40"/>
      <c r="CQX40"/>
      <c r="CQY40"/>
      <c r="CQZ40"/>
      <c r="CRA40"/>
      <c r="CRB40"/>
      <c r="CRC40"/>
      <c r="CRD40"/>
      <c r="CRE40"/>
      <c r="CRF40"/>
      <c r="CRG40"/>
      <c r="CRH40"/>
      <c r="CRI40"/>
      <c r="CRJ40"/>
      <c r="CRK40"/>
      <c r="CRL40"/>
      <c r="CRM40"/>
      <c r="CRN40"/>
      <c r="CRO40"/>
      <c r="CRP40"/>
      <c r="CRQ40"/>
      <c r="CRR40"/>
      <c r="CRS40"/>
      <c r="CRT40"/>
      <c r="CRU40"/>
      <c r="CRV40"/>
      <c r="CRW40"/>
      <c r="CRX40"/>
      <c r="CRY40"/>
      <c r="CRZ40"/>
      <c r="CSA40"/>
      <c r="CSB40"/>
      <c r="CSC40"/>
      <c r="CSD40"/>
      <c r="CSE40"/>
      <c r="CSF40"/>
      <c r="CSG40"/>
      <c r="CSH40"/>
      <c r="CSI40"/>
      <c r="CSJ40"/>
      <c r="CSK40"/>
      <c r="CSL40"/>
      <c r="CSM40"/>
      <c r="CSN40"/>
      <c r="CSO40"/>
      <c r="CSP40"/>
      <c r="CSQ40"/>
      <c r="CSR40"/>
      <c r="CSS40"/>
      <c r="CST40"/>
      <c r="CSU40"/>
      <c r="CSV40"/>
      <c r="CSW40"/>
      <c r="CSX40"/>
      <c r="CSY40"/>
      <c r="CSZ40"/>
      <c r="CTA40"/>
      <c r="CTB40"/>
      <c r="CTC40"/>
      <c r="CTD40"/>
      <c r="CTE40"/>
      <c r="CTF40"/>
      <c r="CTG40"/>
      <c r="CTH40"/>
      <c r="CTI40"/>
      <c r="CTJ40"/>
      <c r="CTK40"/>
      <c r="CTL40"/>
      <c r="CTM40"/>
      <c r="CTN40"/>
      <c r="CTO40"/>
      <c r="CTP40"/>
      <c r="CTQ40"/>
      <c r="CTR40"/>
      <c r="CTS40"/>
      <c r="CTT40"/>
      <c r="CTU40"/>
      <c r="CTV40"/>
      <c r="CTW40"/>
      <c r="CTX40"/>
      <c r="CTY40"/>
      <c r="CTZ40"/>
      <c r="CUA40"/>
      <c r="CUB40"/>
      <c r="CUC40"/>
      <c r="CUD40"/>
      <c r="CUE40"/>
      <c r="CUF40"/>
      <c r="CUG40"/>
      <c r="CUH40"/>
      <c r="CUI40"/>
      <c r="CUJ40"/>
      <c r="CUK40"/>
      <c r="CUL40"/>
      <c r="CUM40"/>
      <c r="CUN40"/>
      <c r="CUO40"/>
      <c r="CUP40"/>
      <c r="CUQ40"/>
      <c r="CUR40"/>
      <c r="CUS40"/>
      <c r="CUT40"/>
      <c r="CUU40"/>
      <c r="CUV40"/>
      <c r="CUW40"/>
      <c r="CUX40"/>
      <c r="CUY40"/>
      <c r="CUZ40"/>
      <c r="CVA40"/>
      <c r="CVB40"/>
      <c r="CVC40"/>
      <c r="CVD40"/>
      <c r="CVE40"/>
      <c r="CVF40"/>
      <c r="CVG40"/>
      <c r="CVH40"/>
      <c r="CVI40"/>
      <c r="CVJ40"/>
      <c r="CVK40"/>
      <c r="CVL40"/>
      <c r="CVM40"/>
      <c r="CVN40"/>
      <c r="CVO40"/>
      <c r="CVP40"/>
      <c r="CVQ40"/>
      <c r="CVR40"/>
      <c r="CVS40"/>
      <c r="CVT40"/>
      <c r="CVU40"/>
      <c r="CVV40"/>
      <c r="CVW40"/>
      <c r="CVX40"/>
      <c r="CVY40"/>
      <c r="CVZ40"/>
      <c r="CWA40"/>
      <c r="CWB40"/>
      <c r="CWC40"/>
      <c r="CWD40"/>
      <c r="CWE40"/>
      <c r="CWF40"/>
      <c r="CWG40"/>
      <c r="CWH40"/>
      <c r="CWI40"/>
      <c r="CWJ40"/>
      <c r="CWK40"/>
      <c r="CWL40"/>
      <c r="CWM40"/>
      <c r="CWN40"/>
      <c r="CWO40"/>
      <c r="CWP40"/>
      <c r="CWQ40"/>
      <c r="CWR40"/>
      <c r="CWS40"/>
      <c r="CWT40"/>
      <c r="CWU40"/>
      <c r="CWV40"/>
      <c r="CWW40"/>
      <c r="CWX40"/>
      <c r="CWY40"/>
      <c r="CWZ40"/>
      <c r="CXA40"/>
      <c r="CXB40"/>
      <c r="CXC40"/>
      <c r="CXD40"/>
      <c r="CXE40"/>
      <c r="CXF40"/>
      <c r="CXG40"/>
      <c r="CXH40"/>
      <c r="CXI40"/>
      <c r="CXJ40"/>
      <c r="CXK40"/>
      <c r="CXL40"/>
      <c r="CXM40"/>
      <c r="CXN40"/>
      <c r="CXO40"/>
      <c r="CXP40"/>
      <c r="CXQ40"/>
      <c r="CXR40"/>
      <c r="CXS40"/>
      <c r="CXT40"/>
      <c r="CXU40"/>
      <c r="CXV40"/>
      <c r="CXW40"/>
      <c r="CXX40"/>
      <c r="CXY40"/>
      <c r="CXZ40"/>
      <c r="CYA40"/>
      <c r="CYB40"/>
      <c r="CYC40"/>
      <c r="CYD40"/>
      <c r="CYE40"/>
      <c r="CYF40"/>
      <c r="CYG40"/>
      <c r="CYH40"/>
      <c r="CYI40"/>
      <c r="CYJ40"/>
      <c r="CYK40"/>
      <c r="CYL40"/>
      <c r="CYM40"/>
      <c r="CYN40"/>
      <c r="CYO40"/>
      <c r="CYP40"/>
      <c r="CYQ40"/>
      <c r="CYR40"/>
      <c r="CYS40"/>
      <c r="CYT40"/>
      <c r="CYU40"/>
      <c r="CYV40"/>
      <c r="CYW40"/>
      <c r="CYX40"/>
      <c r="CYY40"/>
      <c r="CYZ40"/>
      <c r="CZA40"/>
      <c r="CZB40"/>
      <c r="CZC40"/>
      <c r="CZD40"/>
      <c r="CZE40"/>
      <c r="CZF40"/>
      <c r="CZG40"/>
      <c r="CZH40"/>
      <c r="CZI40"/>
      <c r="CZJ40"/>
      <c r="CZK40"/>
      <c r="CZL40"/>
      <c r="CZM40"/>
      <c r="CZN40"/>
      <c r="CZO40"/>
      <c r="CZP40"/>
      <c r="CZQ40"/>
      <c r="CZR40"/>
      <c r="CZS40"/>
      <c r="CZT40"/>
      <c r="CZU40"/>
      <c r="CZV40"/>
      <c r="CZW40"/>
      <c r="CZX40"/>
      <c r="CZY40"/>
      <c r="CZZ40"/>
      <c r="DAA40"/>
      <c r="DAB40"/>
      <c r="DAC40"/>
      <c r="DAD40"/>
      <c r="DAE40"/>
      <c r="DAF40"/>
      <c r="DAG40"/>
      <c r="DAH40"/>
      <c r="DAI40"/>
      <c r="DAJ40"/>
      <c r="DAK40"/>
      <c r="DAL40"/>
      <c r="DAM40"/>
      <c r="DAN40"/>
      <c r="DAO40"/>
      <c r="DAP40"/>
      <c r="DAQ40"/>
      <c r="DAR40"/>
      <c r="DAS40"/>
      <c r="DAT40"/>
      <c r="DAU40"/>
      <c r="DAV40"/>
      <c r="DAW40"/>
      <c r="DAX40"/>
      <c r="DAY40"/>
      <c r="DAZ40"/>
      <c r="DBA40"/>
      <c r="DBB40"/>
      <c r="DBC40"/>
      <c r="DBD40"/>
      <c r="DBE40"/>
      <c r="DBF40"/>
      <c r="DBG40"/>
      <c r="DBH40"/>
      <c r="DBI40"/>
      <c r="DBJ40"/>
      <c r="DBK40"/>
      <c r="DBL40"/>
      <c r="DBM40"/>
      <c r="DBN40"/>
      <c r="DBO40"/>
      <c r="DBP40"/>
      <c r="DBQ40"/>
      <c r="DBR40"/>
      <c r="DBS40"/>
      <c r="DBT40"/>
      <c r="DBU40"/>
      <c r="DBV40"/>
      <c r="DBW40"/>
      <c r="DBX40"/>
      <c r="DBY40"/>
      <c r="DBZ40"/>
      <c r="DCA40"/>
      <c r="DCB40"/>
      <c r="DCC40"/>
      <c r="DCD40"/>
      <c r="DCE40"/>
      <c r="DCF40"/>
      <c r="DCG40"/>
      <c r="DCH40"/>
      <c r="DCI40"/>
      <c r="DCJ40"/>
      <c r="DCK40"/>
      <c r="DCL40"/>
      <c r="DCM40"/>
      <c r="DCN40"/>
      <c r="DCO40"/>
      <c r="DCP40"/>
      <c r="DCQ40"/>
      <c r="DCR40"/>
      <c r="DCS40"/>
      <c r="DCT40"/>
      <c r="DCU40"/>
      <c r="DCV40"/>
      <c r="DCW40"/>
      <c r="DCX40"/>
      <c r="DCY40"/>
      <c r="DCZ40"/>
      <c r="DDA40"/>
      <c r="DDB40"/>
      <c r="DDC40"/>
      <c r="DDD40"/>
      <c r="DDE40"/>
      <c r="DDF40"/>
      <c r="DDG40"/>
      <c r="DDH40"/>
      <c r="DDI40"/>
      <c r="DDJ40"/>
      <c r="DDK40"/>
      <c r="DDL40"/>
      <c r="DDM40"/>
      <c r="DDN40"/>
      <c r="DDO40"/>
      <c r="DDP40"/>
      <c r="DDQ40"/>
      <c r="DDR40"/>
      <c r="DDS40"/>
      <c r="DDT40"/>
      <c r="DDU40"/>
      <c r="DDV40"/>
      <c r="DDW40"/>
      <c r="DDX40"/>
      <c r="DDY40"/>
      <c r="DDZ40"/>
      <c r="DEA40"/>
      <c r="DEB40"/>
      <c r="DEC40"/>
      <c r="DED40"/>
      <c r="DEE40"/>
      <c r="DEF40"/>
      <c r="DEG40"/>
      <c r="DEH40"/>
      <c r="DEI40"/>
      <c r="DEJ40"/>
      <c r="DEK40"/>
      <c r="DEL40"/>
      <c r="DEM40"/>
      <c r="DEN40"/>
      <c r="DEO40"/>
      <c r="DEP40"/>
      <c r="DEQ40"/>
      <c r="DER40"/>
      <c r="DES40"/>
      <c r="DET40"/>
      <c r="DEU40"/>
      <c r="DEV40"/>
      <c r="DEW40"/>
      <c r="DEX40"/>
      <c r="DEY40"/>
      <c r="DEZ40"/>
      <c r="DFA40"/>
      <c r="DFB40"/>
      <c r="DFC40"/>
      <c r="DFD40"/>
      <c r="DFE40"/>
      <c r="DFF40"/>
      <c r="DFG40"/>
      <c r="DFH40"/>
      <c r="DFI40"/>
      <c r="DFJ40"/>
      <c r="DFK40"/>
      <c r="DFL40"/>
      <c r="DFM40"/>
      <c r="DFN40"/>
      <c r="DFO40"/>
      <c r="DFP40"/>
      <c r="DFQ40"/>
      <c r="DFR40"/>
      <c r="DFS40"/>
      <c r="DFT40"/>
      <c r="DFU40"/>
      <c r="DFV40"/>
      <c r="DFW40"/>
      <c r="DFX40"/>
      <c r="DFY40"/>
      <c r="DFZ40"/>
      <c r="DGA40"/>
      <c r="DGB40"/>
      <c r="DGC40"/>
      <c r="DGD40"/>
      <c r="DGE40"/>
      <c r="DGF40"/>
      <c r="DGG40"/>
      <c r="DGH40"/>
      <c r="DGI40"/>
      <c r="DGJ40"/>
      <c r="DGK40"/>
      <c r="DGL40"/>
      <c r="DGM40"/>
      <c r="DGN40"/>
      <c r="DGO40"/>
      <c r="DGP40"/>
      <c r="DGQ40"/>
      <c r="DGR40"/>
      <c r="DGS40"/>
      <c r="DGT40"/>
      <c r="DGU40"/>
      <c r="DGV40"/>
      <c r="DGW40"/>
      <c r="DGX40"/>
      <c r="DGY40"/>
      <c r="DGZ40"/>
      <c r="DHA40"/>
      <c r="DHB40"/>
      <c r="DHC40"/>
      <c r="DHD40"/>
      <c r="DHE40"/>
      <c r="DHF40"/>
      <c r="DHG40"/>
      <c r="DHH40"/>
      <c r="DHI40"/>
      <c r="DHJ40"/>
      <c r="DHK40"/>
      <c r="DHL40"/>
      <c r="DHM40"/>
      <c r="DHN40"/>
      <c r="DHO40"/>
      <c r="DHP40"/>
      <c r="DHQ40"/>
      <c r="DHR40"/>
      <c r="DHS40"/>
      <c r="DHT40"/>
      <c r="DHU40"/>
      <c r="DHV40"/>
      <c r="DHW40"/>
      <c r="DHX40"/>
      <c r="DHY40"/>
      <c r="DHZ40"/>
      <c r="DIA40"/>
      <c r="DIB40"/>
      <c r="DIC40"/>
      <c r="DID40"/>
      <c r="DIE40"/>
      <c r="DIF40"/>
      <c r="DIG40"/>
      <c r="DIH40"/>
      <c r="DII40"/>
      <c r="DIJ40"/>
      <c r="DIK40"/>
      <c r="DIL40"/>
      <c r="DIM40"/>
      <c r="DIN40"/>
      <c r="DIO40"/>
      <c r="DIP40"/>
      <c r="DIQ40"/>
      <c r="DIR40"/>
      <c r="DIS40"/>
      <c r="DIT40"/>
      <c r="DIU40"/>
      <c r="DIV40"/>
      <c r="DIW40"/>
      <c r="DIX40"/>
      <c r="DIY40"/>
      <c r="DIZ40"/>
      <c r="DJA40"/>
      <c r="DJB40"/>
      <c r="DJC40"/>
      <c r="DJD40"/>
      <c r="DJE40"/>
      <c r="DJF40"/>
      <c r="DJG40"/>
      <c r="DJH40"/>
      <c r="DJI40"/>
      <c r="DJJ40"/>
      <c r="DJK40"/>
      <c r="DJL40"/>
      <c r="DJM40"/>
      <c r="DJN40"/>
      <c r="DJO40"/>
      <c r="DJP40"/>
      <c r="DJQ40"/>
      <c r="DJR40"/>
      <c r="DJS40"/>
      <c r="DJT40"/>
      <c r="DJU40"/>
      <c r="DJV40"/>
      <c r="DJW40"/>
      <c r="DJX40"/>
      <c r="DJY40"/>
      <c r="DJZ40"/>
      <c r="DKA40"/>
      <c r="DKB40"/>
      <c r="DKC40"/>
      <c r="DKD40"/>
      <c r="DKE40"/>
      <c r="DKF40"/>
      <c r="DKG40"/>
      <c r="DKH40"/>
      <c r="DKI40"/>
      <c r="DKJ40"/>
      <c r="DKK40"/>
      <c r="DKL40"/>
      <c r="DKM40"/>
      <c r="DKN40"/>
      <c r="DKO40"/>
      <c r="DKP40"/>
      <c r="DKQ40"/>
      <c r="DKR40"/>
      <c r="DKS40"/>
      <c r="DKT40"/>
      <c r="DKU40"/>
      <c r="DKV40"/>
      <c r="DKW40"/>
      <c r="DKX40"/>
      <c r="DKY40"/>
      <c r="DKZ40"/>
      <c r="DLA40"/>
      <c r="DLB40"/>
      <c r="DLC40"/>
      <c r="DLD40"/>
      <c r="DLE40"/>
      <c r="DLF40"/>
      <c r="DLG40"/>
      <c r="DLH40"/>
      <c r="DLI40"/>
      <c r="DLJ40"/>
      <c r="DLK40"/>
      <c r="DLL40"/>
      <c r="DLM40"/>
      <c r="DLN40"/>
      <c r="DLO40"/>
      <c r="DLP40"/>
      <c r="DLQ40"/>
      <c r="DLR40"/>
      <c r="DLS40"/>
      <c r="DLT40"/>
      <c r="DLU40"/>
      <c r="DLV40"/>
      <c r="DLW40"/>
      <c r="DLX40"/>
      <c r="DLY40"/>
      <c r="DLZ40"/>
      <c r="DMA40"/>
      <c r="DMB40"/>
      <c r="DMC40"/>
      <c r="DMD40"/>
      <c r="DME40"/>
      <c r="DMF40"/>
      <c r="DMG40"/>
      <c r="DMH40"/>
      <c r="DMI40"/>
      <c r="DMJ40"/>
      <c r="DMK40"/>
      <c r="DML40"/>
      <c r="DMM40"/>
      <c r="DMN40"/>
      <c r="DMO40"/>
      <c r="DMP40"/>
      <c r="DMQ40"/>
      <c r="DMR40"/>
      <c r="DMS40"/>
      <c r="DMT40"/>
      <c r="DMU40"/>
      <c r="DMV40"/>
      <c r="DMW40"/>
      <c r="DMX40"/>
      <c r="DMY40"/>
      <c r="DMZ40"/>
      <c r="DNA40"/>
      <c r="DNB40"/>
      <c r="DNC40"/>
      <c r="DND40"/>
      <c r="DNE40"/>
      <c r="DNF40"/>
      <c r="DNG40"/>
      <c r="DNH40"/>
      <c r="DNI40"/>
      <c r="DNJ40"/>
      <c r="DNK40"/>
      <c r="DNL40"/>
      <c r="DNM40"/>
      <c r="DNN40"/>
      <c r="DNO40"/>
      <c r="DNP40"/>
      <c r="DNQ40"/>
      <c r="DNR40"/>
      <c r="DNS40"/>
      <c r="DNT40"/>
      <c r="DNU40"/>
      <c r="DNV40"/>
      <c r="DNW40"/>
      <c r="DNX40"/>
      <c r="DNY40"/>
      <c r="DNZ40"/>
      <c r="DOA40"/>
      <c r="DOB40"/>
      <c r="DOC40"/>
      <c r="DOD40"/>
      <c r="DOE40"/>
      <c r="DOF40"/>
      <c r="DOG40"/>
      <c r="DOH40"/>
      <c r="DOI40"/>
      <c r="DOJ40"/>
      <c r="DOK40"/>
      <c r="DOL40"/>
      <c r="DOM40"/>
      <c r="DON40"/>
      <c r="DOO40"/>
      <c r="DOP40"/>
      <c r="DOQ40"/>
      <c r="DOR40"/>
      <c r="DOS40"/>
      <c r="DOT40"/>
      <c r="DOU40"/>
      <c r="DOV40"/>
      <c r="DOW40"/>
      <c r="DOX40"/>
      <c r="DOY40"/>
      <c r="DOZ40"/>
      <c r="DPA40"/>
      <c r="DPB40"/>
      <c r="DPC40"/>
      <c r="DPD40"/>
      <c r="DPE40"/>
      <c r="DPF40"/>
      <c r="DPG40"/>
      <c r="DPH40"/>
      <c r="DPI40"/>
      <c r="DPJ40"/>
      <c r="DPK40"/>
      <c r="DPL40"/>
      <c r="DPM40"/>
      <c r="DPN40"/>
      <c r="DPO40"/>
      <c r="DPP40"/>
      <c r="DPQ40"/>
      <c r="DPR40"/>
      <c r="DPS40"/>
      <c r="DPT40"/>
      <c r="DPU40"/>
      <c r="DPV40"/>
      <c r="DPW40"/>
      <c r="DPX40"/>
      <c r="DPY40"/>
      <c r="DPZ40"/>
      <c r="DQA40"/>
      <c r="DQB40"/>
      <c r="DQC40"/>
      <c r="DQD40"/>
      <c r="DQE40"/>
      <c r="DQF40"/>
      <c r="DQG40"/>
      <c r="DQH40"/>
      <c r="DQI40"/>
      <c r="DQJ40"/>
      <c r="DQK40"/>
      <c r="DQL40"/>
      <c r="DQM40"/>
      <c r="DQN40"/>
      <c r="DQO40"/>
      <c r="DQP40"/>
      <c r="DQQ40"/>
      <c r="DQR40"/>
      <c r="DQS40"/>
      <c r="DQT40"/>
      <c r="DQU40"/>
      <c r="DQV40"/>
      <c r="DQW40"/>
      <c r="DQX40"/>
      <c r="DQY40"/>
      <c r="DQZ40"/>
      <c r="DRA40"/>
      <c r="DRB40"/>
      <c r="DRC40"/>
      <c r="DRD40"/>
      <c r="DRE40"/>
      <c r="DRF40"/>
      <c r="DRG40"/>
      <c r="DRH40"/>
      <c r="DRI40"/>
      <c r="DRJ40"/>
      <c r="DRK40"/>
      <c r="DRL40"/>
      <c r="DRM40"/>
      <c r="DRN40"/>
      <c r="DRO40"/>
      <c r="DRP40"/>
      <c r="DRQ40"/>
      <c r="DRR40"/>
      <c r="DRS40"/>
      <c r="DRT40"/>
      <c r="DRU40"/>
      <c r="DRV40"/>
      <c r="DRW40"/>
      <c r="DRX40"/>
      <c r="DRY40"/>
      <c r="DRZ40"/>
      <c r="DSA40"/>
      <c r="DSB40"/>
      <c r="DSC40"/>
      <c r="DSD40"/>
      <c r="DSE40"/>
      <c r="DSF40"/>
      <c r="DSG40"/>
      <c r="DSH40"/>
      <c r="DSI40"/>
      <c r="DSJ40"/>
      <c r="DSK40"/>
      <c r="DSL40"/>
      <c r="DSM40"/>
      <c r="DSN40"/>
      <c r="DSO40"/>
      <c r="DSP40"/>
      <c r="DSQ40"/>
      <c r="DSR40"/>
      <c r="DSS40"/>
      <c r="DST40"/>
      <c r="DSU40"/>
      <c r="DSV40"/>
      <c r="DSW40"/>
      <c r="DSX40"/>
      <c r="DSY40"/>
      <c r="DSZ40"/>
      <c r="DTA40"/>
      <c r="DTB40"/>
      <c r="DTC40"/>
      <c r="DTD40"/>
      <c r="DTE40"/>
      <c r="DTF40"/>
      <c r="DTG40"/>
      <c r="DTH40"/>
      <c r="DTI40"/>
      <c r="DTJ40"/>
      <c r="DTK40"/>
      <c r="DTL40"/>
      <c r="DTM40"/>
      <c r="DTN40"/>
      <c r="DTO40"/>
      <c r="DTP40"/>
      <c r="DTQ40"/>
      <c r="DTR40"/>
      <c r="DTS40"/>
      <c r="DTT40"/>
      <c r="DTU40"/>
      <c r="DTV40"/>
      <c r="DTW40"/>
      <c r="DTX40"/>
      <c r="DTY40"/>
      <c r="DTZ40"/>
      <c r="DUA40"/>
      <c r="DUB40"/>
      <c r="DUC40"/>
      <c r="DUD40"/>
      <c r="DUE40"/>
      <c r="DUF40"/>
      <c r="DUG40"/>
      <c r="DUH40"/>
      <c r="DUI40"/>
      <c r="DUJ40"/>
      <c r="DUK40"/>
      <c r="DUL40"/>
      <c r="DUM40"/>
      <c r="DUN40"/>
      <c r="DUO40"/>
      <c r="DUP40"/>
      <c r="DUQ40"/>
      <c r="DUR40"/>
      <c r="DUS40"/>
      <c r="DUT40"/>
      <c r="DUU40"/>
      <c r="DUV40"/>
      <c r="DUW40"/>
      <c r="DUX40"/>
      <c r="DUY40"/>
      <c r="DUZ40"/>
      <c r="DVA40"/>
      <c r="DVB40"/>
      <c r="DVC40"/>
      <c r="DVD40"/>
      <c r="DVE40"/>
      <c r="DVF40"/>
      <c r="DVG40"/>
      <c r="DVH40"/>
      <c r="DVI40"/>
      <c r="DVJ40"/>
      <c r="DVK40"/>
      <c r="DVL40"/>
      <c r="DVM40"/>
      <c r="DVN40"/>
      <c r="DVO40"/>
      <c r="DVP40"/>
      <c r="DVQ40"/>
      <c r="DVR40"/>
      <c r="DVS40"/>
      <c r="DVT40"/>
      <c r="DVU40"/>
      <c r="DVV40"/>
      <c r="DVW40"/>
      <c r="DVX40"/>
      <c r="DVY40"/>
      <c r="DVZ40"/>
      <c r="DWA40"/>
      <c r="DWB40"/>
      <c r="DWC40"/>
      <c r="DWD40"/>
      <c r="DWE40"/>
      <c r="DWF40"/>
      <c r="DWG40"/>
      <c r="DWH40"/>
      <c r="DWI40"/>
      <c r="DWJ40"/>
      <c r="DWK40"/>
      <c r="DWL40"/>
      <c r="DWM40"/>
      <c r="DWN40"/>
      <c r="DWO40"/>
      <c r="DWP40"/>
      <c r="DWQ40"/>
      <c r="DWR40"/>
      <c r="DWS40"/>
      <c r="DWT40"/>
      <c r="DWU40"/>
      <c r="DWV40"/>
      <c r="DWW40"/>
      <c r="DWX40"/>
      <c r="DWY40"/>
      <c r="DWZ40"/>
      <c r="DXA40"/>
      <c r="DXB40"/>
      <c r="DXC40"/>
      <c r="DXD40"/>
      <c r="DXE40"/>
      <c r="DXF40"/>
      <c r="DXG40"/>
      <c r="DXH40"/>
      <c r="DXI40"/>
      <c r="DXJ40"/>
      <c r="DXK40"/>
      <c r="DXL40"/>
      <c r="DXM40"/>
      <c r="DXN40"/>
      <c r="DXO40"/>
      <c r="DXP40"/>
      <c r="DXQ40"/>
      <c r="DXR40"/>
      <c r="DXS40"/>
      <c r="DXT40"/>
      <c r="DXU40"/>
      <c r="DXV40"/>
      <c r="DXW40"/>
      <c r="DXX40"/>
      <c r="DXY40"/>
      <c r="DXZ40"/>
      <c r="DYA40"/>
      <c r="DYB40"/>
      <c r="DYC40"/>
      <c r="DYD40"/>
      <c r="DYE40"/>
      <c r="DYF40"/>
      <c r="DYG40"/>
      <c r="DYH40"/>
      <c r="DYI40"/>
      <c r="DYJ40"/>
      <c r="DYK40"/>
      <c r="DYL40"/>
      <c r="DYM40"/>
      <c r="DYN40"/>
      <c r="DYO40"/>
      <c r="DYP40"/>
      <c r="DYQ40"/>
      <c r="DYR40"/>
      <c r="DYS40"/>
      <c r="DYT40"/>
      <c r="DYU40"/>
      <c r="DYV40"/>
      <c r="DYW40"/>
      <c r="DYX40"/>
      <c r="DYY40"/>
      <c r="DYZ40"/>
      <c r="DZA40"/>
      <c r="DZB40"/>
      <c r="DZC40"/>
      <c r="DZD40"/>
      <c r="DZE40"/>
      <c r="DZF40"/>
      <c r="DZG40"/>
      <c r="DZH40"/>
      <c r="DZI40"/>
      <c r="DZJ40"/>
      <c r="DZK40"/>
      <c r="DZL40"/>
      <c r="DZM40"/>
      <c r="DZN40"/>
      <c r="DZO40"/>
      <c r="DZP40"/>
      <c r="DZQ40"/>
      <c r="DZR40"/>
      <c r="DZS40"/>
      <c r="DZT40"/>
      <c r="DZU40"/>
      <c r="DZV40"/>
      <c r="DZW40"/>
      <c r="DZX40"/>
      <c r="DZY40"/>
      <c r="DZZ40"/>
      <c r="EAA40"/>
      <c r="EAB40"/>
      <c r="EAC40"/>
      <c r="EAD40"/>
      <c r="EAE40"/>
      <c r="EAF40"/>
      <c r="EAG40"/>
      <c r="EAH40"/>
      <c r="EAI40"/>
      <c r="EAJ40"/>
      <c r="EAK40"/>
      <c r="EAL40"/>
      <c r="EAM40"/>
      <c r="EAN40"/>
      <c r="EAO40"/>
      <c r="EAP40"/>
      <c r="EAQ40"/>
      <c r="EAR40"/>
      <c r="EAS40"/>
      <c r="EAT40"/>
      <c r="EAU40"/>
      <c r="EAV40"/>
      <c r="EAW40"/>
      <c r="EAX40"/>
      <c r="EAY40"/>
      <c r="EAZ40"/>
      <c r="EBA40"/>
      <c r="EBB40"/>
      <c r="EBC40"/>
      <c r="EBD40"/>
      <c r="EBE40"/>
      <c r="EBF40"/>
      <c r="EBG40"/>
      <c r="EBH40"/>
      <c r="EBI40"/>
      <c r="EBJ40"/>
      <c r="EBK40"/>
      <c r="EBL40"/>
      <c r="EBM40"/>
      <c r="EBN40"/>
      <c r="EBO40"/>
      <c r="EBP40"/>
      <c r="EBQ40"/>
      <c r="EBR40"/>
      <c r="EBS40"/>
      <c r="EBT40"/>
      <c r="EBU40"/>
      <c r="EBV40"/>
      <c r="EBW40"/>
      <c r="EBX40"/>
      <c r="EBY40"/>
      <c r="EBZ40"/>
      <c r="ECA40"/>
      <c r="ECB40"/>
      <c r="ECC40"/>
      <c r="ECD40"/>
      <c r="ECE40"/>
      <c r="ECF40"/>
      <c r="ECG40"/>
      <c r="ECH40"/>
      <c r="ECI40"/>
      <c r="ECJ40"/>
      <c r="ECK40"/>
      <c r="ECL40"/>
      <c r="ECM40"/>
      <c r="ECN40"/>
      <c r="ECO40"/>
      <c r="ECP40"/>
      <c r="ECQ40"/>
      <c r="ECR40"/>
      <c r="ECS40"/>
      <c r="ECT40"/>
      <c r="ECU40"/>
      <c r="ECV40"/>
      <c r="ECW40"/>
      <c r="ECX40"/>
      <c r="ECY40"/>
      <c r="ECZ40"/>
      <c r="EDA40"/>
      <c r="EDB40"/>
      <c r="EDC40"/>
      <c r="EDD40"/>
      <c r="EDE40"/>
      <c r="EDF40"/>
      <c r="EDG40"/>
      <c r="EDH40"/>
      <c r="EDI40"/>
      <c r="EDJ40"/>
      <c r="EDK40"/>
      <c r="EDL40"/>
      <c r="EDM40"/>
      <c r="EDN40"/>
      <c r="EDO40"/>
      <c r="EDP40"/>
      <c r="EDQ40"/>
      <c r="EDR40"/>
      <c r="EDS40"/>
      <c r="EDT40"/>
      <c r="EDU40"/>
      <c r="EDV40"/>
      <c r="EDW40"/>
      <c r="EDX40"/>
      <c r="EDY40"/>
      <c r="EDZ40"/>
      <c r="EEA40"/>
      <c r="EEB40"/>
      <c r="EEC40"/>
      <c r="EED40"/>
      <c r="EEE40"/>
      <c r="EEF40"/>
      <c r="EEG40"/>
      <c r="EEH40"/>
      <c r="EEI40"/>
      <c r="EEJ40"/>
      <c r="EEK40"/>
      <c r="EEL40"/>
      <c r="EEM40"/>
      <c r="EEN40"/>
      <c r="EEO40"/>
      <c r="EEP40"/>
      <c r="EEQ40"/>
      <c r="EER40"/>
      <c r="EES40"/>
      <c r="EET40"/>
      <c r="EEU40"/>
      <c r="EEV40"/>
      <c r="EEW40"/>
      <c r="EEX40"/>
      <c r="EEY40"/>
      <c r="EEZ40"/>
      <c r="EFA40"/>
      <c r="EFB40"/>
      <c r="EFC40"/>
      <c r="EFD40"/>
      <c r="EFE40"/>
      <c r="EFF40"/>
      <c r="EFG40"/>
      <c r="EFH40"/>
      <c r="EFI40"/>
      <c r="EFJ40"/>
      <c r="EFK40"/>
      <c r="EFL40"/>
      <c r="EFM40"/>
      <c r="EFN40"/>
      <c r="EFO40"/>
      <c r="EFP40"/>
      <c r="EFQ40"/>
      <c r="EFR40"/>
      <c r="EFS40"/>
      <c r="EFT40"/>
      <c r="EFU40"/>
      <c r="EFV40"/>
      <c r="EFW40"/>
      <c r="EFX40"/>
      <c r="EFY40"/>
      <c r="EFZ40"/>
      <c r="EGA40"/>
      <c r="EGB40"/>
      <c r="EGC40"/>
      <c r="EGD40"/>
      <c r="EGE40"/>
      <c r="EGF40"/>
      <c r="EGG40"/>
      <c r="EGH40"/>
      <c r="EGI40"/>
      <c r="EGJ40"/>
      <c r="EGK40"/>
      <c r="EGL40"/>
      <c r="EGM40"/>
      <c r="EGN40"/>
      <c r="EGO40"/>
      <c r="EGP40"/>
      <c r="EGQ40"/>
      <c r="EGR40"/>
      <c r="EGS40"/>
      <c r="EGT40"/>
      <c r="EGU40"/>
      <c r="EGV40"/>
      <c r="EGW40"/>
      <c r="EGX40"/>
      <c r="EGY40"/>
      <c r="EGZ40"/>
      <c r="EHA40"/>
      <c r="EHB40"/>
      <c r="EHC40"/>
      <c r="EHD40"/>
      <c r="EHE40"/>
      <c r="EHF40"/>
      <c r="EHG40"/>
      <c r="EHH40"/>
      <c r="EHI40"/>
      <c r="EHJ40"/>
      <c r="EHK40"/>
      <c r="EHL40"/>
      <c r="EHM40"/>
      <c r="EHN40"/>
      <c r="EHO40"/>
      <c r="EHP40"/>
      <c r="EHQ40"/>
      <c r="EHR40"/>
      <c r="EHS40"/>
      <c r="EHT40"/>
      <c r="EHU40"/>
      <c r="EHV40"/>
      <c r="EHW40"/>
      <c r="EHX40"/>
      <c r="EHY40"/>
      <c r="EHZ40"/>
      <c r="EIA40"/>
      <c r="EIB40"/>
      <c r="EIC40"/>
      <c r="EID40"/>
      <c r="EIE40"/>
      <c r="EIF40"/>
      <c r="EIG40"/>
      <c r="EIH40"/>
      <c r="EII40"/>
      <c r="EIJ40"/>
      <c r="EIK40"/>
      <c r="EIL40"/>
      <c r="EIM40"/>
      <c r="EIN40"/>
      <c r="EIO40"/>
      <c r="EIP40"/>
      <c r="EIQ40"/>
      <c r="EIR40"/>
      <c r="EIS40"/>
      <c r="EIT40"/>
      <c r="EIU40"/>
      <c r="EIV40"/>
      <c r="EIW40"/>
      <c r="EIX40"/>
      <c r="EIY40"/>
      <c r="EIZ40"/>
      <c r="EJA40"/>
      <c r="EJB40"/>
      <c r="EJC40"/>
      <c r="EJD40"/>
      <c r="EJE40"/>
      <c r="EJF40"/>
      <c r="EJG40"/>
      <c r="EJH40"/>
      <c r="EJI40"/>
      <c r="EJJ40"/>
      <c r="EJK40"/>
      <c r="EJL40"/>
      <c r="EJM40"/>
      <c r="EJN40"/>
      <c r="EJO40"/>
      <c r="EJP40"/>
      <c r="EJQ40"/>
      <c r="EJR40"/>
      <c r="EJS40"/>
      <c r="EJT40"/>
      <c r="EJU40"/>
      <c r="EJV40"/>
      <c r="EJW40"/>
      <c r="EJX40"/>
      <c r="EJY40"/>
      <c r="EJZ40"/>
      <c r="EKA40"/>
      <c r="EKB40"/>
      <c r="EKC40"/>
      <c r="EKD40"/>
      <c r="EKE40"/>
      <c r="EKF40"/>
      <c r="EKG40"/>
      <c r="EKH40"/>
      <c r="EKI40"/>
      <c r="EKJ40"/>
      <c r="EKK40"/>
      <c r="EKL40"/>
      <c r="EKM40"/>
      <c r="EKN40"/>
      <c r="EKO40"/>
      <c r="EKP40"/>
      <c r="EKQ40"/>
      <c r="EKR40"/>
      <c r="EKS40"/>
      <c r="EKT40"/>
      <c r="EKU40"/>
      <c r="EKV40"/>
      <c r="EKW40"/>
      <c r="EKX40"/>
      <c r="EKY40"/>
      <c r="EKZ40"/>
      <c r="ELA40"/>
      <c r="ELB40"/>
      <c r="ELC40"/>
      <c r="ELD40"/>
      <c r="ELE40"/>
      <c r="ELF40"/>
      <c r="ELG40"/>
      <c r="ELH40"/>
      <c r="ELI40"/>
      <c r="ELJ40"/>
      <c r="ELK40"/>
      <c r="ELL40"/>
      <c r="ELM40"/>
      <c r="ELN40"/>
      <c r="ELO40"/>
      <c r="ELP40"/>
      <c r="ELQ40"/>
      <c r="ELR40"/>
      <c r="ELS40"/>
      <c r="ELT40"/>
      <c r="ELU40"/>
      <c r="ELV40"/>
      <c r="ELW40"/>
      <c r="ELX40"/>
      <c r="ELY40"/>
      <c r="ELZ40"/>
      <c r="EMA40"/>
      <c r="EMB40"/>
      <c r="EMC40"/>
      <c r="EMD40"/>
      <c r="EME40"/>
      <c r="EMF40"/>
      <c r="EMG40"/>
      <c r="EMH40"/>
      <c r="EMI40"/>
      <c r="EMJ40"/>
      <c r="EMK40"/>
      <c r="EML40"/>
      <c r="EMM40"/>
      <c r="EMN40"/>
      <c r="EMO40"/>
      <c r="EMP40"/>
      <c r="EMQ40"/>
      <c r="EMR40"/>
      <c r="EMS40"/>
      <c r="EMT40"/>
      <c r="EMU40"/>
      <c r="EMV40"/>
      <c r="EMW40"/>
      <c r="EMX40"/>
      <c r="EMY40"/>
      <c r="EMZ40"/>
      <c r="ENA40"/>
      <c r="ENB40"/>
      <c r="ENC40"/>
      <c r="END40"/>
      <c r="ENE40"/>
      <c r="ENF40"/>
      <c r="ENG40"/>
      <c r="ENH40"/>
      <c r="ENI40"/>
      <c r="ENJ40"/>
      <c r="ENK40"/>
      <c r="ENL40"/>
      <c r="ENM40"/>
      <c r="ENN40"/>
      <c r="ENO40"/>
      <c r="ENP40"/>
      <c r="ENQ40"/>
      <c r="ENR40"/>
      <c r="ENS40"/>
      <c r="ENT40"/>
      <c r="ENU40"/>
      <c r="ENV40"/>
      <c r="ENW40"/>
      <c r="ENX40"/>
      <c r="ENY40"/>
      <c r="ENZ40"/>
      <c r="EOA40"/>
      <c r="EOB40"/>
      <c r="EOC40"/>
      <c r="EOD40"/>
      <c r="EOE40"/>
      <c r="EOF40"/>
      <c r="EOG40"/>
      <c r="EOH40"/>
      <c r="EOI40"/>
      <c r="EOJ40"/>
      <c r="EOK40"/>
      <c r="EOL40"/>
      <c r="EOM40"/>
      <c r="EON40"/>
      <c r="EOO40"/>
      <c r="EOP40"/>
      <c r="EOQ40"/>
      <c r="EOR40"/>
      <c r="EOS40"/>
      <c r="EOT40"/>
      <c r="EOU40"/>
      <c r="EOV40"/>
      <c r="EOW40"/>
      <c r="EOX40"/>
      <c r="EOY40"/>
      <c r="EOZ40"/>
      <c r="EPA40"/>
      <c r="EPB40"/>
      <c r="EPC40"/>
      <c r="EPD40"/>
      <c r="EPE40"/>
      <c r="EPF40"/>
      <c r="EPG40"/>
      <c r="EPH40"/>
      <c r="EPI40"/>
      <c r="EPJ40"/>
      <c r="EPK40"/>
      <c r="EPL40"/>
      <c r="EPM40"/>
      <c r="EPN40"/>
      <c r="EPO40"/>
      <c r="EPP40"/>
      <c r="EPQ40"/>
      <c r="EPR40"/>
      <c r="EPS40"/>
      <c r="EPT40"/>
      <c r="EPU40"/>
      <c r="EPV40"/>
      <c r="EPW40"/>
      <c r="EPX40"/>
      <c r="EPY40"/>
      <c r="EPZ40"/>
      <c r="EQA40"/>
      <c r="EQB40"/>
      <c r="EQC40"/>
      <c r="EQD40"/>
      <c r="EQE40"/>
      <c r="EQF40"/>
      <c r="EQG40"/>
      <c r="EQH40"/>
      <c r="EQI40"/>
      <c r="EQJ40"/>
      <c r="EQK40"/>
      <c r="EQL40"/>
      <c r="EQM40"/>
      <c r="EQN40"/>
      <c r="EQO40"/>
      <c r="EQP40"/>
      <c r="EQQ40"/>
      <c r="EQR40"/>
      <c r="EQS40"/>
      <c r="EQT40"/>
      <c r="EQU40"/>
      <c r="EQV40"/>
      <c r="EQW40"/>
      <c r="EQX40"/>
      <c r="EQY40"/>
      <c r="EQZ40"/>
      <c r="ERA40"/>
      <c r="ERB40"/>
      <c r="ERC40"/>
      <c r="ERD40"/>
      <c r="ERE40"/>
      <c r="ERF40"/>
      <c r="ERG40"/>
      <c r="ERH40"/>
      <c r="ERI40"/>
      <c r="ERJ40"/>
      <c r="ERK40"/>
      <c r="ERL40"/>
      <c r="ERM40"/>
      <c r="ERN40"/>
      <c r="ERO40"/>
      <c r="ERP40"/>
      <c r="ERQ40"/>
      <c r="ERR40"/>
      <c r="ERS40"/>
      <c r="ERT40"/>
      <c r="ERU40"/>
      <c r="ERV40"/>
      <c r="ERW40"/>
      <c r="ERX40"/>
      <c r="ERY40"/>
      <c r="ERZ40"/>
      <c r="ESA40"/>
      <c r="ESB40"/>
      <c r="ESC40"/>
      <c r="ESD40"/>
      <c r="ESE40"/>
      <c r="ESF40"/>
      <c r="ESG40"/>
      <c r="ESH40"/>
      <c r="ESI40"/>
      <c r="ESJ40"/>
      <c r="ESK40"/>
      <c r="ESL40"/>
      <c r="ESM40"/>
      <c r="ESN40"/>
      <c r="ESO40"/>
      <c r="ESP40"/>
      <c r="ESQ40"/>
      <c r="ESR40"/>
      <c r="ESS40"/>
      <c r="EST40"/>
      <c r="ESU40"/>
      <c r="ESV40"/>
      <c r="ESW40"/>
      <c r="ESX40"/>
      <c r="ESY40"/>
      <c r="ESZ40"/>
      <c r="ETA40"/>
      <c r="ETB40"/>
      <c r="ETC40"/>
      <c r="ETD40"/>
      <c r="ETE40"/>
      <c r="ETF40"/>
      <c r="ETG40"/>
      <c r="ETH40"/>
      <c r="ETI40"/>
      <c r="ETJ40"/>
      <c r="ETK40"/>
      <c r="ETL40"/>
      <c r="ETM40"/>
      <c r="ETN40"/>
      <c r="ETO40"/>
      <c r="ETP40"/>
      <c r="ETQ40"/>
      <c r="ETR40"/>
      <c r="ETS40"/>
      <c r="ETT40"/>
      <c r="ETU40"/>
      <c r="ETV40"/>
      <c r="ETW40"/>
      <c r="ETX40"/>
      <c r="ETY40"/>
      <c r="ETZ40"/>
      <c r="EUA40"/>
      <c r="EUB40"/>
      <c r="EUC40"/>
      <c r="EUD40"/>
      <c r="EUE40"/>
      <c r="EUF40"/>
      <c r="EUG40"/>
      <c r="EUH40"/>
      <c r="EUI40"/>
      <c r="EUJ40"/>
      <c r="EUK40"/>
      <c r="EUL40"/>
      <c r="EUM40"/>
      <c r="EUN40"/>
      <c r="EUO40"/>
      <c r="EUP40"/>
      <c r="EUQ40"/>
      <c r="EUR40"/>
      <c r="EUS40"/>
      <c r="EUT40"/>
      <c r="EUU40"/>
      <c r="EUV40"/>
      <c r="EUW40"/>
      <c r="EUX40"/>
      <c r="EUY40"/>
      <c r="EUZ40"/>
      <c r="EVA40"/>
      <c r="EVB40"/>
      <c r="EVC40"/>
      <c r="EVD40"/>
      <c r="EVE40"/>
      <c r="EVF40"/>
      <c r="EVG40"/>
      <c r="EVH40"/>
      <c r="EVI40"/>
      <c r="EVJ40"/>
      <c r="EVK40"/>
      <c r="EVL40"/>
      <c r="EVM40"/>
      <c r="EVN40"/>
      <c r="EVO40"/>
      <c r="EVP40"/>
      <c r="EVQ40"/>
      <c r="EVR40"/>
      <c r="EVS40"/>
      <c r="EVT40"/>
      <c r="EVU40"/>
      <c r="EVV40"/>
      <c r="EVW40"/>
      <c r="EVX40"/>
      <c r="EVY40"/>
      <c r="EVZ40"/>
      <c r="EWA40"/>
      <c r="EWB40"/>
      <c r="EWC40"/>
      <c r="EWD40"/>
      <c r="EWE40"/>
      <c r="EWF40"/>
      <c r="EWG40"/>
      <c r="EWH40"/>
      <c r="EWI40"/>
      <c r="EWJ40"/>
      <c r="EWK40"/>
      <c r="EWL40"/>
      <c r="EWM40"/>
      <c r="EWN40"/>
      <c r="EWO40"/>
      <c r="EWP40"/>
      <c r="EWQ40"/>
      <c r="EWR40"/>
      <c r="EWS40"/>
      <c r="EWT40"/>
      <c r="EWU40"/>
      <c r="EWV40"/>
      <c r="EWW40"/>
      <c r="EWX40"/>
      <c r="EWY40"/>
      <c r="EWZ40"/>
      <c r="EXA40"/>
      <c r="EXB40"/>
      <c r="EXC40"/>
      <c r="EXD40"/>
      <c r="EXE40"/>
      <c r="EXF40"/>
      <c r="EXG40"/>
      <c r="EXH40"/>
      <c r="EXI40"/>
      <c r="EXJ40"/>
      <c r="EXK40"/>
      <c r="EXL40"/>
      <c r="EXM40"/>
      <c r="EXN40"/>
      <c r="EXO40"/>
      <c r="EXP40"/>
      <c r="EXQ40"/>
      <c r="EXR40"/>
      <c r="EXS40"/>
      <c r="EXT40"/>
      <c r="EXU40"/>
      <c r="EXV40"/>
      <c r="EXW40"/>
      <c r="EXX40"/>
      <c r="EXY40"/>
      <c r="EXZ40"/>
      <c r="EYA40"/>
      <c r="EYB40"/>
      <c r="EYC40"/>
      <c r="EYD40"/>
      <c r="EYE40"/>
      <c r="EYF40"/>
      <c r="EYG40"/>
      <c r="EYH40"/>
      <c r="EYI40"/>
      <c r="EYJ40"/>
      <c r="EYK40"/>
      <c r="EYL40"/>
      <c r="EYM40"/>
      <c r="EYN40"/>
      <c r="EYO40"/>
      <c r="EYP40"/>
      <c r="EYQ40"/>
      <c r="EYR40"/>
      <c r="EYS40"/>
      <c r="EYT40"/>
      <c r="EYU40"/>
      <c r="EYV40"/>
      <c r="EYW40"/>
      <c r="EYX40"/>
      <c r="EYY40"/>
      <c r="EYZ40"/>
      <c r="EZA40"/>
      <c r="EZB40"/>
      <c r="EZC40"/>
      <c r="EZD40"/>
      <c r="EZE40"/>
      <c r="EZF40"/>
      <c r="EZG40"/>
      <c r="EZH40"/>
      <c r="EZI40"/>
      <c r="EZJ40"/>
      <c r="EZK40"/>
      <c r="EZL40"/>
      <c r="EZM40"/>
      <c r="EZN40"/>
      <c r="EZO40"/>
      <c r="EZP40"/>
      <c r="EZQ40"/>
      <c r="EZR40"/>
      <c r="EZS40"/>
      <c r="EZT40"/>
      <c r="EZU40"/>
      <c r="EZV40"/>
      <c r="EZW40"/>
      <c r="EZX40"/>
      <c r="EZY40"/>
      <c r="EZZ40"/>
      <c r="FAA40"/>
      <c r="FAB40"/>
      <c r="FAC40"/>
      <c r="FAD40"/>
      <c r="FAE40"/>
      <c r="FAF40"/>
      <c r="FAG40"/>
      <c r="FAH40"/>
      <c r="FAI40"/>
      <c r="FAJ40"/>
      <c r="FAK40"/>
      <c r="FAL40"/>
      <c r="FAM40"/>
      <c r="FAN40"/>
      <c r="FAO40"/>
      <c r="FAP40"/>
      <c r="FAQ40"/>
      <c r="FAR40"/>
      <c r="FAS40"/>
      <c r="FAT40"/>
      <c r="FAU40"/>
      <c r="FAV40"/>
      <c r="FAW40"/>
      <c r="FAX40"/>
      <c r="FAY40"/>
      <c r="FAZ40"/>
      <c r="FBA40"/>
      <c r="FBB40"/>
      <c r="FBC40"/>
      <c r="FBD40"/>
      <c r="FBE40"/>
      <c r="FBF40"/>
      <c r="FBG40"/>
      <c r="FBH40"/>
      <c r="FBI40"/>
      <c r="FBJ40"/>
      <c r="FBK40"/>
      <c r="FBL40"/>
      <c r="FBM40"/>
      <c r="FBN40"/>
      <c r="FBO40"/>
      <c r="FBP40"/>
      <c r="FBQ40"/>
      <c r="FBR40"/>
      <c r="FBS40"/>
      <c r="FBT40"/>
      <c r="FBU40"/>
      <c r="FBV40"/>
      <c r="FBW40"/>
      <c r="FBX40"/>
      <c r="FBY40"/>
      <c r="FBZ40"/>
      <c r="FCA40"/>
      <c r="FCB40"/>
      <c r="FCC40"/>
      <c r="FCD40"/>
      <c r="FCE40"/>
      <c r="FCF40"/>
      <c r="FCG40"/>
      <c r="FCH40"/>
      <c r="FCI40"/>
      <c r="FCJ40"/>
      <c r="FCK40"/>
      <c r="FCL40"/>
      <c r="FCM40"/>
      <c r="FCN40"/>
      <c r="FCO40"/>
      <c r="FCP40"/>
      <c r="FCQ40"/>
      <c r="FCR40"/>
      <c r="FCS40"/>
      <c r="FCT40"/>
      <c r="FCU40"/>
      <c r="FCV40"/>
      <c r="FCW40"/>
      <c r="FCX40"/>
      <c r="FCY40"/>
      <c r="FCZ40"/>
      <c r="FDA40"/>
      <c r="FDB40"/>
      <c r="FDC40"/>
      <c r="FDD40"/>
      <c r="FDE40"/>
      <c r="FDF40"/>
      <c r="FDG40"/>
      <c r="FDH40"/>
      <c r="FDI40"/>
      <c r="FDJ40"/>
      <c r="FDK40"/>
      <c r="FDL40"/>
      <c r="FDM40"/>
      <c r="FDN40"/>
      <c r="FDO40"/>
      <c r="FDP40"/>
      <c r="FDQ40"/>
      <c r="FDR40"/>
      <c r="FDS40"/>
      <c r="FDT40"/>
      <c r="FDU40"/>
      <c r="FDV40"/>
      <c r="FDW40"/>
      <c r="FDX40"/>
      <c r="FDY40"/>
      <c r="FDZ40"/>
      <c r="FEA40"/>
      <c r="FEB40"/>
      <c r="FEC40"/>
      <c r="FED40"/>
      <c r="FEE40"/>
      <c r="FEF40"/>
      <c r="FEG40"/>
      <c r="FEH40"/>
      <c r="FEI40"/>
      <c r="FEJ40"/>
      <c r="FEK40"/>
      <c r="FEL40"/>
      <c r="FEM40"/>
      <c r="FEN40"/>
      <c r="FEO40"/>
      <c r="FEP40"/>
      <c r="FEQ40"/>
      <c r="FER40"/>
      <c r="FES40"/>
      <c r="FET40"/>
      <c r="FEU40"/>
      <c r="FEV40"/>
      <c r="FEW40"/>
      <c r="FEX40"/>
      <c r="FEY40"/>
      <c r="FEZ40"/>
      <c r="FFA40"/>
      <c r="FFB40"/>
      <c r="FFC40"/>
      <c r="FFD40"/>
      <c r="FFE40"/>
      <c r="FFF40"/>
      <c r="FFG40"/>
      <c r="FFH40"/>
      <c r="FFI40"/>
      <c r="FFJ40"/>
      <c r="FFK40"/>
      <c r="FFL40"/>
      <c r="FFM40"/>
      <c r="FFN40"/>
      <c r="FFO40"/>
      <c r="FFP40"/>
      <c r="FFQ40"/>
      <c r="FFR40"/>
      <c r="FFS40"/>
      <c r="FFT40"/>
      <c r="FFU40"/>
      <c r="FFV40"/>
      <c r="FFW40"/>
      <c r="FFX40"/>
      <c r="FFY40"/>
      <c r="FFZ40"/>
      <c r="FGA40"/>
      <c r="FGB40"/>
      <c r="FGC40"/>
      <c r="FGD40"/>
      <c r="FGE40"/>
      <c r="FGF40"/>
      <c r="FGG40"/>
      <c r="FGH40"/>
      <c r="FGI40"/>
      <c r="FGJ40"/>
      <c r="FGK40"/>
      <c r="FGL40"/>
      <c r="FGM40"/>
      <c r="FGN40"/>
      <c r="FGO40"/>
      <c r="FGP40"/>
      <c r="FGQ40"/>
      <c r="FGR40"/>
      <c r="FGS40"/>
      <c r="FGT40"/>
      <c r="FGU40"/>
      <c r="FGV40"/>
      <c r="FGW40"/>
      <c r="FGX40"/>
      <c r="FGY40"/>
      <c r="FGZ40"/>
      <c r="FHA40"/>
      <c r="FHB40"/>
      <c r="FHC40"/>
      <c r="FHD40"/>
      <c r="FHE40"/>
      <c r="FHF40"/>
      <c r="FHG40"/>
      <c r="FHH40"/>
      <c r="FHI40"/>
      <c r="FHJ40"/>
      <c r="FHK40"/>
      <c r="FHL40"/>
      <c r="FHM40"/>
      <c r="FHN40"/>
      <c r="FHO40"/>
      <c r="FHP40"/>
      <c r="FHQ40"/>
      <c r="FHR40"/>
      <c r="FHS40"/>
      <c r="FHT40"/>
      <c r="FHU40"/>
      <c r="FHV40"/>
      <c r="FHW40"/>
      <c r="FHX40"/>
      <c r="FHY40"/>
      <c r="FHZ40"/>
      <c r="FIA40"/>
      <c r="FIB40"/>
      <c r="FIC40"/>
      <c r="FID40"/>
      <c r="FIE40"/>
      <c r="FIF40"/>
      <c r="FIG40"/>
      <c r="FIH40"/>
      <c r="FII40"/>
      <c r="FIJ40"/>
      <c r="FIK40"/>
      <c r="FIL40"/>
      <c r="FIM40"/>
      <c r="FIN40"/>
      <c r="FIO40"/>
      <c r="FIP40"/>
      <c r="FIQ40"/>
      <c r="FIR40"/>
      <c r="FIS40"/>
      <c r="FIT40"/>
      <c r="FIU40"/>
      <c r="FIV40"/>
      <c r="FIW40"/>
      <c r="FIX40"/>
      <c r="FIY40"/>
      <c r="FIZ40"/>
      <c r="FJA40"/>
      <c r="FJB40"/>
      <c r="FJC40"/>
      <c r="FJD40"/>
      <c r="FJE40"/>
      <c r="FJF40"/>
      <c r="FJG40"/>
      <c r="FJH40"/>
      <c r="FJI40"/>
      <c r="FJJ40"/>
      <c r="FJK40"/>
      <c r="FJL40"/>
      <c r="FJM40"/>
      <c r="FJN40"/>
      <c r="FJO40"/>
      <c r="FJP40"/>
      <c r="FJQ40"/>
      <c r="FJR40"/>
      <c r="FJS40"/>
      <c r="FJT40"/>
      <c r="FJU40"/>
      <c r="FJV40"/>
      <c r="FJW40"/>
      <c r="FJX40"/>
      <c r="FJY40"/>
      <c r="FJZ40"/>
      <c r="FKA40"/>
      <c r="FKB40"/>
      <c r="FKC40"/>
      <c r="FKD40"/>
      <c r="FKE40"/>
      <c r="FKF40"/>
      <c r="FKG40"/>
      <c r="FKH40"/>
      <c r="FKI40"/>
      <c r="FKJ40"/>
      <c r="FKK40"/>
      <c r="FKL40"/>
      <c r="FKM40"/>
      <c r="FKN40"/>
      <c r="FKO40"/>
      <c r="FKP40"/>
      <c r="FKQ40"/>
      <c r="FKR40"/>
      <c r="FKS40"/>
      <c r="FKT40"/>
      <c r="FKU40"/>
      <c r="FKV40"/>
      <c r="FKW40"/>
      <c r="FKX40"/>
      <c r="FKY40"/>
      <c r="FKZ40"/>
      <c r="FLA40"/>
      <c r="FLB40"/>
      <c r="FLC40"/>
      <c r="FLD40"/>
      <c r="FLE40"/>
      <c r="FLF40"/>
      <c r="FLG40"/>
      <c r="FLH40"/>
      <c r="FLI40"/>
      <c r="FLJ40"/>
      <c r="FLK40"/>
      <c r="FLL40"/>
      <c r="FLM40"/>
      <c r="FLN40"/>
      <c r="FLO40"/>
      <c r="FLP40"/>
      <c r="FLQ40"/>
      <c r="FLR40"/>
      <c r="FLS40"/>
      <c r="FLT40"/>
      <c r="FLU40"/>
      <c r="FLV40"/>
      <c r="FLW40"/>
      <c r="FLX40"/>
      <c r="FLY40"/>
      <c r="FLZ40"/>
      <c r="FMA40"/>
      <c r="FMB40"/>
      <c r="FMC40"/>
      <c r="FMD40"/>
      <c r="FME40"/>
      <c r="FMF40"/>
      <c r="FMG40"/>
      <c r="FMH40"/>
      <c r="FMI40"/>
      <c r="FMJ40"/>
      <c r="FMK40"/>
      <c r="FML40"/>
      <c r="FMM40"/>
      <c r="FMN40"/>
      <c r="FMO40"/>
      <c r="FMP40"/>
      <c r="FMQ40"/>
      <c r="FMR40"/>
      <c r="FMS40"/>
      <c r="FMT40"/>
      <c r="FMU40"/>
      <c r="FMV40"/>
      <c r="FMW40"/>
      <c r="FMX40"/>
      <c r="FMY40"/>
      <c r="FMZ40"/>
      <c r="FNA40"/>
      <c r="FNB40"/>
      <c r="FNC40"/>
      <c r="FND40"/>
      <c r="FNE40"/>
      <c r="FNF40"/>
      <c r="FNG40"/>
      <c r="FNH40"/>
      <c r="FNI40"/>
      <c r="FNJ40"/>
      <c r="FNK40"/>
      <c r="FNL40"/>
      <c r="FNM40"/>
      <c r="FNN40"/>
      <c r="FNO40"/>
      <c r="FNP40"/>
      <c r="FNQ40"/>
      <c r="FNR40"/>
      <c r="FNS40"/>
      <c r="FNT40"/>
      <c r="FNU40"/>
      <c r="FNV40"/>
      <c r="FNW40"/>
      <c r="FNX40"/>
      <c r="FNY40"/>
      <c r="FNZ40"/>
      <c r="FOA40"/>
      <c r="FOB40"/>
      <c r="FOC40"/>
      <c r="FOD40"/>
      <c r="FOE40"/>
      <c r="FOF40"/>
      <c r="FOG40"/>
      <c r="FOH40"/>
      <c r="FOI40"/>
      <c r="FOJ40"/>
      <c r="FOK40"/>
      <c r="FOL40"/>
      <c r="FOM40"/>
      <c r="FON40"/>
      <c r="FOO40"/>
      <c r="FOP40"/>
      <c r="FOQ40"/>
      <c r="FOR40"/>
      <c r="FOS40"/>
      <c r="FOT40"/>
      <c r="FOU40"/>
      <c r="FOV40"/>
      <c r="FOW40"/>
      <c r="FOX40"/>
      <c r="FOY40"/>
      <c r="FOZ40"/>
      <c r="FPA40"/>
      <c r="FPB40"/>
      <c r="FPC40"/>
      <c r="FPD40"/>
      <c r="FPE40"/>
      <c r="FPF40"/>
      <c r="FPG40"/>
      <c r="FPH40"/>
      <c r="FPI40"/>
      <c r="FPJ40"/>
      <c r="FPK40"/>
      <c r="FPL40"/>
      <c r="FPM40"/>
      <c r="FPN40"/>
      <c r="FPO40"/>
      <c r="FPP40"/>
      <c r="FPQ40"/>
      <c r="FPR40"/>
      <c r="FPS40"/>
      <c r="FPT40"/>
      <c r="FPU40"/>
      <c r="FPV40"/>
      <c r="FPW40"/>
      <c r="FPX40"/>
      <c r="FPY40"/>
      <c r="FPZ40"/>
      <c r="FQA40"/>
      <c r="FQB40"/>
      <c r="FQC40"/>
      <c r="FQD40"/>
      <c r="FQE40"/>
      <c r="FQF40"/>
      <c r="FQG40"/>
      <c r="FQH40"/>
      <c r="FQI40"/>
      <c r="FQJ40"/>
      <c r="FQK40"/>
      <c r="FQL40"/>
      <c r="FQM40"/>
      <c r="FQN40"/>
      <c r="FQO40"/>
      <c r="FQP40"/>
      <c r="FQQ40"/>
      <c r="FQR40"/>
      <c r="FQS40"/>
      <c r="FQT40"/>
      <c r="FQU40"/>
      <c r="FQV40"/>
      <c r="FQW40"/>
      <c r="FQX40"/>
      <c r="FQY40"/>
      <c r="FQZ40"/>
      <c r="FRA40"/>
      <c r="FRB40"/>
      <c r="FRC40"/>
      <c r="FRD40"/>
      <c r="FRE40"/>
      <c r="FRF40"/>
      <c r="FRG40"/>
      <c r="FRH40"/>
      <c r="FRI40"/>
      <c r="FRJ40"/>
      <c r="FRK40"/>
      <c r="FRL40"/>
      <c r="FRM40"/>
      <c r="FRN40"/>
      <c r="FRO40"/>
      <c r="FRP40"/>
      <c r="FRQ40"/>
      <c r="FRR40"/>
      <c r="FRS40"/>
      <c r="FRT40"/>
      <c r="FRU40"/>
      <c r="FRV40"/>
      <c r="FRW40"/>
      <c r="FRX40"/>
      <c r="FRY40"/>
      <c r="FRZ40"/>
      <c r="FSA40"/>
      <c r="FSB40"/>
      <c r="FSC40"/>
      <c r="FSD40"/>
      <c r="FSE40"/>
      <c r="FSF40"/>
      <c r="FSG40"/>
      <c r="FSH40"/>
      <c r="FSI40"/>
      <c r="FSJ40"/>
      <c r="FSK40"/>
      <c r="FSL40"/>
      <c r="FSM40"/>
      <c r="FSN40"/>
      <c r="FSO40"/>
      <c r="FSP40"/>
      <c r="FSQ40"/>
      <c r="FSR40"/>
      <c r="FSS40"/>
      <c r="FST40"/>
      <c r="FSU40"/>
      <c r="FSV40"/>
      <c r="FSW40"/>
      <c r="FSX40"/>
      <c r="FSY40"/>
      <c r="FSZ40"/>
      <c r="FTA40"/>
      <c r="FTB40"/>
      <c r="FTC40"/>
      <c r="FTD40"/>
      <c r="FTE40"/>
      <c r="FTF40"/>
      <c r="FTG40"/>
      <c r="FTH40"/>
      <c r="FTI40"/>
      <c r="FTJ40"/>
      <c r="FTK40"/>
      <c r="FTL40"/>
      <c r="FTM40"/>
      <c r="FTN40"/>
      <c r="FTO40"/>
      <c r="FTP40"/>
      <c r="FTQ40"/>
      <c r="FTR40"/>
      <c r="FTS40"/>
      <c r="FTT40"/>
      <c r="FTU40"/>
      <c r="FTV40"/>
      <c r="FTW40"/>
      <c r="FTX40"/>
      <c r="FTY40"/>
      <c r="FTZ40"/>
      <c r="FUA40"/>
      <c r="FUB40"/>
      <c r="FUC40"/>
      <c r="FUD40"/>
      <c r="FUE40"/>
      <c r="FUF40"/>
      <c r="FUG40"/>
      <c r="FUH40"/>
      <c r="FUI40"/>
      <c r="FUJ40"/>
      <c r="FUK40"/>
      <c r="FUL40"/>
      <c r="FUM40"/>
      <c r="FUN40"/>
      <c r="FUO40"/>
      <c r="FUP40"/>
      <c r="FUQ40"/>
      <c r="FUR40"/>
      <c r="FUS40"/>
      <c r="FUT40"/>
      <c r="FUU40"/>
      <c r="FUV40"/>
      <c r="FUW40"/>
      <c r="FUX40"/>
      <c r="FUY40"/>
      <c r="FUZ40"/>
      <c r="FVA40"/>
      <c r="FVB40"/>
      <c r="FVC40"/>
      <c r="FVD40"/>
      <c r="FVE40"/>
      <c r="FVF40"/>
      <c r="FVG40"/>
      <c r="FVH40"/>
      <c r="FVI40"/>
      <c r="FVJ40"/>
      <c r="FVK40"/>
      <c r="FVL40"/>
      <c r="FVM40"/>
      <c r="FVN40"/>
      <c r="FVO40"/>
      <c r="FVP40"/>
      <c r="FVQ40"/>
      <c r="FVR40"/>
      <c r="FVS40"/>
      <c r="FVT40"/>
      <c r="FVU40"/>
      <c r="FVV40"/>
      <c r="FVW40"/>
      <c r="FVX40"/>
      <c r="FVY40"/>
      <c r="FVZ40"/>
      <c r="FWA40"/>
      <c r="FWB40"/>
      <c r="FWC40"/>
      <c r="FWD40"/>
      <c r="FWE40"/>
      <c r="FWF40"/>
      <c r="FWG40"/>
      <c r="FWH40"/>
      <c r="FWI40"/>
      <c r="FWJ40"/>
      <c r="FWK40"/>
      <c r="FWL40"/>
      <c r="FWM40"/>
      <c r="FWN40"/>
      <c r="FWO40"/>
      <c r="FWP40"/>
      <c r="FWQ40"/>
      <c r="FWR40"/>
      <c r="FWS40"/>
      <c r="FWT40"/>
      <c r="FWU40"/>
      <c r="FWV40"/>
      <c r="FWW40"/>
      <c r="FWX40"/>
      <c r="FWY40"/>
      <c r="FWZ40"/>
      <c r="FXA40"/>
      <c r="FXB40"/>
      <c r="FXC40"/>
      <c r="FXD40"/>
      <c r="FXE40"/>
      <c r="FXF40"/>
      <c r="FXG40"/>
      <c r="FXH40"/>
      <c r="FXI40"/>
      <c r="FXJ40"/>
      <c r="FXK40"/>
      <c r="FXL40"/>
      <c r="FXM40"/>
      <c r="FXN40"/>
      <c r="FXO40"/>
      <c r="FXP40"/>
      <c r="FXQ40"/>
      <c r="FXR40"/>
      <c r="FXS40"/>
      <c r="FXT40"/>
      <c r="FXU40"/>
      <c r="FXV40"/>
      <c r="FXW40"/>
      <c r="FXX40"/>
      <c r="FXY40"/>
      <c r="FXZ40"/>
      <c r="FYA40"/>
      <c r="FYB40"/>
      <c r="FYC40"/>
      <c r="FYD40"/>
      <c r="FYE40"/>
      <c r="FYF40"/>
      <c r="FYG40"/>
      <c r="FYH40"/>
      <c r="FYI40"/>
      <c r="FYJ40"/>
      <c r="FYK40"/>
      <c r="FYL40"/>
      <c r="FYM40"/>
      <c r="FYN40"/>
      <c r="FYO40"/>
      <c r="FYP40"/>
      <c r="FYQ40"/>
      <c r="FYR40"/>
      <c r="FYS40"/>
      <c r="FYT40"/>
      <c r="FYU40"/>
      <c r="FYV40"/>
      <c r="FYW40"/>
      <c r="FYX40"/>
      <c r="FYY40"/>
      <c r="FYZ40"/>
      <c r="FZA40"/>
      <c r="FZB40"/>
      <c r="FZC40"/>
      <c r="FZD40"/>
      <c r="FZE40"/>
      <c r="FZF40"/>
      <c r="FZG40"/>
      <c r="FZH40"/>
      <c r="FZI40"/>
      <c r="FZJ40"/>
      <c r="FZK40"/>
      <c r="FZL40"/>
      <c r="FZM40"/>
      <c r="FZN40"/>
      <c r="FZO40"/>
      <c r="FZP40"/>
      <c r="FZQ40"/>
      <c r="FZR40"/>
      <c r="FZS40"/>
      <c r="FZT40"/>
      <c r="FZU40"/>
      <c r="FZV40"/>
      <c r="FZW40"/>
      <c r="FZX40"/>
      <c r="FZY40"/>
      <c r="FZZ40"/>
      <c r="GAA40"/>
      <c r="GAB40"/>
      <c r="GAC40"/>
      <c r="GAD40"/>
      <c r="GAE40"/>
      <c r="GAF40"/>
      <c r="GAG40"/>
      <c r="GAH40"/>
      <c r="GAI40"/>
      <c r="GAJ40"/>
      <c r="GAK40"/>
      <c r="GAL40"/>
      <c r="GAM40"/>
      <c r="GAN40"/>
      <c r="GAO40"/>
      <c r="GAP40"/>
      <c r="GAQ40"/>
      <c r="GAR40"/>
      <c r="GAS40"/>
      <c r="GAT40"/>
      <c r="GAU40"/>
      <c r="GAV40"/>
      <c r="GAW40"/>
      <c r="GAX40"/>
      <c r="GAY40"/>
      <c r="GAZ40"/>
      <c r="GBA40"/>
      <c r="GBB40"/>
      <c r="GBC40"/>
      <c r="GBD40"/>
      <c r="GBE40"/>
      <c r="GBF40"/>
      <c r="GBG40"/>
      <c r="GBH40"/>
      <c r="GBI40"/>
      <c r="GBJ40"/>
      <c r="GBK40"/>
      <c r="GBL40"/>
      <c r="GBM40"/>
      <c r="GBN40"/>
      <c r="GBO40"/>
      <c r="GBP40"/>
      <c r="GBQ40"/>
      <c r="GBR40"/>
      <c r="GBS40"/>
      <c r="GBT40"/>
      <c r="GBU40"/>
      <c r="GBV40"/>
      <c r="GBW40"/>
      <c r="GBX40"/>
      <c r="GBY40"/>
      <c r="GBZ40"/>
      <c r="GCA40"/>
      <c r="GCB40"/>
      <c r="GCC40"/>
      <c r="GCD40"/>
      <c r="GCE40"/>
      <c r="GCF40"/>
      <c r="GCG40"/>
      <c r="GCH40"/>
      <c r="GCI40"/>
      <c r="GCJ40"/>
      <c r="GCK40"/>
      <c r="GCL40"/>
      <c r="GCM40"/>
      <c r="GCN40"/>
      <c r="GCO40"/>
      <c r="GCP40"/>
      <c r="GCQ40"/>
      <c r="GCR40"/>
      <c r="GCS40"/>
      <c r="GCT40"/>
      <c r="GCU40"/>
      <c r="GCV40"/>
      <c r="GCW40"/>
      <c r="GCX40"/>
      <c r="GCY40"/>
      <c r="GCZ40"/>
      <c r="GDA40"/>
      <c r="GDB40"/>
      <c r="GDC40"/>
      <c r="GDD40"/>
      <c r="GDE40"/>
      <c r="GDF40"/>
      <c r="GDG40"/>
      <c r="GDH40"/>
      <c r="GDI40"/>
      <c r="GDJ40"/>
      <c r="GDK40"/>
      <c r="GDL40"/>
      <c r="GDM40"/>
      <c r="GDN40"/>
      <c r="GDO40"/>
      <c r="GDP40"/>
      <c r="GDQ40"/>
      <c r="GDR40"/>
      <c r="GDS40"/>
      <c r="GDT40"/>
      <c r="GDU40"/>
      <c r="GDV40"/>
      <c r="GDW40"/>
      <c r="GDX40"/>
      <c r="GDY40"/>
      <c r="GDZ40"/>
      <c r="GEA40"/>
      <c r="GEB40"/>
      <c r="GEC40"/>
      <c r="GED40"/>
      <c r="GEE40"/>
      <c r="GEF40"/>
      <c r="GEG40"/>
      <c r="GEH40"/>
      <c r="GEI40"/>
      <c r="GEJ40"/>
      <c r="GEK40"/>
      <c r="GEL40"/>
      <c r="GEM40"/>
      <c r="GEN40"/>
      <c r="GEO40"/>
      <c r="GEP40"/>
      <c r="GEQ40"/>
      <c r="GER40"/>
      <c r="GES40"/>
      <c r="GET40"/>
      <c r="GEU40"/>
      <c r="GEV40"/>
      <c r="GEW40"/>
      <c r="GEX40"/>
      <c r="GEY40"/>
      <c r="GEZ40"/>
      <c r="GFA40"/>
      <c r="GFB40"/>
      <c r="GFC40"/>
      <c r="GFD40"/>
      <c r="GFE40"/>
      <c r="GFF40"/>
      <c r="GFG40"/>
      <c r="GFH40"/>
      <c r="GFI40"/>
      <c r="GFJ40"/>
      <c r="GFK40"/>
      <c r="GFL40"/>
      <c r="GFM40"/>
      <c r="GFN40"/>
      <c r="GFO40"/>
      <c r="GFP40"/>
      <c r="GFQ40"/>
      <c r="GFR40"/>
      <c r="GFS40"/>
      <c r="GFT40"/>
      <c r="GFU40"/>
      <c r="GFV40"/>
      <c r="GFW40"/>
      <c r="GFX40"/>
      <c r="GFY40"/>
      <c r="GFZ40"/>
      <c r="GGA40"/>
      <c r="GGB40"/>
      <c r="GGC40"/>
      <c r="GGD40"/>
      <c r="GGE40"/>
      <c r="GGF40"/>
      <c r="GGG40"/>
      <c r="GGH40"/>
      <c r="GGI40"/>
      <c r="GGJ40"/>
      <c r="GGK40"/>
      <c r="GGL40"/>
      <c r="GGM40"/>
      <c r="GGN40"/>
      <c r="GGO40"/>
      <c r="GGP40"/>
      <c r="GGQ40"/>
      <c r="GGR40"/>
      <c r="GGS40"/>
      <c r="GGT40"/>
      <c r="GGU40"/>
      <c r="GGV40"/>
      <c r="GGW40"/>
      <c r="GGX40"/>
      <c r="GGY40"/>
      <c r="GGZ40"/>
      <c r="GHA40"/>
      <c r="GHB40"/>
      <c r="GHC40"/>
      <c r="GHD40"/>
      <c r="GHE40"/>
      <c r="GHF40"/>
      <c r="GHG40"/>
      <c r="GHH40"/>
      <c r="GHI40"/>
      <c r="GHJ40"/>
      <c r="GHK40"/>
      <c r="GHL40"/>
      <c r="GHM40"/>
      <c r="GHN40"/>
      <c r="GHO40"/>
      <c r="GHP40"/>
      <c r="GHQ40"/>
      <c r="GHR40"/>
      <c r="GHS40"/>
      <c r="GHT40"/>
      <c r="GHU40"/>
      <c r="GHV40"/>
      <c r="GHW40"/>
      <c r="GHX40"/>
      <c r="GHY40"/>
      <c r="GHZ40"/>
      <c r="GIA40"/>
      <c r="GIB40"/>
      <c r="GIC40"/>
      <c r="GID40"/>
      <c r="GIE40"/>
      <c r="GIF40"/>
      <c r="GIG40"/>
      <c r="GIH40"/>
      <c r="GII40"/>
      <c r="GIJ40"/>
      <c r="GIK40"/>
      <c r="GIL40"/>
      <c r="GIM40"/>
      <c r="GIN40"/>
      <c r="GIO40"/>
      <c r="GIP40"/>
      <c r="GIQ40"/>
      <c r="GIR40"/>
      <c r="GIS40"/>
      <c r="GIT40"/>
      <c r="GIU40"/>
      <c r="GIV40"/>
      <c r="GIW40"/>
      <c r="GIX40"/>
      <c r="GIY40"/>
      <c r="GIZ40"/>
      <c r="GJA40"/>
      <c r="GJB40"/>
      <c r="GJC40"/>
      <c r="GJD40"/>
      <c r="GJE40"/>
      <c r="GJF40"/>
      <c r="GJG40"/>
      <c r="GJH40"/>
      <c r="GJI40"/>
      <c r="GJJ40"/>
      <c r="GJK40"/>
      <c r="GJL40"/>
      <c r="GJM40"/>
      <c r="GJN40"/>
      <c r="GJO40"/>
      <c r="GJP40"/>
      <c r="GJQ40"/>
      <c r="GJR40"/>
      <c r="GJS40"/>
      <c r="GJT40"/>
      <c r="GJU40"/>
      <c r="GJV40"/>
      <c r="GJW40"/>
      <c r="GJX40"/>
      <c r="GJY40"/>
      <c r="GJZ40"/>
      <c r="GKA40"/>
      <c r="GKB40"/>
      <c r="GKC40"/>
      <c r="GKD40"/>
      <c r="GKE40"/>
      <c r="GKF40"/>
      <c r="GKG40"/>
      <c r="GKH40"/>
      <c r="GKI40"/>
      <c r="GKJ40"/>
      <c r="GKK40"/>
      <c r="GKL40"/>
      <c r="GKM40"/>
      <c r="GKN40"/>
      <c r="GKO40"/>
      <c r="GKP40"/>
      <c r="GKQ40"/>
      <c r="GKR40"/>
      <c r="GKS40"/>
      <c r="GKT40"/>
      <c r="GKU40"/>
      <c r="GKV40"/>
      <c r="GKW40"/>
      <c r="GKX40"/>
      <c r="GKY40"/>
      <c r="GKZ40"/>
      <c r="GLA40"/>
      <c r="GLB40"/>
      <c r="GLC40"/>
      <c r="GLD40"/>
      <c r="GLE40"/>
      <c r="GLF40"/>
      <c r="GLG40"/>
      <c r="GLH40"/>
      <c r="GLI40"/>
      <c r="GLJ40"/>
      <c r="GLK40"/>
      <c r="GLL40"/>
      <c r="GLM40"/>
      <c r="GLN40"/>
      <c r="GLO40"/>
      <c r="GLP40"/>
      <c r="GLQ40"/>
      <c r="GLR40"/>
      <c r="GLS40"/>
      <c r="GLT40"/>
      <c r="GLU40"/>
      <c r="GLV40"/>
      <c r="GLW40"/>
      <c r="GLX40"/>
      <c r="GLY40"/>
      <c r="GLZ40"/>
      <c r="GMA40"/>
      <c r="GMB40"/>
      <c r="GMC40"/>
      <c r="GMD40"/>
      <c r="GME40"/>
      <c r="GMF40"/>
      <c r="GMG40"/>
      <c r="GMH40"/>
      <c r="GMI40"/>
      <c r="GMJ40"/>
      <c r="GMK40"/>
      <c r="GML40"/>
      <c r="GMM40"/>
      <c r="GMN40"/>
      <c r="GMO40"/>
      <c r="GMP40"/>
      <c r="GMQ40"/>
      <c r="GMR40"/>
      <c r="GMS40"/>
      <c r="GMT40"/>
      <c r="GMU40"/>
      <c r="GMV40"/>
      <c r="GMW40"/>
      <c r="GMX40"/>
      <c r="GMY40"/>
      <c r="GMZ40"/>
      <c r="GNA40"/>
      <c r="GNB40"/>
      <c r="GNC40"/>
      <c r="GND40"/>
      <c r="GNE40"/>
      <c r="GNF40"/>
      <c r="GNG40"/>
      <c r="GNH40"/>
      <c r="GNI40"/>
      <c r="GNJ40"/>
      <c r="GNK40"/>
      <c r="GNL40"/>
      <c r="GNM40"/>
      <c r="GNN40"/>
      <c r="GNO40"/>
      <c r="GNP40"/>
      <c r="GNQ40"/>
      <c r="GNR40"/>
      <c r="GNS40"/>
      <c r="GNT40"/>
      <c r="GNU40"/>
      <c r="GNV40"/>
      <c r="GNW40"/>
      <c r="GNX40"/>
      <c r="GNY40"/>
      <c r="GNZ40"/>
      <c r="GOA40"/>
      <c r="GOB40"/>
      <c r="GOC40"/>
      <c r="GOD40"/>
      <c r="GOE40"/>
      <c r="GOF40"/>
      <c r="GOG40"/>
      <c r="GOH40"/>
      <c r="GOI40"/>
      <c r="GOJ40"/>
      <c r="GOK40"/>
      <c r="GOL40"/>
      <c r="GOM40"/>
      <c r="GON40"/>
      <c r="GOO40"/>
      <c r="GOP40"/>
      <c r="GOQ40"/>
      <c r="GOR40"/>
      <c r="GOS40"/>
      <c r="GOT40"/>
      <c r="GOU40"/>
      <c r="GOV40"/>
      <c r="GOW40"/>
      <c r="GOX40"/>
      <c r="GOY40"/>
      <c r="GOZ40"/>
      <c r="GPA40"/>
      <c r="GPB40"/>
      <c r="GPC40"/>
      <c r="GPD40"/>
      <c r="GPE40"/>
      <c r="GPF40"/>
      <c r="GPG40"/>
      <c r="GPH40"/>
      <c r="GPI40"/>
      <c r="GPJ40"/>
      <c r="GPK40"/>
      <c r="GPL40"/>
      <c r="GPM40"/>
      <c r="GPN40"/>
      <c r="GPO40"/>
      <c r="GPP40"/>
      <c r="GPQ40"/>
      <c r="GPR40"/>
      <c r="GPS40"/>
      <c r="GPT40"/>
      <c r="GPU40"/>
      <c r="GPV40"/>
      <c r="GPW40"/>
      <c r="GPX40"/>
      <c r="GPY40"/>
      <c r="GPZ40"/>
      <c r="GQA40"/>
      <c r="GQB40"/>
      <c r="GQC40"/>
      <c r="GQD40"/>
      <c r="GQE40"/>
      <c r="GQF40"/>
      <c r="GQG40"/>
      <c r="GQH40"/>
      <c r="GQI40"/>
      <c r="GQJ40"/>
      <c r="GQK40"/>
      <c r="GQL40"/>
      <c r="GQM40"/>
      <c r="GQN40"/>
      <c r="GQO40"/>
      <c r="GQP40"/>
      <c r="GQQ40"/>
      <c r="GQR40"/>
      <c r="GQS40"/>
      <c r="GQT40"/>
      <c r="GQU40"/>
      <c r="GQV40"/>
      <c r="GQW40"/>
      <c r="GQX40"/>
      <c r="GQY40"/>
      <c r="GQZ40"/>
      <c r="GRA40"/>
      <c r="GRB40"/>
      <c r="GRC40"/>
      <c r="GRD40"/>
      <c r="GRE40"/>
      <c r="GRF40"/>
      <c r="GRG40"/>
      <c r="GRH40"/>
      <c r="GRI40"/>
      <c r="GRJ40"/>
      <c r="GRK40"/>
      <c r="GRL40"/>
      <c r="GRM40"/>
      <c r="GRN40"/>
      <c r="GRO40"/>
      <c r="GRP40"/>
      <c r="GRQ40"/>
      <c r="GRR40"/>
      <c r="GRS40"/>
      <c r="GRT40"/>
      <c r="GRU40"/>
      <c r="GRV40"/>
      <c r="GRW40"/>
      <c r="GRX40"/>
      <c r="GRY40"/>
      <c r="GRZ40"/>
      <c r="GSA40"/>
      <c r="GSB40"/>
      <c r="GSC40"/>
      <c r="GSD40"/>
      <c r="GSE40"/>
      <c r="GSF40"/>
      <c r="GSG40"/>
      <c r="GSH40"/>
      <c r="GSI40"/>
      <c r="GSJ40"/>
      <c r="GSK40"/>
      <c r="GSL40"/>
      <c r="GSM40"/>
      <c r="GSN40"/>
      <c r="GSO40"/>
      <c r="GSP40"/>
      <c r="GSQ40"/>
      <c r="GSR40"/>
      <c r="GSS40"/>
      <c r="GST40"/>
      <c r="GSU40"/>
      <c r="GSV40"/>
      <c r="GSW40"/>
      <c r="GSX40"/>
      <c r="GSY40"/>
      <c r="GSZ40"/>
      <c r="GTA40"/>
      <c r="GTB40"/>
      <c r="GTC40"/>
      <c r="GTD40"/>
      <c r="GTE40"/>
      <c r="GTF40"/>
      <c r="GTG40"/>
      <c r="GTH40"/>
      <c r="GTI40"/>
      <c r="GTJ40"/>
      <c r="GTK40"/>
      <c r="GTL40"/>
      <c r="GTM40"/>
      <c r="GTN40"/>
      <c r="GTO40"/>
      <c r="GTP40"/>
      <c r="GTQ40"/>
      <c r="GTR40"/>
      <c r="GTS40"/>
      <c r="GTT40"/>
      <c r="GTU40"/>
      <c r="GTV40"/>
      <c r="GTW40"/>
      <c r="GTX40"/>
      <c r="GTY40"/>
      <c r="GTZ40"/>
      <c r="GUA40"/>
      <c r="GUB40"/>
      <c r="GUC40"/>
      <c r="GUD40"/>
      <c r="GUE40"/>
      <c r="GUF40"/>
      <c r="GUG40"/>
      <c r="GUH40"/>
      <c r="GUI40"/>
      <c r="GUJ40"/>
      <c r="GUK40"/>
      <c r="GUL40"/>
      <c r="GUM40"/>
      <c r="GUN40"/>
      <c r="GUO40"/>
      <c r="GUP40"/>
      <c r="GUQ40"/>
      <c r="GUR40"/>
      <c r="GUS40"/>
      <c r="GUT40"/>
      <c r="GUU40"/>
      <c r="GUV40"/>
      <c r="GUW40"/>
      <c r="GUX40"/>
      <c r="GUY40"/>
      <c r="GUZ40"/>
      <c r="GVA40"/>
      <c r="GVB40"/>
      <c r="GVC40"/>
      <c r="GVD40"/>
      <c r="GVE40"/>
      <c r="GVF40"/>
      <c r="GVG40"/>
      <c r="GVH40"/>
      <c r="GVI40"/>
      <c r="GVJ40"/>
      <c r="GVK40"/>
      <c r="GVL40"/>
      <c r="GVM40"/>
      <c r="GVN40"/>
      <c r="GVO40"/>
      <c r="GVP40"/>
      <c r="GVQ40"/>
      <c r="GVR40"/>
      <c r="GVS40"/>
      <c r="GVT40"/>
      <c r="GVU40"/>
      <c r="GVV40"/>
      <c r="GVW40"/>
      <c r="GVX40"/>
      <c r="GVY40"/>
      <c r="GVZ40"/>
      <c r="GWA40"/>
      <c r="GWB40"/>
      <c r="GWC40"/>
      <c r="GWD40"/>
      <c r="GWE40"/>
      <c r="GWF40"/>
      <c r="GWG40"/>
      <c r="GWH40"/>
      <c r="GWI40"/>
      <c r="GWJ40"/>
      <c r="GWK40"/>
      <c r="GWL40"/>
      <c r="GWM40"/>
      <c r="GWN40"/>
      <c r="GWO40"/>
      <c r="GWP40"/>
      <c r="GWQ40"/>
      <c r="GWR40"/>
      <c r="GWS40"/>
      <c r="GWT40"/>
      <c r="GWU40"/>
      <c r="GWV40"/>
      <c r="GWW40"/>
      <c r="GWX40"/>
      <c r="GWY40"/>
      <c r="GWZ40"/>
      <c r="GXA40"/>
      <c r="GXB40"/>
      <c r="GXC40"/>
      <c r="GXD40"/>
      <c r="GXE40"/>
      <c r="GXF40"/>
      <c r="GXG40"/>
      <c r="GXH40"/>
      <c r="GXI40"/>
      <c r="GXJ40"/>
      <c r="GXK40"/>
      <c r="GXL40"/>
      <c r="GXM40"/>
      <c r="GXN40"/>
      <c r="GXO40"/>
      <c r="GXP40"/>
      <c r="GXQ40"/>
      <c r="GXR40"/>
      <c r="GXS40"/>
      <c r="GXT40"/>
      <c r="GXU40"/>
      <c r="GXV40"/>
      <c r="GXW40"/>
      <c r="GXX40"/>
      <c r="GXY40"/>
      <c r="GXZ40"/>
      <c r="GYA40"/>
      <c r="GYB40"/>
      <c r="GYC40"/>
      <c r="GYD40"/>
      <c r="GYE40"/>
      <c r="GYF40"/>
      <c r="GYG40"/>
      <c r="GYH40"/>
      <c r="GYI40"/>
      <c r="GYJ40"/>
      <c r="GYK40"/>
      <c r="GYL40"/>
      <c r="GYM40"/>
      <c r="GYN40"/>
      <c r="GYO40"/>
      <c r="GYP40"/>
      <c r="GYQ40"/>
      <c r="GYR40"/>
      <c r="GYS40"/>
      <c r="GYT40"/>
      <c r="GYU40"/>
      <c r="GYV40"/>
      <c r="GYW40"/>
      <c r="GYX40"/>
      <c r="GYY40"/>
      <c r="GYZ40"/>
      <c r="GZA40"/>
      <c r="GZB40"/>
      <c r="GZC40"/>
      <c r="GZD40"/>
      <c r="GZE40"/>
      <c r="GZF40"/>
      <c r="GZG40"/>
      <c r="GZH40"/>
      <c r="GZI40"/>
      <c r="GZJ40"/>
      <c r="GZK40"/>
      <c r="GZL40"/>
      <c r="GZM40"/>
      <c r="GZN40"/>
      <c r="GZO40"/>
      <c r="GZP40"/>
      <c r="GZQ40"/>
      <c r="GZR40"/>
      <c r="GZS40"/>
      <c r="GZT40"/>
      <c r="GZU40"/>
      <c r="GZV40"/>
      <c r="GZW40"/>
      <c r="GZX40"/>
      <c r="GZY40"/>
      <c r="GZZ40"/>
      <c r="HAA40"/>
      <c r="HAB40"/>
      <c r="HAC40"/>
      <c r="HAD40"/>
      <c r="HAE40"/>
      <c r="HAF40"/>
      <c r="HAG40"/>
      <c r="HAH40"/>
      <c r="HAI40"/>
      <c r="HAJ40"/>
      <c r="HAK40"/>
      <c r="HAL40"/>
      <c r="HAM40"/>
      <c r="HAN40"/>
      <c r="HAO40"/>
      <c r="HAP40"/>
      <c r="HAQ40"/>
      <c r="HAR40"/>
      <c r="HAS40"/>
      <c r="HAT40"/>
      <c r="HAU40"/>
      <c r="HAV40"/>
      <c r="HAW40"/>
      <c r="HAX40"/>
      <c r="HAY40"/>
      <c r="HAZ40"/>
      <c r="HBA40"/>
      <c r="HBB40"/>
      <c r="HBC40"/>
      <c r="HBD40"/>
      <c r="HBE40"/>
      <c r="HBF40"/>
      <c r="HBG40"/>
      <c r="HBH40"/>
      <c r="HBI40"/>
      <c r="HBJ40"/>
      <c r="HBK40"/>
      <c r="HBL40"/>
      <c r="HBM40"/>
      <c r="HBN40"/>
      <c r="HBO40"/>
      <c r="HBP40"/>
      <c r="HBQ40"/>
      <c r="HBR40"/>
      <c r="HBS40"/>
      <c r="HBT40"/>
      <c r="HBU40"/>
      <c r="HBV40"/>
      <c r="HBW40"/>
      <c r="HBX40"/>
      <c r="HBY40"/>
      <c r="HBZ40"/>
      <c r="HCA40"/>
      <c r="HCB40"/>
      <c r="HCC40"/>
      <c r="HCD40"/>
      <c r="HCE40"/>
      <c r="HCF40"/>
      <c r="HCG40"/>
      <c r="HCH40"/>
      <c r="HCI40"/>
      <c r="HCJ40"/>
      <c r="HCK40"/>
      <c r="HCL40"/>
      <c r="HCM40"/>
      <c r="HCN40"/>
      <c r="HCO40"/>
      <c r="HCP40"/>
      <c r="HCQ40"/>
      <c r="HCR40"/>
      <c r="HCS40"/>
      <c r="HCT40"/>
      <c r="HCU40"/>
      <c r="HCV40"/>
      <c r="HCW40"/>
      <c r="HCX40"/>
      <c r="HCY40"/>
      <c r="HCZ40"/>
      <c r="HDA40"/>
      <c r="HDB40"/>
      <c r="HDC40"/>
      <c r="HDD40"/>
      <c r="HDE40"/>
      <c r="HDF40"/>
      <c r="HDG40"/>
      <c r="HDH40"/>
      <c r="HDI40"/>
      <c r="HDJ40"/>
      <c r="HDK40"/>
      <c r="HDL40"/>
      <c r="HDM40"/>
      <c r="HDN40"/>
      <c r="HDO40"/>
      <c r="HDP40"/>
      <c r="HDQ40"/>
      <c r="HDR40"/>
      <c r="HDS40"/>
      <c r="HDT40"/>
      <c r="HDU40"/>
      <c r="HDV40"/>
      <c r="HDW40"/>
      <c r="HDX40"/>
      <c r="HDY40"/>
      <c r="HDZ40"/>
      <c r="HEA40"/>
      <c r="HEB40"/>
      <c r="HEC40"/>
      <c r="HED40"/>
      <c r="HEE40"/>
      <c r="HEF40"/>
      <c r="HEG40"/>
      <c r="HEH40"/>
      <c r="HEI40"/>
      <c r="HEJ40"/>
      <c r="HEK40"/>
      <c r="HEL40"/>
      <c r="HEM40"/>
      <c r="HEN40"/>
      <c r="HEO40"/>
      <c r="HEP40"/>
      <c r="HEQ40"/>
      <c r="HER40"/>
      <c r="HES40"/>
      <c r="HET40"/>
      <c r="HEU40"/>
      <c r="HEV40"/>
      <c r="HEW40"/>
      <c r="HEX40"/>
      <c r="HEY40"/>
      <c r="HEZ40"/>
      <c r="HFA40"/>
      <c r="HFB40"/>
      <c r="HFC40"/>
      <c r="HFD40"/>
      <c r="HFE40"/>
      <c r="HFF40"/>
      <c r="HFG40"/>
      <c r="HFH40"/>
      <c r="HFI40"/>
      <c r="HFJ40"/>
      <c r="HFK40"/>
      <c r="HFL40"/>
      <c r="HFM40"/>
      <c r="HFN40"/>
      <c r="HFO40"/>
      <c r="HFP40"/>
      <c r="HFQ40"/>
      <c r="HFR40"/>
      <c r="HFS40"/>
      <c r="HFT40"/>
      <c r="HFU40"/>
      <c r="HFV40"/>
      <c r="HFW40"/>
      <c r="HFX40"/>
      <c r="HFY40"/>
      <c r="HFZ40"/>
      <c r="HGA40"/>
      <c r="HGB40"/>
      <c r="HGC40"/>
      <c r="HGD40"/>
      <c r="HGE40"/>
      <c r="HGF40"/>
      <c r="HGG40"/>
      <c r="HGH40"/>
      <c r="HGI40"/>
      <c r="HGJ40"/>
      <c r="HGK40"/>
      <c r="HGL40"/>
      <c r="HGM40"/>
      <c r="HGN40"/>
      <c r="HGO40"/>
      <c r="HGP40"/>
      <c r="HGQ40"/>
      <c r="HGR40"/>
      <c r="HGS40"/>
      <c r="HGT40"/>
      <c r="HGU40"/>
      <c r="HGV40"/>
      <c r="HGW40"/>
      <c r="HGX40"/>
      <c r="HGY40"/>
      <c r="HGZ40"/>
      <c r="HHA40"/>
      <c r="HHB40"/>
      <c r="HHC40"/>
      <c r="HHD40"/>
      <c r="HHE40"/>
      <c r="HHF40"/>
      <c r="HHG40"/>
      <c r="HHH40"/>
      <c r="HHI40"/>
      <c r="HHJ40"/>
      <c r="HHK40"/>
      <c r="HHL40"/>
      <c r="HHM40"/>
      <c r="HHN40"/>
      <c r="HHO40"/>
      <c r="HHP40"/>
      <c r="HHQ40"/>
      <c r="HHR40"/>
      <c r="HHS40"/>
      <c r="HHT40"/>
      <c r="HHU40"/>
      <c r="HHV40"/>
      <c r="HHW40"/>
      <c r="HHX40"/>
      <c r="HHY40"/>
      <c r="HHZ40"/>
      <c r="HIA40"/>
      <c r="HIB40"/>
      <c r="HIC40"/>
      <c r="HID40"/>
      <c r="HIE40"/>
      <c r="HIF40"/>
      <c r="HIG40"/>
      <c r="HIH40"/>
      <c r="HII40"/>
      <c r="HIJ40"/>
      <c r="HIK40"/>
      <c r="HIL40"/>
      <c r="HIM40"/>
      <c r="HIN40"/>
      <c r="HIO40"/>
      <c r="HIP40"/>
      <c r="HIQ40"/>
      <c r="HIR40"/>
      <c r="HIS40"/>
      <c r="HIT40"/>
      <c r="HIU40"/>
      <c r="HIV40"/>
      <c r="HIW40"/>
      <c r="HIX40"/>
      <c r="HIY40"/>
      <c r="HIZ40"/>
      <c r="HJA40"/>
      <c r="HJB40"/>
      <c r="HJC40"/>
      <c r="HJD40"/>
      <c r="HJE40"/>
      <c r="HJF40"/>
      <c r="HJG40"/>
      <c r="HJH40"/>
      <c r="HJI40"/>
      <c r="HJJ40"/>
      <c r="HJK40"/>
      <c r="HJL40"/>
      <c r="HJM40"/>
      <c r="HJN40"/>
      <c r="HJO40"/>
      <c r="HJP40"/>
      <c r="HJQ40"/>
      <c r="HJR40"/>
      <c r="HJS40"/>
      <c r="HJT40"/>
      <c r="HJU40"/>
      <c r="HJV40"/>
      <c r="HJW40"/>
      <c r="HJX40"/>
      <c r="HJY40"/>
      <c r="HJZ40"/>
      <c r="HKA40"/>
      <c r="HKB40"/>
      <c r="HKC40"/>
      <c r="HKD40"/>
      <c r="HKE40"/>
      <c r="HKF40"/>
      <c r="HKG40"/>
      <c r="HKH40"/>
      <c r="HKI40"/>
      <c r="HKJ40"/>
      <c r="HKK40"/>
      <c r="HKL40"/>
      <c r="HKM40"/>
      <c r="HKN40"/>
      <c r="HKO40"/>
      <c r="HKP40"/>
      <c r="HKQ40"/>
      <c r="HKR40"/>
      <c r="HKS40"/>
      <c r="HKT40"/>
      <c r="HKU40"/>
      <c r="HKV40"/>
      <c r="HKW40"/>
      <c r="HKX40"/>
      <c r="HKY40"/>
      <c r="HKZ40"/>
      <c r="HLA40"/>
      <c r="HLB40"/>
      <c r="HLC40"/>
      <c r="HLD40"/>
      <c r="HLE40"/>
      <c r="HLF40"/>
      <c r="HLG40"/>
      <c r="HLH40"/>
      <c r="HLI40"/>
      <c r="HLJ40"/>
      <c r="HLK40"/>
      <c r="HLL40"/>
      <c r="HLM40"/>
      <c r="HLN40"/>
      <c r="HLO40"/>
      <c r="HLP40"/>
      <c r="HLQ40"/>
      <c r="HLR40"/>
      <c r="HLS40"/>
      <c r="HLT40"/>
      <c r="HLU40"/>
      <c r="HLV40"/>
      <c r="HLW40"/>
      <c r="HLX40"/>
      <c r="HLY40"/>
      <c r="HLZ40"/>
      <c r="HMA40"/>
      <c r="HMB40"/>
      <c r="HMC40"/>
      <c r="HMD40"/>
      <c r="HME40"/>
      <c r="HMF40"/>
      <c r="HMG40"/>
      <c r="HMH40"/>
      <c r="HMI40"/>
      <c r="HMJ40"/>
      <c r="HMK40"/>
      <c r="HML40"/>
      <c r="HMM40"/>
      <c r="HMN40"/>
      <c r="HMO40"/>
      <c r="HMP40"/>
      <c r="HMQ40"/>
      <c r="HMR40"/>
      <c r="HMS40"/>
      <c r="HMT40"/>
      <c r="HMU40"/>
      <c r="HMV40"/>
      <c r="HMW40"/>
      <c r="HMX40"/>
      <c r="HMY40"/>
      <c r="HMZ40"/>
      <c r="HNA40"/>
      <c r="HNB40"/>
      <c r="HNC40"/>
      <c r="HND40"/>
      <c r="HNE40"/>
      <c r="HNF40"/>
      <c r="HNG40"/>
      <c r="HNH40"/>
      <c r="HNI40"/>
      <c r="HNJ40"/>
      <c r="HNK40"/>
      <c r="HNL40"/>
      <c r="HNM40"/>
      <c r="HNN40"/>
      <c r="HNO40"/>
      <c r="HNP40"/>
      <c r="HNQ40"/>
      <c r="HNR40"/>
      <c r="HNS40"/>
      <c r="HNT40"/>
      <c r="HNU40"/>
      <c r="HNV40"/>
      <c r="HNW40"/>
      <c r="HNX40"/>
      <c r="HNY40"/>
      <c r="HNZ40"/>
      <c r="HOA40"/>
      <c r="HOB40"/>
      <c r="HOC40"/>
      <c r="HOD40"/>
      <c r="HOE40"/>
      <c r="HOF40"/>
      <c r="HOG40"/>
      <c r="HOH40"/>
      <c r="HOI40"/>
      <c r="HOJ40"/>
      <c r="HOK40"/>
      <c r="HOL40"/>
      <c r="HOM40"/>
      <c r="HON40"/>
      <c r="HOO40"/>
      <c r="HOP40"/>
      <c r="HOQ40"/>
      <c r="HOR40"/>
      <c r="HOS40"/>
      <c r="HOT40"/>
      <c r="HOU40"/>
      <c r="HOV40"/>
      <c r="HOW40"/>
      <c r="HOX40"/>
      <c r="HOY40"/>
      <c r="HOZ40"/>
      <c r="HPA40"/>
      <c r="HPB40"/>
      <c r="HPC40"/>
      <c r="HPD40"/>
      <c r="HPE40"/>
      <c r="HPF40"/>
      <c r="HPG40"/>
      <c r="HPH40"/>
      <c r="HPI40"/>
      <c r="HPJ40"/>
      <c r="HPK40"/>
      <c r="HPL40"/>
      <c r="HPM40"/>
      <c r="HPN40"/>
      <c r="HPO40"/>
      <c r="HPP40"/>
      <c r="HPQ40"/>
      <c r="HPR40"/>
      <c r="HPS40"/>
      <c r="HPT40"/>
      <c r="HPU40"/>
      <c r="HPV40"/>
      <c r="HPW40"/>
      <c r="HPX40"/>
      <c r="HPY40"/>
      <c r="HPZ40"/>
      <c r="HQA40"/>
      <c r="HQB40"/>
      <c r="HQC40"/>
      <c r="HQD40"/>
      <c r="HQE40"/>
      <c r="HQF40"/>
      <c r="HQG40"/>
      <c r="HQH40"/>
      <c r="HQI40"/>
      <c r="HQJ40"/>
      <c r="HQK40"/>
      <c r="HQL40"/>
      <c r="HQM40"/>
      <c r="HQN40"/>
      <c r="HQO40"/>
      <c r="HQP40"/>
      <c r="HQQ40"/>
      <c r="HQR40"/>
      <c r="HQS40"/>
      <c r="HQT40"/>
      <c r="HQU40"/>
      <c r="HQV40"/>
      <c r="HQW40"/>
      <c r="HQX40"/>
      <c r="HQY40"/>
      <c r="HQZ40"/>
      <c r="HRA40"/>
      <c r="HRB40"/>
      <c r="HRC40"/>
      <c r="HRD40"/>
      <c r="HRE40"/>
      <c r="HRF40"/>
      <c r="HRG40"/>
      <c r="HRH40"/>
      <c r="HRI40"/>
      <c r="HRJ40"/>
      <c r="HRK40"/>
      <c r="HRL40"/>
      <c r="HRM40"/>
      <c r="HRN40"/>
      <c r="HRO40"/>
      <c r="HRP40"/>
      <c r="HRQ40"/>
      <c r="HRR40"/>
      <c r="HRS40"/>
      <c r="HRT40"/>
      <c r="HRU40"/>
      <c r="HRV40"/>
      <c r="HRW40"/>
      <c r="HRX40"/>
      <c r="HRY40"/>
      <c r="HRZ40"/>
      <c r="HSA40"/>
      <c r="HSB40"/>
      <c r="HSC40"/>
      <c r="HSD40"/>
      <c r="HSE40"/>
      <c r="HSF40"/>
      <c r="HSG40"/>
      <c r="HSH40"/>
      <c r="HSI40"/>
      <c r="HSJ40"/>
      <c r="HSK40"/>
      <c r="HSL40"/>
      <c r="HSM40"/>
      <c r="HSN40"/>
      <c r="HSO40"/>
      <c r="HSP40"/>
      <c r="HSQ40"/>
      <c r="HSR40"/>
      <c r="HSS40"/>
      <c r="HST40"/>
      <c r="HSU40"/>
      <c r="HSV40"/>
      <c r="HSW40"/>
      <c r="HSX40"/>
      <c r="HSY40"/>
      <c r="HSZ40"/>
      <c r="HTA40"/>
      <c r="HTB40"/>
      <c r="HTC40"/>
      <c r="HTD40"/>
      <c r="HTE40"/>
      <c r="HTF40"/>
      <c r="HTG40"/>
      <c r="HTH40"/>
      <c r="HTI40"/>
      <c r="HTJ40"/>
      <c r="HTK40"/>
      <c r="HTL40"/>
      <c r="HTM40"/>
      <c r="HTN40"/>
      <c r="HTO40"/>
      <c r="HTP40"/>
      <c r="HTQ40"/>
      <c r="HTR40"/>
      <c r="HTS40"/>
      <c r="HTT40"/>
      <c r="HTU40"/>
      <c r="HTV40"/>
      <c r="HTW40"/>
      <c r="HTX40"/>
      <c r="HTY40"/>
      <c r="HTZ40"/>
      <c r="HUA40"/>
      <c r="HUB40"/>
      <c r="HUC40"/>
      <c r="HUD40"/>
      <c r="HUE40"/>
      <c r="HUF40"/>
      <c r="HUG40"/>
      <c r="HUH40"/>
      <c r="HUI40"/>
      <c r="HUJ40"/>
      <c r="HUK40"/>
      <c r="HUL40"/>
      <c r="HUM40"/>
      <c r="HUN40"/>
      <c r="HUO40"/>
      <c r="HUP40"/>
      <c r="HUQ40"/>
      <c r="HUR40"/>
      <c r="HUS40"/>
      <c r="HUT40"/>
      <c r="HUU40"/>
      <c r="HUV40"/>
      <c r="HUW40"/>
      <c r="HUX40"/>
      <c r="HUY40"/>
      <c r="HUZ40"/>
      <c r="HVA40"/>
      <c r="HVB40"/>
      <c r="HVC40"/>
      <c r="HVD40"/>
      <c r="HVE40"/>
      <c r="HVF40"/>
      <c r="HVG40"/>
      <c r="HVH40"/>
      <c r="HVI40"/>
      <c r="HVJ40"/>
      <c r="HVK40"/>
      <c r="HVL40"/>
      <c r="HVM40"/>
      <c r="HVN40"/>
      <c r="HVO40"/>
      <c r="HVP40"/>
      <c r="HVQ40"/>
      <c r="HVR40"/>
      <c r="HVS40"/>
      <c r="HVT40"/>
      <c r="HVU40"/>
      <c r="HVV40"/>
      <c r="HVW40"/>
      <c r="HVX40"/>
      <c r="HVY40"/>
      <c r="HVZ40"/>
      <c r="HWA40"/>
      <c r="HWB40"/>
      <c r="HWC40"/>
      <c r="HWD40"/>
      <c r="HWE40"/>
      <c r="HWF40"/>
      <c r="HWG40"/>
      <c r="HWH40"/>
      <c r="HWI40"/>
      <c r="HWJ40"/>
      <c r="HWK40"/>
      <c r="HWL40"/>
      <c r="HWM40"/>
      <c r="HWN40"/>
      <c r="HWO40"/>
      <c r="HWP40"/>
      <c r="HWQ40"/>
      <c r="HWR40"/>
      <c r="HWS40"/>
      <c r="HWT40"/>
      <c r="HWU40"/>
      <c r="HWV40"/>
      <c r="HWW40"/>
      <c r="HWX40"/>
      <c r="HWY40"/>
      <c r="HWZ40"/>
      <c r="HXA40"/>
      <c r="HXB40"/>
      <c r="HXC40"/>
      <c r="HXD40"/>
      <c r="HXE40"/>
      <c r="HXF40"/>
      <c r="HXG40"/>
      <c r="HXH40"/>
      <c r="HXI40"/>
      <c r="HXJ40"/>
      <c r="HXK40"/>
      <c r="HXL40"/>
      <c r="HXM40"/>
      <c r="HXN40"/>
      <c r="HXO40"/>
      <c r="HXP40"/>
      <c r="HXQ40"/>
      <c r="HXR40"/>
      <c r="HXS40"/>
      <c r="HXT40"/>
      <c r="HXU40"/>
      <c r="HXV40"/>
      <c r="HXW40"/>
      <c r="HXX40"/>
      <c r="HXY40"/>
      <c r="HXZ40"/>
      <c r="HYA40"/>
      <c r="HYB40"/>
      <c r="HYC40"/>
      <c r="HYD40"/>
      <c r="HYE40"/>
      <c r="HYF40"/>
      <c r="HYG40"/>
      <c r="HYH40"/>
      <c r="HYI40"/>
      <c r="HYJ40"/>
      <c r="HYK40"/>
      <c r="HYL40"/>
      <c r="HYM40"/>
      <c r="HYN40"/>
      <c r="HYO40"/>
      <c r="HYP40"/>
      <c r="HYQ40"/>
      <c r="HYR40"/>
      <c r="HYS40"/>
      <c r="HYT40"/>
      <c r="HYU40"/>
      <c r="HYV40"/>
      <c r="HYW40"/>
      <c r="HYX40"/>
      <c r="HYY40"/>
      <c r="HYZ40"/>
      <c r="HZA40"/>
      <c r="HZB40"/>
      <c r="HZC40"/>
      <c r="HZD40"/>
      <c r="HZE40"/>
      <c r="HZF40"/>
      <c r="HZG40"/>
      <c r="HZH40"/>
      <c r="HZI40"/>
      <c r="HZJ40"/>
      <c r="HZK40"/>
      <c r="HZL40"/>
      <c r="HZM40"/>
      <c r="HZN40"/>
      <c r="HZO40"/>
      <c r="HZP40"/>
      <c r="HZQ40"/>
      <c r="HZR40"/>
      <c r="HZS40"/>
      <c r="HZT40"/>
      <c r="HZU40"/>
      <c r="HZV40"/>
      <c r="HZW40"/>
      <c r="HZX40"/>
      <c r="HZY40"/>
      <c r="HZZ40"/>
      <c r="IAA40"/>
      <c r="IAB40"/>
      <c r="IAC40"/>
      <c r="IAD40"/>
      <c r="IAE40"/>
      <c r="IAF40"/>
      <c r="IAG40"/>
      <c r="IAH40"/>
      <c r="IAI40"/>
      <c r="IAJ40"/>
      <c r="IAK40"/>
      <c r="IAL40"/>
      <c r="IAM40"/>
      <c r="IAN40"/>
      <c r="IAO40"/>
      <c r="IAP40"/>
      <c r="IAQ40"/>
      <c r="IAR40"/>
      <c r="IAS40"/>
      <c r="IAT40"/>
      <c r="IAU40"/>
      <c r="IAV40"/>
      <c r="IAW40"/>
      <c r="IAX40"/>
      <c r="IAY40"/>
      <c r="IAZ40"/>
      <c r="IBA40"/>
      <c r="IBB40"/>
      <c r="IBC40"/>
      <c r="IBD40"/>
      <c r="IBE40"/>
      <c r="IBF40"/>
      <c r="IBG40"/>
      <c r="IBH40"/>
      <c r="IBI40"/>
      <c r="IBJ40"/>
      <c r="IBK40"/>
      <c r="IBL40"/>
      <c r="IBM40"/>
      <c r="IBN40"/>
      <c r="IBO40"/>
      <c r="IBP40"/>
      <c r="IBQ40"/>
      <c r="IBR40"/>
      <c r="IBS40"/>
      <c r="IBT40"/>
      <c r="IBU40"/>
      <c r="IBV40"/>
      <c r="IBW40"/>
      <c r="IBX40"/>
      <c r="IBY40"/>
      <c r="IBZ40"/>
      <c r="ICA40"/>
      <c r="ICB40"/>
      <c r="ICC40"/>
      <c r="ICD40"/>
      <c r="ICE40"/>
      <c r="ICF40"/>
      <c r="ICG40"/>
      <c r="ICH40"/>
      <c r="ICI40"/>
      <c r="ICJ40"/>
      <c r="ICK40"/>
      <c r="ICL40"/>
      <c r="ICM40"/>
      <c r="ICN40"/>
      <c r="ICO40"/>
      <c r="ICP40"/>
      <c r="ICQ40"/>
      <c r="ICR40"/>
      <c r="ICS40"/>
      <c r="ICT40"/>
      <c r="ICU40"/>
      <c r="ICV40"/>
      <c r="ICW40"/>
      <c r="ICX40"/>
      <c r="ICY40"/>
      <c r="ICZ40"/>
      <c r="IDA40"/>
      <c r="IDB40"/>
      <c r="IDC40"/>
      <c r="IDD40"/>
      <c r="IDE40"/>
      <c r="IDF40"/>
      <c r="IDG40"/>
      <c r="IDH40"/>
      <c r="IDI40"/>
      <c r="IDJ40"/>
      <c r="IDK40"/>
      <c r="IDL40"/>
      <c r="IDM40"/>
      <c r="IDN40"/>
      <c r="IDO40"/>
      <c r="IDP40"/>
      <c r="IDQ40"/>
      <c r="IDR40"/>
      <c r="IDS40"/>
      <c r="IDT40"/>
      <c r="IDU40"/>
      <c r="IDV40"/>
      <c r="IDW40"/>
      <c r="IDX40"/>
      <c r="IDY40"/>
      <c r="IDZ40"/>
      <c r="IEA40"/>
      <c r="IEB40"/>
      <c r="IEC40"/>
      <c r="IED40"/>
      <c r="IEE40"/>
      <c r="IEF40"/>
      <c r="IEG40"/>
      <c r="IEH40"/>
      <c r="IEI40"/>
      <c r="IEJ40"/>
      <c r="IEK40"/>
      <c r="IEL40"/>
      <c r="IEM40"/>
      <c r="IEN40"/>
      <c r="IEO40"/>
      <c r="IEP40"/>
      <c r="IEQ40"/>
      <c r="IER40"/>
      <c r="IES40"/>
      <c r="IET40"/>
      <c r="IEU40"/>
      <c r="IEV40"/>
      <c r="IEW40"/>
      <c r="IEX40"/>
      <c r="IEY40"/>
      <c r="IEZ40"/>
      <c r="IFA40"/>
      <c r="IFB40"/>
      <c r="IFC40"/>
      <c r="IFD40"/>
      <c r="IFE40"/>
      <c r="IFF40"/>
      <c r="IFG40"/>
      <c r="IFH40"/>
      <c r="IFI40"/>
      <c r="IFJ40"/>
      <c r="IFK40"/>
      <c r="IFL40"/>
      <c r="IFM40"/>
      <c r="IFN40"/>
      <c r="IFO40"/>
      <c r="IFP40"/>
      <c r="IFQ40"/>
      <c r="IFR40"/>
      <c r="IFS40"/>
      <c r="IFT40"/>
      <c r="IFU40"/>
      <c r="IFV40"/>
      <c r="IFW40"/>
      <c r="IFX40"/>
      <c r="IFY40"/>
      <c r="IFZ40"/>
      <c r="IGA40"/>
      <c r="IGB40"/>
      <c r="IGC40"/>
      <c r="IGD40"/>
      <c r="IGE40"/>
      <c r="IGF40"/>
      <c r="IGG40"/>
      <c r="IGH40"/>
      <c r="IGI40"/>
      <c r="IGJ40"/>
      <c r="IGK40"/>
      <c r="IGL40"/>
      <c r="IGM40"/>
      <c r="IGN40"/>
      <c r="IGO40"/>
      <c r="IGP40"/>
      <c r="IGQ40"/>
      <c r="IGR40"/>
      <c r="IGS40"/>
      <c r="IGT40"/>
      <c r="IGU40"/>
      <c r="IGV40"/>
      <c r="IGW40"/>
      <c r="IGX40"/>
      <c r="IGY40"/>
      <c r="IGZ40"/>
      <c r="IHA40"/>
      <c r="IHB40"/>
      <c r="IHC40"/>
      <c r="IHD40"/>
      <c r="IHE40"/>
      <c r="IHF40"/>
      <c r="IHG40"/>
      <c r="IHH40"/>
      <c r="IHI40"/>
      <c r="IHJ40"/>
      <c r="IHK40"/>
      <c r="IHL40"/>
      <c r="IHM40"/>
      <c r="IHN40"/>
      <c r="IHO40"/>
      <c r="IHP40"/>
      <c r="IHQ40"/>
      <c r="IHR40"/>
      <c r="IHS40"/>
      <c r="IHT40"/>
      <c r="IHU40"/>
      <c r="IHV40"/>
      <c r="IHW40"/>
      <c r="IHX40"/>
      <c r="IHY40"/>
      <c r="IHZ40"/>
      <c r="IIA40"/>
      <c r="IIB40"/>
      <c r="IIC40"/>
      <c r="IID40"/>
      <c r="IIE40"/>
      <c r="IIF40"/>
      <c r="IIG40"/>
      <c r="IIH40"/>
      <c r="III40"/>
      <c r="IIJ40"/>
      <c r="IIK40"/>
      <c r="IIL40"/>
      <c r="IIM40"/>
      <c r="IIN40"/>
      <c r="IIO40"/>
      <c r="IIP40"/>
      <c r="IIQ40"/>
      <c r="IIR40"/>
      <c r="IIS40"/>
      <c r="IIT40"/>
      <c r="IIU40"/>
      <c r="IIV40"/>
      <c r="IIW40"/>
      <c r="IIX40"/>
      <c r="IIY40"/>
      <c r="IIZ40"/>
      <c r="IJA40"/>
      <c r="IJB40"/>
      <c r="IJC40"/>
      <c r="IJD40"/>
      <c r="IJE40"/>
      <c r="IJF40"/>
      <c r="IJG40"/>
      <c r="IJH40"/>
      <c r="IJI40"/>
      <c r="IJJ40"/>
      <c r="IJK40"/>
      <c r="IJL40"/>
      <c r="IJM40"/>
      <c r="IJN40"/>
      <c r="IJO40"/>
      <c r="IJP40"/>
      <c r="IJQ40"/>
      <c r="IJR40"/>
      <c r="IJS40"/>
      <c r="IJT40"/>
      <c r="IJU40"/>
      <c r="IJV40"/>
      <c r="IJW40"/>
      <c r="IJX40"/>
      <c r="IJY40"/>
      <c r="IJZ40"/>
      <c r="IKA40"/>
      <c r="IKB40"/>
      <c r="IKC40"/>
      <c r="IKD40"/>
      <c r="IKE40"/>
      <c r="IKF40"/>
      <c r="IKG40"/>
      <c r="IKH40"/>
      <c r="IKI40"/>
      <c r="IKJ40"/>
      <c r="IKK40"/>
      <c r="IKL40"/>
      <c r="IKM40"/>
      <c r="IKN40"/>
      <c r="IKO40"/>
      <c r="IKP40"/>
      <c r="IKQ40"/>
      <c r="IKR40"/>
      <c r="IKS40"/>
      <c r="IKT40"/>
      <c r="IKU40"/>
      <c r="IKV40"/>
      <c r="IKW40"/>
      <c r="IKX40"/>
      <c r="IKY40"/>
      <c r="IKZ40"/>
      <c r="ILA40"/>
      <c r="ILB40"/>
      <c r="ILC40"/>
      <c r="ILD40"/>
      <c r="ILE40"/>
      <c r="ILF40"/>
      <c r="ILG40"/>
      <c r="ILH40"/>
      <c r="ILI40"/>
      <c r="ILJ40"/>
      <c r="ILK40"/>
      <c r="ILL40"/>
      <c r="ILM40"/>
      <c r="ILN40"/>
      <c r="ILO40"/>
      <c r="ILP40"/>
      <c r="ILQ40"/>
      <c r="ILR40"/>
      <c r="ILS40"/>
      <c r="ILT40"/>
      <c r="ILU40"/>
      <c r="ILV40"/>
      <c r="ILW40"/>
      <c r="ILX40"/>
      <c r="ILY40"/>
      <c r="ILZ40"/>
      <c r="IMA40"/>
      <c r="IMB40"/>
      <c r="IMC40"/>
      <c r="IMD40"/>
      <c r="IME40"/>
      <c r="IMF40"/>
      <c r="IMG40"/>
      <c r="IMH40"/>
      <c r="IMI40"/>
      <c r="IMJ40"/>
      <c r="IMK40"/>
      <c r="IML40"/>
      <c r="IMM40"/>
      <c r="IMN40"/>
      <c r="IMO40"/>
      <c r="IMP40"/>
      <c r="IMQ40"/>
      <c r="IMR40"/>
      <c r="IMS40"/>
      <c r="IMT40"/>
      <c r="IMU40"/>
      <c r="IMV40"/>
      <c r="IMW40"/>
      <c r="IMX40"/>
      <c r="IMY40"/>
      <c r="IMZ40"/>
      <c r="INA40"/>
      <c r="INB40"/>
      <c r="INC40"/>
      <c r="IND40"/>
      <c r="INE40"/>
      <c r="INF40"/>
      <c r="ING40"/>
      <c r="INH40"/>
      <c r="INI40"/>
      <c r="INJ40"/>
      <c r="INK40"/>
      <c r="INL40"/>
      <c r="INM40"/>
      <c r="INN40"/>
      <c r="INO40"/>
      <c r="INP40"/>
      <c r="INQ40"/>
      <c r="INR40"/>
      <c r="INS40"/>
      <c r="INT40"/>
      <c r="INU40"/>
      <c r="INV40"/>
      <c r="INW40"/>
      <c r="INX40"/>
      <c r="INY40"/>
      <c r="INZ40"/>
      <c r="IOA40"/>
      <c r="IOB40"/>
      <c r="IOC40"/>
      <c r="IOD40"/>
      <c r="IOE40"/>
      <c r="IOF40"/>
      <c r="IOG40"/>
      <c r="IOH40"/>
      <c r="IOI40"/>
      <c r="IOJ40"/>
      <c r="IOK40"/>
      <c r="IOL40"/>
      <c r="IOM40"/>
      <c r="ION40"/>
      <c r="IOO40"/>
      <c r="IOP40"/>
      <c r="IOQ40"/>
      <c r="IOR40"/>
      <c r="IOS40"/>
      <c r="IOT40"/>
      <c r="IOU40"/>
      <c r="IOV40"/>
      <c r="IOW40"/>
      <c r="IOX40"/>
      <c r="IOY40"/>
      <c r="IOZ40"/>
      <c r="IPA40"/>
      <c r="IPB40"/>
      <c r="IPC40"/>
      <c r="IPD40"/>
      <c r="IPE40"/>
      <c r="IPF40"/>
      <c r="IPG40"/>
      <c r="IPH40"/>
      <c r="IPI40"/>
      <c r="IPJ40"/>
      <c r="IPK40"/>
      <c r="IPL40"/>
      <c r="IPM40"/>
      <c r="IPN40"/>
      <c r="IPO40"/>
      <c r="IPP40"/>
      <c r="IPQ40"/>
      <c r="IPR40"/>
      <c r="IPS40"/>
      <c r="IPT40"/>
      <c r="IPU40"/>
      <c r="IPV40"/>
      <c r="IPW40"/>
      <c r="IPX40"/>
      <c r="IPY40"/>
      <c r="IPZ40"/>
      <c r="IQA40"/>
      <c r="IQB40"/>
      <c r="IQC40"/>
      <c r="IQD40"/>
      <c r="IQE40"/>
      <c r="IQF40"/>
      <c r="IQG40"/>
      <c r="IQH40"/>
      <c r="IQI40"/>
      <c r="IQJ40"/>
      <c r="IQK40"/>
      <c r="IQL40"/>
      <c r="IQM40"/>
      <c r="IQN40"/>
      <c r="IQO40"/>
      <c r="IQP40"/>
      <c r="IQQ40"/>
      <c r="IQR40"/>
      <c r="IQS40"/>
      <c r="IQT40"/>
      <c r="IQU40"/>
      <c r="IQV40"/>
      <c r="IQW40"/>
      <c r="IQX40"/>
      <c r="IQY40"/>
      <c r="IQZ40"/>
      <c r="IRA40"/>
      <c r="IRB40"/>
      <c r="IRC40"/>
      <c r="IRD40"/>
      <c r="IRE40"/>
      <c r="IRF40"/>
      <c r="IRG40"/>
      <c r="IRH40"/>
      <c r="IRI40"/>
      <c r="IRJ40"/>
      <c r="IRK40"/>
      <c r="IRL40"/>
      <c r="IRM40"/>
      <c r="IRN40"/>
      <c r="IRO40"/>
      <c r="IRP40"/>
      <c r="IRQ40"/>
      <c r="IRR40"/>
      <c r="IRS40"/>
      <c r="IRT40"/>
      <c r="IRU40"/>
      <c r="IRV40"/>
      <c r="IRW40"/>
      <c r="IRX40"/>
      <c r="IRY40"/>
      <c r="IRZ40"/>
      <c r="ISA40"/>
      <c r="ISB40"/>
      <c r="ISC40"/>
      <c r="ISD40"/>
      <c r="ISE40"/>
      <c r="ISF40"/>
      <c r="ISG40"/>
      <c r="ISH40"/>
      <c r="ISI40"/>
      <c r="ISJ40"/>
      <c r="ISK40"/>
      <c r="ISL40"/>
      <c r="ISM40"/>
      <c r="ISN40"/>
      <c r="ISO40"/>
      <c r="ISP40"/>
      <c r="ISQ40"/>
      <c r="ISR40"/>
      <c r="ISS40"/>
      <c r="IST40"/>
      <c r="ISU40"/>
      <c r="ISV40"/>
      <c r="ISW40"/>
      <c r="ISX40"/>
      <c r="ISY40"/>
      <c r="ISZ40"/>
      <c r="ITA40"/>
      <c r="ITB40"/>
      <c r="ITC40"/>
      <c r="ITD40"/>
      <c r="ITE40"/>
      <c r="ITF40"/>
      <c r="ITG40"/>
      <c r="ITH40"/>
      <c r="ITI40"/>
      <c r="ITJ40"/>
      <c r="ITK40"/>
      <c r="ITL40"/>
      <c r="ITM40"/>
      <c r="ITN40"/>
      <c r="ITO40"/>
      <c r="ITP40"/>
      <c r="ITQ40"/>
      <c r="ITR40"/>
      <c r="ITS40"/>
      <c r="ITT40"/>
      <c r="ITU40"/>
      <c r="ITV40"/>
      <c r="ITW40"/>
      <c r="ITX40"/>
      <c r="ITY40"/>
      <c r="ITZ40"/>
      <c r="IUA40"/>
      <c r="IUB40"/>
      <c r="IUC40"/>
      <c r="IUD40"/>
      <c r="IUE40"/>
      <c r="IUF40"/>
      <c r="IUG40"/>
      <c r="IUH40"/>
      <c r="IUI40"/>
      <c r="IUJ40"/>
      <c r="IUK40"/>
      <c r="IUL40"/>
      <c r="IUM40"/>
      <c r="IUN40"/>
      <c r="IUO40"/>
      <c r="IUP40"/>
      <c r="IUQ40"/>
      <c r="IUR40"/>
      <c r="IUS40"/>
      <c r="IUT40"/>
      <c r="IUU40"/>
      <c r="IUV40"/>
      <c r="IUW40"/>
      <c r="IUX40"/>
      <c r="IUY40"/>
      <c r="IUZ40"/>
      <c r="IVA40"/>
      <c r="IVB40"/>
      <c r="IVC40"/>
      <c r="IVD40"/>
      <c r="IVE40"/>
      <c r="IVF40"/>
      <c r="IVG40"/>
      <c r="IVH40"/>
      <c r="IVI40"/>
      <c r="IVJ40"/>
      <c r="IVK40"/>
      <c r="IVL40"/>
      <c r="IVM40"/>
      <c r="IVN40"/>
      <c r="IVO40"/>
      <c r="IVP40"/>
      <c r="IVQ40"/>
      <c r="IVR40"/>
      <c r="IVS40"/>
      <c r="IVT40"/>
      <c r="IVU40"/>
      <c r="IVV40"/>
      <c r="IVW40"/>
      <c r="IVX40"/>
      <c r="IVY40"/>
      <c r="IVZ40"/>
      <c r="IWA40"/>
      <c r="IWB40"/>
      <c r="IWC40"/>
      <c r="IWD40"/>
      <c r="IWE40"/>
      <c r="IWF40"/>
      <c r="IWG40"/>
      <c r="IWH40"/>
      <c r="IWI40"/>
      <c r="IWJ40"/>
      <c r="IWK40"/>
      <c r="IWL40"/>
      <c r="IWM40"/>
      <c r="IWN40"/>
      <c r="IWO40"/>
      <c r="IWP40"/>
      <c r="IWQ40"/>
      <c r="IWR40"/>
      <c r="IWS40"/>
      <c r="IWT40"/>
      <c r="IWU40"/>
      <c r="IWV40"/>
      <c r="IWW40"/>
      <c r="IWX40"/>
      <c r="IWY40"/>
      <c r="IWZ40"/>
      <c r="IXA40"/>
      <c r="IXB40"/>
      <c r="IXC40"/>
      <c r="IXD40"/>
      <c r="IXE40"/>
      <c r="IXF40"/>
      <c r="IXG40"/>
      <c r="IXH40"/>
      <c r="IXI40"/>
      <c r="IXJ40"/>
      <c r="IXK40"/>
      <c r="IXL40"/>
      <c r="IXM40"/>
      <c r="IXN40"/>
      <c r="IXO40"/>
      <c r="IXP40"/>
      <c r="IXQ40"/>
      <c r="IXR40"/>
      <c r="IXS40"/>
      <c r="IXT40"/>
      <c r="IXU40"/>
      <c r="IXV40"/>
      <c r="IXW40"/>
      <c r="IXX40"/>
      <c r="IXY40"/>
      <c r="IXZ40"/>
      <c r="IYA40"/>
      <c r="IYB40"/>
      <c r="IYC40"/>
      <c r="IYD40"/>
      <c r="IYE40"/>
      <c r="IYF40"/>
      <c r="IYG40"/>
      <c r="IYH40"/>
      <c r="IYI40"/>
      <c r="IYJ40"/>
      <c r="IYK40"/>
      <c r="IYL40"/>
      <c r="IYM40"/>
      <c r="IYN40"/>
      <c r="IYO40"/>
      <c r="IYP40"/>
      <c r="IYQ40"/>
      <c r="IYR40"/>
      <c r="IYS40"/>
      <c r="IYT40"/>
      <c r="IYU40"/>
      <c r="IYV40"/>
      <c r="IYW40"/>
      <c r="IYX40"/>
      <c r="IYY40"/>
      <c r="IYZ40"/>
      <c r="IZA40"/>
      <c r="IZB40"/>
      <c r="IZC40"/>
      <c r="IZD40"/>
      <c r="IZE40"/>
      <c r="IZF40"/>
      <c r="IZG40"/>
      <c r="IZH40"/>
      <c r="IZI40"/>
      <c r="IZJ40"/>
      <c r="IZK40"/>
      <c r="IZL40"/>
      <c r="IZM40"/>
      <c r="IZN40"/>
      <c r="IZO40"/>
      <c r="IZP40"/>
      <c r="IZQ40"/>
      <c r="IZR40"/>
      <c r="IZS40"/>
      <c r="IZT40"/>
      <c r="IZU40"/>
      <c r="IZV40"/>
      <c r="IZW40"/>
      <c r="IZX40"/>
      <c r="IZY40"/>
      <c r="IZZ40"/>
      <c r="JAA40"/>
      <c r="JAB40"/>
      <c r="JAC40"/>
      <c r="JAD40"/>
      <c r="JAE40"/>
      <c r="JAF40"/>
      <c r="JAG40"/>
      <c r="JAH40"/>
      <c r="JAI40"/>
      <c r="JAJ40"/>
      <c r="JAK40"/>
      <c r="JAL40"/>
      <c r="JAM40"/>
      <c r="JAN40"/>
      <c r="JAO40"/>
      <c r="JAP40"/>
      <c r="JAQ40"/>
      <c r="JAR40"/>
      <c r="JAS40"/>
      <c r="JAT40"/>
      <c r="JAU40"/>
      <c r="JAV40"/>
      <c r="JAW40"/>
      <c r="JAX40"/>
      <c r="JAY40"/>
      <c r="JAZ40"/>
      <c r="JBA40"/>
      <c r="JBB40"/>
      <c r="JBC40"/>
      <c r="JBD40"/>
      <c r="JBE40"/>
      <c r="JBF40"/>
      <c r="JBG40"/>
      <c r="JBH40"/>
      <c r="JBI40"/>
      <c r="JBJ40"/>
      <c r="JBK40"/>
      <c r="JBL40"/>
      <c r="JBM40"/>
      <c r="JBN40"/>
      <c r="JBO40"/>
      <c r="JBP40"/>
      <c r="JBQ40"/>
      <c r="JBR40"/>
      <c r="JBS40"/>
      <c r="JBT40"/>
      <c r="JBU40"/>
      <c r="JBV40"/>
      <c r="JBW40"/>
      <c r="JBX40"/>
      <c r="JBY40"/>
      <c r="JBZ40"/>
      <c r="JCA40"/>
      <c r="JCB40"/>
      <c r="JCC40"/>
      <c r="JCD40"/>
      <c r="JCE40"/>
      <c r="JCF40"/>
      <c r="JCG40"/>
      <c r="JCH40"/>
      <c r="JCI40"/>
      <c r="JCJ40"/>
      <c r="JCK40"/>
      <c r="JCL40"/>
      <c r="JCM40"/>
      <c r="JCN40"/>
      <c r="JCO40"/>
      <c r="JCP40"/>
      <c r="JCQ40"/>
      <c r="JCR40"/>
      <c r="JCS40"/>
      <c r="JCT40"/>
      <c r="JCU40"/>
      <c r="JCV40"/>
      <c r="JCW40"/>
      <c r="JCX40"/>
      <c r="JCY40"/>
      <c r="JCZ40"/>
      <c r="JDA40"/>
      <c r="JDB40"/>
      <c r="JDC40"/>
      <c r="JDD40"/>
      <c r="JDE40"/>
      <c r="JDF40"/>
      <c r="JDG40"/>
      <c r="JDH40"/>
      <c r="JDI40"/>
      <c r="JDJ40"/>
      <c r="JDK40"/>
      <c r="JDL40"/>
      <c r="JDM40"/>
      <c r="JDN40"/>
      <c r="JDO40"/>
      <c r="JDP40"/>
      <c r="JDQ40"/>
      <c r="JDR40"/>
      <c r="JDS40"/>
      <c r="JDT40"/>
      <c r="JDU40"/>
      <c r="JDV40"/>
      <c r="JDW40"/>
      <c r="JDX40"/>
      <c r="JDY40"/>
      <c r="JDZ40"/>
      <c r="JEA40"/>
      <c r="JEB40"/>
      <c r="JEC40"/>
      <c r="JED40"/>
      <c r="JEE40"/>
      <c r="JEF40"/>
      <c r="JEG40"/>
      <c r="JEH40"/>
      <c r="JEI40"/>
      <c r="JEJ40"/>
      <c r="JEK40"/>
      <c r="JEL40"/>
      <c r="JEM40"/>
      <c r="JEN40"/>
      <c r="JEO40"/>
      <c r="JEP40"/>
      <c r="JEQ40"/>
      <c r="JER40"/>
      <c r="JES40"/>
      <c r="JET40"/>
      <c r="JEU40"/>
      <c r="JEV40"/>
      <c r="JEW40"/>
      <c r="JEX40"/>
      <c r="JEY40"/>
      <c r="JEZ40"/>
      <c r="JFA40"/>
      <c r="JFB40"/>
      <c r="JFC40"/>
      <c r="JFD40"/>
      <c r="JFE40"/>
      <c r="JFF40"/>
      <c r="JFG40"/>
      <c r="JFH40"/>
      <c r="JFI40"/>
      <c r="JFJ40"/>
      <c r="JFK40"/>
      <c r="JFL40"/>
      <c r="JFM40"/>
      <c r="JFN40"/>
      <c r="JFO40"/>
      <c r="JFP40"/>
      <c r="JFQ40"/>
      <c r="JFR40"/>
      <c r="JFS40"/>
      <c r="JFT40"/>
      <c r="JFU40"/>
      <c r="JFV40"/>
      <c r="JFW40"/>
      <c r="JFX40"/>
      <c r="JFY40"/>
      <c r="JFZ40"/>
      <c r="JGA40"/>
      <c r="JGB40"/>
      <c r="JGC40"/>
      <c r="JGD40"/>
      <c r="JGE40"/>
      <c r="JGF40"/>
      <c r="JGG40"/>
      <c r="JGH40"/>
      <c r="JGI40"/>
      <c r="JGJ40"/>
      <c r="JGK40"/>
      <c r="JGL40"/>
      <c r="JGM40"/>
      <c r="JGN40"/>
      <c r="JGO40"/>
      <c r="JGP40"/>
      <c r="JGQ40"/>
      <c r="JGR40"/>
      <c r="JGS40"/>
      <c r="JGT40"/>
      <c r="JGU40"/>
      <c r="JGV40"/>
      <c r="JGW40"/>
      <c r="JGX40"/>
      <c r="JGY40"/>
      <c r="JGZ40"/>
      <c r="JHA40"/>
      <c r="JHB40"/>
      <c r="JHC40"/>
      <c r="JHD40"/>
      <c r="JHE40"/>
      <c r="JHF40"/>
      <c r="JHG40"/>
      <c r="JHH40"/>
      <c r="JHI40"/>
      <c r="JHJ40"/>
      <c r="JHK40"/>
      <c r="JHL40"/>
      <c r="JHM40"/>
      <c r="JHN40"/>
      <c r="JHO40"/>
      <c r="JHP40"/>
      <c r="JHQ40"/>
      <c r="JHR40"/>
      <c r="JHS40"/>
      <c r="JHT40"/>
      <c r="JHU40"/>
      <c r="JHV40"/>
      <c r="JHW40"/>
      <c r="JHX40"/>
      <c r="JHY40"/>
      <c r="JHZ40"/>
      <c r="JIA40"/>
      <c r="JIB40"/>
      <c r="JIC40"/>
      <c r="JID40"/>
      <c r="JIE40"/>
      <c r="JIF40"/>
      <c r="JIG40"/>
      <c r="JIH40"/>
      <c r="JII40"/>
      <c r="JIJ40"/>
      <c r="JIK40"/>
      <c r="JIL40"/>
      <c r="JIM40"/>
      <c r="JIN40"/>
      <c r="JIO40"/>
      <c r="JIP40"/>
      <c r="JIQ40"/>
      <c r="JIR40"/>
      <c r="JIS40"/>
      <c r="JIT40"/>
      <c r="JIU40"/>
      <c r="JIV40"/>
      <c r="JIW40"/>
      <c r="JIX40"/>
      <c r="JIY40"/>
      <c r="JIZ40"/>
      <c r="JJA40"/>
      <c r="JJB40"/>
      <c r="JJC40"/>
      <c r="JJD40"/>
      <c r="JJE40"/>
      <c r="JJF40"/>
      <c r="JJG40"/>
      <c r="JJH40"/>
      <c r="JJI40"/>
      <c r="JJJ40"/>
      <c r="JJK40"/>
      <c r="JJL40"/>
      <c r="JJM40"/>
      <c r="JJN40"/>
      <c r="JJO40"/>
      <c r="JJP40"/>
      <c r="JJQ40"/>
      <c r="JJR40"/>
      <c r="JJS40"/>
      <c r="JJT40"/>
      <c r="JJU40"/>
      <c r="JJV40"/>
      <c r="JJW40"/>
      <c r="JJX40"/>
      <c r="JJY40"/>
      <c r="JJZ40"/>
      <c r="JKA40"/>
      <c r="JKB40"/>
      <c r="JKC40"/>
      <c r="JKD40"/>
      <c r="JKE40"/>
      <c r="JKF40"/>
      <c r="JKG40"/>
      <c r="JKH40"/>
      <c r="JKI40"/>
      <c r="JKJ40"/>
      <c r="JKK40"/>
      <c r="JKL40"/>
      <c r="JKM40"/>
      <c r="JKN40"/>
      <c r="JKO40"/>
      <c r="JKP40"/>
      <c r="JKQ40"/>
      <c r="JKR40"/>
      <c r="JKS40"/>
      <c r="JKT40"/>
      <c r="JKU40"/>
      <c r="JKV40"/>
      <c r="JKW40"/>
      <c r="JKX40"/>
      <c r="JKY40"/>
      <c r="JKZ40"/>
      <c r="JLA40"/>
      <c r="JLB40"/>
      <c r="JLC40"/>
      <c r="JLD40"/>
      <c r="JLE40"/>
      <c r="JLF40"/>
      <c r="JLG40"/>
      <c r="JLH40"/>
      <c r="JLI40"/>
      <c r="JLJ40"/>
      <c r="JLK40"/>
      <c r="JLL40"/>
      <c r="JLM40"/>
      <c r="JLN40"/>
      <c r="JLO40"/>
      <c r="JLP40"/>
      <c r="JLQ40"/>
      <c r="JLR40"/>
      <c r="JLS40"/>
      <c r="JLT40"/>
      <c r="JLU40"/>
      <c r="JLV40"/>
      <c r="JLW40"/>
      <c r="JLX40"/>
      <c r="JLY40"/>
      <c r="JLZ40"/>
      <c r="JMA40"/>
      <c r="JMB40"/>
      <c r="JMC40"/>
      <c r="JMD40"/>
      <c r="JME40"/>
      <c r="JMF40"/>
      <c r="JMG40"/>
      <c r="JMH40"/>
      <c r="JMI40"/>
      <c r="JMJ40"/>
      <c r="JMK40"/>
      <c r="JML40"/>
      <c r="JMM40"/>
      <c r="JMN40"/>
      <c r="JMO40"/>
      <c r="JMP40"/>
      <c r="JMQ40"/>
      <c r="JMR40"/>
      <c r="JMS40"/>
      <c r="JMT40"/>
      <c r="JMU40"/>
      <c r="JMV40"/>
      <c r="JMW40"/>
      <c r="JMX40"/>
      <c r="JMY40"/>
      <c r="JMZ40"/>
      <c r="JNA40"/>
      <c r="JNB40"/>
      <c r="JNC40"/>
      <c r="JND40"/>
      <c r="JNE40"/>
      <c r="JNF40"/>
      <c r="JNG40"/>
      <c r="JNH40"/>
      <c r="JNI40"/>
      <c r="JNJ40"/>
      <c r="JNK40"/>
      <c r="JNL40"/>
      <c r="JNM40"/>
      <c r="JNN40"/>
      <c r="JNO40"/>
      <c r="JNP40"/>
      <c r="JNQ40"/>
      <c r="JNR40"/>
      <c r="JNS40"/>
      <c r="JNT40"/>
      <c r="JNU40"/>
      <c r="JNV40"/>
      <c r="JNW40"/>
      <c r="JNX40"/>
      <c r="JNY40"/>
      <c r="JNZ40"/>
      <c r="JOA40"/>
      <c r="JOB40"/>
      <c r="JOC40"/>
      <c r="JOD40"/>
      <c r="JOE40"/>
      <c r="JOF40"/>
      <c r="JOG40"/>
      <c r="JOH40"/>
      <c r="JOI40"/>
      <c r="JOJ40"/>
      <c r="JOK40"/>
      <c r="JOL40"/>
      <c r="JOM40"/>
      <c r="JON40"/>
      <c r="JOO40"/>
      <c r="JOP40"/>
      <c r="JOQ40"/>
      <c r="JOR40"/>
      <c r="JOS40"/>
      <c r="JOT40"/>
      <c r="JOU40"/>
      <c r="JOV40"/>
      <c r="JOW40"/>
      <c r="JOX40"/>
      <c r="JOY40"/>
      <c r="JOZ40"/>
      <c r="JPA40"/>
      <c r="JPB40"/>
      <c r="JPC40"/>
      <c r="JPD40"/>
      <c r="JPE40"/>
      <c r="JPF40"/>
      <c r="JPG40"/>
      <c r="JPH40"/>
      <c r="JPI40"/>
      <c r="JPJ40"/>
      <c r="JPK40"/>
      <c r="JPL40"/>
      <c r="JPM40"/>
      <c r="JPN40"/>
      <c r="JPO40"/>
      <c r="JPP40"/>
      <c r="JPQ40"/>
      <c r="JPR40"/>
      <c r="JPS40"/>
      <c r="JPT40"/>
      <c r="JPU40"/>
      <c r="JPV40"/>
      <c r="JPW40"/>
      <c r="JPX40"/>
      <c r="JPY40"/>
      <c r="JPZ40"/>
      <c r="JQA40"/>
      <c r="JQB40"/>
      <c r="JQC40"/>
      <c r="JQD40"/>
      <c r="JQE40"/>
      <c r="JQF40"/>
      <c r="JQG40"/>
      <c r="JQH40"/>
      <c r="JQI40"/>
      <c r="JQJ40"/>
      <c r="JQK40"/>
      <c r="JQL40"/>
      <c r="JQM40"/>
      <c r="JQN40"/>
      <c r="JQO40"/>
      <c r="JQP40"/>
      <c r="JQQ40"/>
      <c r="JQR40"/>
      <c r="JQS40"/>
      <c r="JQT40"/>
      <c r="JQU40"/>
      <c r="JQV40"/>
      <c r="JQW40"/>
      <c r="JQX40"/>
      <c r="JQY40"/>
      <c r="JQZ40"/>
      <c r="JRA40"/>
      <c r="JRB40"/>
      <c r="JRC40"/>
      <c r="JRD40"/>
      <c r="JRE40"/>
      <c r="JRF40"/>
      <c r="JRG40"/>
      <c r="JRH40"/>
      <c r="JRI40"/>
      <c r="JRJ40"/>
      <c r="JRK40"/>
      <c r="JRL40"/>
      <c r="JRM40"/>
      <c r="JRN40"/>
      <c r="JRO40"/>
      <c r="JRP40"/>
      <c r="JRQ40"/>
      <c r="JRR40"/>
      <c r="JRS40"/>
      <c r="JRT40"/>
      <c r="JRU40"/>
      <c r="JRV40"/>
      <c r="JRW40"/>
      <c r="JRX40"/>
      <c r="JRY40"/>
      <c r="JRZ40"/>
      <c r="JSA40"/>
      <c r="JSB40"/>
      <c r="JSC40"/>
      <c r="JSD40"/>
      <c r="JSE40"/>
      <c r="JSF40"/>
      <c r="JSG40"/>
      <c r="JSH40"/>
      <c r="JSI40"/>
      <c r="JSJ40"/>
      <c r="JSK40"/>
      <c r="JSL40"/>
      <c r="JSM40"/>
      <c r="JSN40"/>
      <c r="JSO40"/>
      <c r="JSP40"/>
      <c r="JSQ40"/>
      <c r="JSR40"/>
      <c r="JSS40"/>
      <c r="JST40"/>
      <c r="JSU40"/>
      <c r="JSV40"/>
      <c r="JSW40"/>
      <c r="JSX40"/>
      <c r="JSY40"/>
      <c r="JSZ40"/>
      <c r="JTA40"/>
      <c r="JTB40"/>
      <c r="JTC40"/>
      <c r="JTD40"/>
      <c r="JTE40"/>
      <c r="JTF40"/>
      <c r="JTG40"/>
      <c r="JTH40"/>
      <c r="JTI40"/>
      <c r="JTJ40"/>
      <c r="JTK40"/>
      <c r="JTL40"/>
      <c r="JTM40"/>
      <c r="JTN40"/>
      <c r="JTO40"/>
      <c r="JTP40"/>
      <c r="JTQ40"/>
      <c r="JTR40"/>
      <c r="JTS40"/>
      <c r="JTT40"/>
      <c r="JTU40"/>
      <c r="JTV40"/>
      <c r="JTW40"/>
      <c r="JTX40"/>
      <c r="JTY40"/>
      <c r="JTZ40"/>
      <c r="JUA40"/>
      <c r="JUB40"/>
      <c r="JUC40"/>
      <c r="JUD40"/>
      <c r="JUE40"/>
      <c r="JUF40"/>
      <c r="JUG40"/>
      <c r="JUH40"/>
      <c r="JUI40"/>
      <c r="JUJ40"/>
      <c r="JUK40"/>
      <c r="JUL40"/>
      <c r="JUM40"/>
      <c r="JUN40"/>
      <c r="JUO40"/>
      <c r="JUP40"/>
      <c r="JUQ40"/>
      <c r="JUR40"/>
      <c r="JUS40"/>
      <c r="JUT40"/>
      <c r="JUU40"/>
      <c r="JUV40"/>
      <c r="JUW40"/>
      <c r="JUX40"/>
      <c r="JUY40"/>
      <c r="JUZ40"/>
      <c r="JVA40"/>
      <c r="JVB40"/>
      <c r="JVC40"/>
      <c r="JVD40"/>
      <c r="JVE40"/>
      <c r="JVF40"/>
      <c r="JVG40"/>
      <c r="JVH40"/>
      <c r="JVI40"/>
      <c r="JVJ40"/>
      <c r="JVK40"/>
      <c r="JVL40"/>
      <c r="JVM40"/>
      <c r="JVN40"/>
      <c r="JVO40"/>
      <c r="JVP40"/>
      <c r="JVQ40"/>
      <c r="JVR40"/>
      <c r="JVS40"/>
      <c r="JVT40"/>
      <c r="JVU40"/>
      <c r="JVV40"/>
      <c r="JVW40"/>
      <c r="JVX40"/>
      <c r="JVY40"/>
      <c r="JVZ40"/>
      <c r="JWA40"/>
      <c r="JWB40"/>
      <c r="JWC40"/>
      <c r="JWD40"/>
      <c r="JWE40"/>
      <c r="JWF40"/>
      <c r="JWG40"/>
      <c r="JWH40"/>
      <c r="JWI40"/>
      <c r="JWJ40"/>
      <c r="JWK40"/>
      <c r="JWL40"/>
      <c r="JWM40"/>
      <c r="JWN40"/>
      <c r="JWO40"/>
      <c r="JWP40"/>
      <c r="JWQ40"/>
      <c r="JWR40"/>
      <c r="JWS40"/>
      <c r="JWT40"/>
      <c r="JWU40"/>
      <c r="JWV40"/>
      <c r="JWW40"/>
      <c r="JWX40"/>
      <c r="JWY40"/>
      <c r="JWZ40"/>
      <c r="JXA40"/>
      <c r="JXB40"/>
      <c r="JXC40"/>
      <c r="JXD40"/>
      <c r="JXE40"/>
      <c r="JXF40"/>
      <c r="JXG40"/>
      <c r="JXH40"/>
      <c r="JXI40"/>
      <c r="JXJ40"/>
      <c r="JXK40"/>
      <c r="JXL40"/>
      <c r="JXM40"/>
      <c r="JXN40"/>
      <c r="JXO40"/>
      <c r="JXP40"/>
      <c r="JXQ40"/>
      <c r="JXR40"/>
      <c r="JXS40"/>
      <c r="JXT40"/>
      <c r="JXU40"/>
      <c r="JXV40"/>
      <c r="JXW40"/>
      <c r="JXX40"/>
      <c r="JXY40"/>
      <c r="JXZ40"/>
      <c r="JYA40"/>
      <c r="JYB40"/>
      <c r="JYC40"/>
      <c r="JYD40"/>
      <c r="JYE40"/>
      <c r="JYF40"/>
      <c r="JYG40"/>
      <c r="JYH40"/>
      <c r="JYI40"/>
      <c r="JYJ40"/>
      <c r="JYK40"/>
      <c r="JYL40"/>
      <c r="JYM40"/>
      <c r="JYN40"/>
      <c r="JYO40"/>
      <c r="JYP40"/>
      <c r="JYQ40"/>
      <c r="JYR40"/>
      <c r="JYS40"/>
      <c r="JYT40"/>
      <c r="JYU40"/>
      <c r="JYV40"/>
      <c r="JYW40"/>
      <c r="JYX40"/>
      <c r="JYY40"/>
      <c r="JYZ40"/>
      <c r="JZA40"/>
      <c r="JZB40"/>
      <c r="JZC40"/>
      <c r="JZD40"/>
      <c r="JZE40"/>
      <c r="JZF40"/>
      <c r="JZG40"/>
      <c r="JZH40"/>
      <c r="JZI40"/>
      <c r="JZJ40"/>
      <c r="JZK40"/>
      <c r="JZL40"/>
      <c r="JZM40"/>
      <c r="JZN40"/>
      <c r="JZO40"/>
      <c r="JZP40"/>
      <c r="JZQ40"/>
      <c r="JZR40"/>
      <c r="JZS40"/>
      <c r="JZT40"/>
      <c r="JZU40"/>
      <c r="JZV40"/>
      <c r="JZW40"/>
      <c r="JZX40"/>
      <c r="JZY40"/>
      <c r="JZZ40"/>
      <c r="KAA40"/>
      <c r="KAB40"/>
      <c r="KAC40"/>
      <c r="KAD40"/>
      <c r="KAE40"/>
      <c r="KAF40"/>
      <c r="KAG40"/>
      <c r="KAH40"/>
      <c r="KAI40"/>
      <c r="KAJ40"/>
      <c r="KAK40"/>
      <c r="KAL40"/>
      <c r="KAM40"/>
      <c r="KAN40"/>
      <c r="KAO40"/>
      <c r="KAP40"/>
      <c r="KAQ40"/>
      <c r="KAR40"/>
      <c r="KAS40"/>
      <c r="KAT40"/>
      <c r="KAU40"/>
      <c r="KAV40"/>
      <c r="KAW40"/>
      <c r="KAX40"/>
      <c r="KAY40"/>
      <c r="KAZ40"/>
      <c r="KBA40"/>
      <c r="KBB40"/>
      <c r="KBC40"/>
      <c r="KBD40"/>
      <c r="KBE40"/>
      <c r="KBF40"/>
      <c r="KBG40"/>
      <c r="KBH40"/>
      <c r="KBI40"/>
      <c r="KBJ40"/>
      <c r="KBK40"/>
      <c r="KBL40"/>
      <c r="KBM40"/>
      <c r="KBN40"/>
      <c r="KBO40"/>
      <c r="KBP40"/>
      <c r="KBQ40"/>
      <c r="KBR40"/>
      <c r="KBS40"/>
      <c r="KBT40"/>
      <c r="KBU40"/>
      <c r="KBV40"/>
      <c r="KBW40"/>
      <c r="KBX40"/>
      <c r="KBY40"/>
      <c r="KBZ40"/>
      <c r="KCA40"/>
      <c r="KCB40"/>
      <c r="KCC40"/>
      <c r="KCD40"/>
      <c r="KCE40"/>
      <c r="KCF40"/>
      <c r="KCG40"/>
      <c r="KCH40"/>
      <c r="KCI40"/>
      <c r="KCJ40"/>
      <c r="KCK40"/>
      <c r="KCL40"/>
      <c r="KCM40"/>
      <c r="KCN40"/>
      <c r="KCO40"/>
      <c r="KCP40"/>
      <c r="KCQ40"/>
      <c r="KCR40"/>
      <c r="KCS40"/>
      <c r="KCT40"/>
      <c r="KCU40"/>
      <c r="KCV40"/>
      <c r="KCW40"/>
      <c r="KCX40"/>
      <c r="KCY40"/>
      <c r="KCZ40"/>
      <c r="KDA40"/>
      <c r="KDB40"/>
      <c r="KDC40"/>
      <c r="KDD40"/>
      <c r="KDE40"/>
      <c r="KDF40"/>
      <c r="KDG40"/>
      <c r="KDH40"/>
      <c r="KDI40"/>
      <c r="KDJ40"/>
      <c r="KDK40"/>
      <c r="KDL40"/>
      <c r="KDM40"/>
      <c r="KDN40"/>
      <c r="KDO40"/>
      <c r="KDP40"/>
      <c r="KDQ40"/>
      <c r="KDR40"/>
      <c r="KDS40"/>
      <c r="KDT40"/>
      <c r="KDU40"/>
      <c r="KDV40"/>
      <c r="KDW40"/>
      <c r="KDX40"/>
      <c r="KDY40"/>
      <c r="KDZ40"/>
      <c r="KEA40"/>
      <c r="KEB40"/>
      <c r="KEC40"/>
      <c r="KED40"/>
      <c r="KEE40"/>
      <c r="KEF40"/>
      <c r="KEG40"/>
      <c r="KEH40"/>
      <c r="KEI40"/>
      <c r="KEJ40"/>
      <c r="KEK40"/>
      <c r="KEL40"/>
      <c r="KEM40"/>
      <c r="KEN40"/>
      <c r="KEO40"/>
      <c r="KEP40"/>
      <c r="KEQ40"/>
      <c r="KER40"/>
      <c r="KES40"/>
      <c r="KET40"/>
      <c r="KEU40"/>
      <c r="KEV40"/>
      <c r="KEW40"/>
      <c r="KEX40"/>
      <c r="KEY40"/>
      <c r="KEZ40"/>
      <c r="KFA40"/>
      <c r="KFB40"/>
      <c r="KFC40"/>
      <c r="KFD40"/>
      <c r="KFE40"/>
      <c r="KFF40"/>
      <c r="KFG40"/>
      <c r="KFH40"/>
      <c r="KFI40"/>
      <c r="KFJ40"/>
      <c r="KFK40"/>
      <c r="KFL40"/>
      <c r="KFM40"/>
      <c r="KFN40"/>
      <c r="KFO40"/>
      <c r="KFP40"/>
      <c r="KFQ40"/>
      <c r="KFR40"/>
      <c r="KFS40"/>
      <c r="KFT40"/>
      <c r="KFU40"/>
      <c r="KFV40"/>
      <c r="KFW40"/>
      <c r="KFX40"/>
      <c r="KFY40"/>
      <c r="KFZ40"/>
      <c r="KGA40"/>
      <c r="KGB40"/>
      <c r="KGC40"/>
      <c r="KGD40"/>
      <c r="KGE40"/>
      <c r="KGF40"/>
      <c r="KGG40"/>
      <c r="KGH40"/>
      <c r="KGI40"/>
      <c r="KGJ40"/>
      <c r="KGK40"/>
      <c r="KGL40"/>
      <c r="KGM40"/>
      <c r="KGN40"/>
      <c r="KGO40"/>
      <c r="KGP40"/>
      <c r="KGQ40"/>
      <c r="KGR40"/>
      <c r="KGS40"/>
      <c r="KGT40"/>
      <c r="KGU40"/>
      <c r="KGV40"/>
      <c r="KGW40"/>
      <c r="KGX40"/>
      <c r="KGY40"/>
      <c r="KGZ40"/>
      <c r="KHA40"/>
      <c r="KHB40"/>
      <c r="KHC40"/>
      <c r="KHD40"/>
      <c r="KHE40"/>
      <c r="KHF40"/>
      <c r="KHG40"/>
      <c r="KHH40"/>
      <c r="KHI40"/>
      <c r="KHJ40"/>
      <c r="KHK40"/>
      <c r="KHL40"/>
      <c r="KHM40"/>
      <c r="KHN40"/>
      <c r="KHO40"/>
      <c r="KHP40"/>
      <c r="KHQ40"/>
      <c r="KHR40"/>
      <c r="KHS40"/>
      <c r="KHT40"/>
      <c r="KHU40"/>
      <c r="KHV40"/>
      <c r="KHW40"/>
      <c r="KHX40"/>
      <c r="KHY40"/>
      <c r="KHZ40"/>
      <c r="KIA40"/>
      <c r="KIB40"/>
      <c r="KIC40"/>
      <c r="KID40"/>
      <c r="KIE40"/>
      <c r="KIF40"/>
      <c r="KIG40"/>
      <c r="KIH40"/>
      <c r="KII40"/>
      <c r="KIJ40"/>
      <c r="KIK40"/>
      <c r="KIL40"/>
      <c r="KIM40"/>
      <c r="KIN40"/>
      <c r="KIO40"/>
      <c r="KIP40"/>
      <c r="KIQ40"/>
      <c r="KIR40"/>
      <c r="KIS40"/>
      <c r="KIT40"/>
      <c r="KIU40"/>
      <c r="KIV40"/>
      <c r="KIW40"/>
      <c r="KIX40"/>
      <c r="KIY40"/>
      <c r="KIZ40"/>
      <c r="KJA40"/>
      <c r="KJB40"/>
      <c r="KJC40"/>
      <c r="KJD40"/>
      <c r="KJE40"/>
      <c r="KJF40"/>
      <c r="KJG40"/>
      <c r="KJH40"/>
      <c r="KJI40"/>
      <c r="KJJ40"/>
      <c r="KJK40"/>
      <c r="KJL40"/>
      <c r="KJM40"/>
      <c r="KJN40"/>
      <c r="KJO40"/>
      <c r="KJP40"/>
      <c r="KJQ40"/>
      <c r="KJR40"/>
      <c r="KJS40"/>
      <c r="KJT40"/>
      <c r="KJU40"/>
      <c r="KJV40"/>
      <c r="KJW40"/>
      <c r="KJX40"/>
      <c r="KJY40"/>
      <c r="KJZ40"/>
      <c r="KKA40"/>
      <c r="KKB40"/>
      <c r="KKC40"/>
      <c r="KKD40"/>
      <c r="KKE40"/>
      <c r="KKF40"/>
      <c r="KKG40"/>
      <c r="KKH40"/>
      <c r="KKI40"/>
      <c r="KKJ40"/>
      <c r="KKK40"/>
      <c r="KKL40"/>
      <c r="KKM40"/>
      <c r="KKN40"/>
      <c r="KKO40"/>
      <c r="KKP40"/>
      <c r="KKQ40"/>
      <c r="KKR40"/>
      <c r="KKS40"/>
      <c r="KKT40"/>
      <c r="KKU40"/>
      <c r="KKV40"/>
      <c r="KKW40"/>
      <c r="KKX40"/>
      <c r="KKY40"/>
      <c r="KKZ40"/>
      <c r="KLA40"/>
      <c r="KLB40"/>
      <c r="KLC40"/>
      <c r="KLD40"/>
      <c r="KLE40"/>
      <c r="KLF40"/>
      <c r="KLG40"/>
      <c r="KLH40"/>
      <c r="KLI40"/>
      <c r="KLJ40"/>
      <c r="KLK40"/>
      <c r="KLL40"/>
      <c r="KLM40"/>
      <c r="KLN40"/>
      <c r="KLO40"/>
      <c r="KLP40"/>
      <c r="KLQ40"/>
      <c r="KLR40"/>
      <c r="KLS40"/>
      <c r="KLT40"/>
      <c r="KLU40"/>
      <c r="KLV40"/>
      <c r="KLW40"/>
      <c r="KLX40"/>
      <c r="KLY40"/>
      <c r="KLZ40"/>
      <c r="KMA40"/>
      <c r="KMB40"/>
      <c r="KMC40"/>
      <c r="KMD40"/>
      <c r="KME40"/>
      <c r="KMF40"/>
      <c r="KMG40"/>
      <c r="KMH40"/>
      <c r="KMI40"/>
      <c r="KMJ40"/>
      <c r="KMK40"/>
      <c r="KML40"/>
      <c r="KMM40"/>
      <c r="KMN40"/>
      <c r="KMO40"/>
      <c r="KMP40"/>
      <c r="KMQ40"/>
      <c r="KMR40"/>
      <c r="KMS40"/>
      <c r="KMT40"/>
      <c r="KMU40"/>
      <c r="KMV40"/>
      <c r="KMW40"/>
      <c r="KMX40"/>
      <c r="KMY40"/>
      <c r="KMZ40"/>
      <c r="KNA40"/>
      <c r="KNB40"/>
      <c r="KNC40"/>
      <c r="KND40"/>
      <c r="KNE40"/>
      <c r="KNF40"/>
      <c r="KNG40"/>
      <c r="KNH40"/>
      <c r="KNI40"/>
      <c r="KNJ40"/>
      <c r="KNK40"/>
      <c r="KNL40"/>
      <c r="KNM40"/>
      <c r="KNN40"/>
      <c r="KNO40"/>
      <c r="KNP40"/>
      <c r="KNQ40"/>
      <c r="KNR40"/>
      <c r="KNS40"/>
      <c r="KNT40"/>
      <c r="KNU40"/>
      <c r="KNV40"/>
      <c r="KNW40"/>
      <c r="KNX40"/>
      <c r="KNY40"/>
      <c r="KNZ40"/>
      <c r="KOA40"/>
      <c r="KOB40"/>
      <c r="KOC40"/>
      <c r="KOD40"/>
      <c r="KOE40"/>
      <c r="KOF40"/>
      <c r="KOG40"/>
      <c r="KOH40"/>
      <c r="KOI40"/>
      <c r="KOJ40"/>
      <c r="KOK40"/>
      <c r="KOL40"/>
      <c r="KOM40"/>
      <c r="KON40"/>
      <c r="KOO40"/>
      <c r="KOP40"/>
      <c r="KOQ40"/>
      <c r="KOR40"/>
      <c r="KOS40"/>
      <c r="KOT40"/>
      <c r="KOU40"/>
      <c r="KOV40"/>
      <c r="KOW40"/>
      <c r="KOX40"/>
      <c r="KOY40"/>
      <c r="KOZ40"/>
      <c r="KPA40"/>
      <c r="KPB40"/>
      <c r="KPC40"/>
      <c r="KPD40"/>
      <c r="KPE40"/>
      <c r="KPF40"/>
      <c r="KPG40"/>
      <c r="KPH40"/>
      <c r="KPI40"/>
      <c r="KPJ40"/>
      <c r="KPK40"/>
      <c r="KPL40"/>
      <c r="KPM40"/>
      <c r="KPN40"/>
      <c r="KPO40"/>
      <c r="KPP40"/>
      <c r="KPQ40"/>
      <c r="KPR40"/>
      <c r="KPS40"/>
      <c r="KPT40"/>
      <c r="KPU40"/>
      <c r="KPV40"/>
      <c r="KPW40"/>
      <c r="KPX40"/>
      <c r="KPY40"/>
      <c r="KPZ40"/>
      <c r="KQA40"/>
      <c r="KQB40"/>
      <c r="KQC40"/>
      <c r="KQD40"/>
      <c r="KQE40"/>
      <c r="KQF40"/>
      <c r="KQG40"/>
      <c r="KQH40"/>
      <c r="KQI40"/>
      <c r="KQJ40"/>
      <c r="KQK40"/>
      <c r="KQL40"/>
      <c r="KQM40"/>
      <c r="KQN40"/>
      <c r="KQO40"/>
      <c r="KQP40"/>
      <c r="KQQ40"/>
      <c r="KQR40"/>
      <c r="KQS40"/>
      <c r="KQT40"/>
      <c r="KQU40"/>
      <c r="KQV40"/>
      <c r="KQW40"/>
      <c r="KQX40"/>
      <c r="KQY40"/>
      <c r="KQZ40"/>
      <c r="KRA40"/>
      <c r="KRB40"/>
      <c r="KRC40"/>
      <c r="KRD40"/>
      <c r="KRE40"/>
      <c r="KRF40"/>
      <c r="KRG40"/>
      <c r="KRH40"/>
      <c r="KRI40"/>
      <c r="KRJ40"/>
      <c r="KRK40"/>
      <c r="KRL40"/>
      <c r="KRM40"/>
      <c r="KRN40"/>
      <c r="KRO40"/>
      <c r="KRP40"/>
      <c r="KRQ40"/>
      <c r="KRR40"/>
      <c r="KRS40"/>
      <c r="KRT40"/>
      <c r="KRU40"/>
      <c r="KRV40"/>
      <c r="KRW40"/>
      <c r="KRX40"/>
      <c r="KRY40"/>
      <c r="KRZ40"/>
      <c r="KSA40"/>
      <c r="KSB40"/>
      <c r="KSC40"/>
      <c r="KSD40"/>
      <c r="KSE40"/>
      <c r="KSF40"/>
      <c r="KSG40"/>
      <c r="KSH40"/>
      <c r="KSI40"/>
      <c r="KSJ40"/>
      <c r="KSK40"/>
      <c r="KSL40"/>
      <c r="KSM40"/>
      <c r="KSN40"/>
      <c r="KSO40"/>
      <c r="KSP40"/>
      <c r="KSQ40"/>
      <c r="KSR40"/>
      <c r="KSS40"/>
      <c r="KST40"/>
      <c r="KSU40"/>
      <c r="KSV40"/>
      <c r="KSW40"/>
      <c r="KSX40"/>
      <c r="KSY40"/>
      <c r="KSZ40"/>
      <c r="KTA40"/>
      <c r="KTB40"/>
      <c r="KTC40"/>
      <c r="KTD40"/>
      <c r="KTE40"/>
      <c r="KTF40"/>
      <c r="KTG40"/>
      <c r="KTH40"/>
      <c r="KTI40"/>
      <c r="KTJ40"/>
      <c r="KTK40"/>
      <c r="KTL40"/>
      <c r="KTM40"/>
      <c r="KTN40"/>
      <c r="KTO40"/>
      <c r="KTP40"/>
      <c r="KTQ40"/>
      <c r="KTR40"/>
      <c r="KTS40"/>
      <c r="KTT40"/>
      <c r="KTU40"/>
      <c r="KTV40"/>
      <c r="KTW40"/>
      <c r="KTX40"/>
      <c r="KTY40"/>
      <c r="KTZ40"/>
      <c r="KUA40"/>
      <c r="KUB40"/>
      <c r="KUC40"/>
      <c r="KUD40"/>
      <c r="KUE40"/>
      <c r="KUF40"/>
      <c r="KUG40"/>
      <c r="KUH40"/>
      <c r="KUI40"/>
      <c r="KUJ40"/>
      <c r="KUK40"/>
      <c r="KUL40"/>
      <c r="KUM40"/>
      <c r="KUN40"/>
      <c r="KUO40"/>
      <c r="KUP40"/>
      <c r="KUQ40"/>
      <c r="KUR40"/>
      <c r="KUS40"/>
      <c r="KUT40"/>
      <c r="KUU40"/>
      <c r="KUV40"/>
      <c r="KUW40"/>
      <c r="KUX40"/>
      <c r="KUY40"/>
      <c r="KUZ40"/>
      <c r="KVA40"/>
      <c r="KVB40"/>
      <c r="KVC40"/>
      <c r="KVD40"/>
      <c r="KVE40"/>
      <c r="KVF40"/>
      <c r="KVG40"/>
      <c r="KVH40"/>
      <c r="KVI40"/>
      <c r="KVJ40"/>
      <c r="KVK40"/>
      <c r="KVL40"/>
      <c r="KVM40"/>
      <c r="KVN40"/>
      <c r="KVO40"/>
      <c r="KVP40"/>
      <c r="KVQ40"/>
      <c r="KVR40"/>
      <c r="KVS40"/>
      <c r="KVT40"/>
      <c r="KVU40"/>
      <c r="KVV40"/>
      <c r="KVW40"/>
      <c r="KVX40"/>
      <c r="KVY40"/>
      <c r="KVZ40"/>
      <c r="KWA40"/>
      <c r="KWB40"/>
      <c r="KWC40"/>
      <c r="KWD40"/>
      <c r="KWE40"/>
      <c r="KWF40"/>
      <c r="KWG40"/>
      <c r="KWH40"/>
      <c r="KWI40"/>
      <c r="KWJ40"/>
      <c r="KWK40"/>
      <c r="KWL40"/>
      <c r="KWM40"/>
      <c r="KWN40"/>
      <c r="KWO40"/>
      <c r="KWP40"/>
      <c r="KWQ40"/>
      <c r="KWR40"/>
      <c r="KWS40"/>
      <c r="KWT40"/>
      <c r="KWU40"/>
      <c r="KWV40"/>
      <c r="KWW40"/>
      <c r="KWX40"/>
      <c r="KWY40"/>
      <c r="KWZ40"/>
      <c r="KXA40"/>
      <c r="KXB40"/>
      <c r="KXC40"/>
      <c r="KXD40"/>
      <c r="KXE40"/>
      <c r="KXF40"/>
      <c r="KXG40"/>
      <c r="KXH40"/>
      <c r="KXI40"/>
      <c r="KXJ40"/>
      <c r="KXK40"/>
      <c r="KXL40"/>
      <c r="KXM40"/>
      <c r="KXN40"/>
      <c r="KXO40"/>
      <c r="KXP40"/>
      <c r="KXQ40"/>
      <c r="KXR40"/>
      <c r="KXS40"/>
      <c r="KXT40"/>
      <c r="KXU40"/>
      <c r="KXV40"/>
      <c r="KXW40"/>
      <c r="KXX40"/>
      <c r="KXY40"/>
      <c r="KXZ40"/>
      <c r="KYA40"/>
      <c r="KYB40"/>
      <c r="KYC40"/>
      <c r="KYD40"/>
      <c r="KYE40"/>
      <c r="KYF40"/>
      <c r="KYG40"/>
      <c r="KYH40"/>
      <c r="KYI40"/>
      <c r="KYJ40"/>
      <c r="KYK40"/>
      <c r="KYL40"/>
      <c r="KYM40"/>
      <c r="KYN40"/>
      <c r="KYO40"/>
      <c r="KYP40"/>
      <c r="KYQ40"/>
      <c r="KYR40"/>
      <c r="KYS40"/>
      <c r="KYT40"/>
      <c r="KYU40"/>
      <c r="KYV40"/>
      <c r="KYW40"/>
      <c r="KYX40"/>
      <c r="KYY40"/>
      <c r="KYZ40"/>
      <c r="KZA40"/>
      <c r="KZB40"/>
      <c r="KZC40"/>
      <c r="KZD40"/>
      <c r="KZE40"/>
      <c r="KZF40"/>
      <c r="KZG40"/>
      <c r="KZH40"/>
      <c r="KZI40"/>
      <c r="KZJ40"/>
      <c r="KZK40"/>
      <c r="KZL40"/>
      <c r="KZM40"/>
      <c r="KZN40"/>
      <c r="KZO40"/>
      <c r="KZP40"/>
      <c r="KZQ40"/>
      <c r="KZR40"/>
      <c r="KZS40"/>
      <c r="KZT40"/>
      <c r="KZU40"/>
      <c r="KZV40"/>
      <c r="KZW40"/>
      <c r="KZX40"/>
      <c r="KZY40"/>
      <c r="KZZ40"/>
      <c r="LAA40"/>
      <c r="LAB40"/>
      <c r="LAC40"/>
      <c r="LAD40"/>
      <c r="LAE40"/>
      <c r="LAF40"/>
      <c r="LAG40"/>
      <c r="LAH40"/>
      <c r="LAI40"/>
      <c r="LAJ40"/>
      <c r="LAK40"/>
      <c r="LAL40"/>
      <c r="LAM40"/>
      <c r="LAN40"/>
      <c r="LAO40"/>
      <c r="LAP40"/>
      <c r="LAQ40"/>
      <c r="LAR40"/>
      <c r="LAS40"/>
      <c r="LAT40"/>
      <c r="LAU40"/>
      <c r="LAV40"/>
      <c r="LAW40"/>
      <c r="LAX40"/>
      <c r="LAY40"/>
      <c r="LAZ40"/>
      <c r="LBA40"/>
      <c r="LBB40"/>
      <c r="LBC40"/>
      <c r="LBD40"/>
      <c r="LBE40"/>
      <c r="LBF40"/>
      <c r="LBG40"/>
      <c r="LBH40"/>
      <c r="LBI40"/>
      <c r="LBJ40"/>
      <c r="LBK40"/>
      <c r="LBL40"/>
      <c r="LBM40"/>
      <c r="LBN40"/>
      <c r="LBO40"/>
      <c r="LBP40"/>
      <c r="LBQ40"/>
      <c r="LBR40"/>
      <c r="LBS40"/>
      <c r="LBT40"/>
      <c r="LBU40"/>
      <c r="LBV40"/>
      <c r="LBW40"/>
      <c r="LBX40"/>
      <c r="LBY40"/>
      <c r="LBZ40"/>
      <c r="LCA40"/>
      <c r="LCB40"/>
      <c r="LCC40"/>
      <c r="LCD40"/>
      <c r="LCE40"/>
      <c r="LCF40"/>
      <c r="LCG40"/>
      <c r="LCH40"/>
      <c r="LCI40"/>
      <c r="LCJ40"/>
      <c r="LCK40"/>
      <c r="LCL40"/>
      <c r="LCM40"/>
      <c r="LCN40"/>
      <c r="LCO40"/>
      <c r="LCP40"/>
      <c r="LCQ40"/>
      <c r="LCR40"/>
      <c r="LCS40"/>
      <c r="LCT40"/>
      <c r="LCU40"/>
      <c r="LCV40"/>
      <c r="LCW40"/>
      <c r="LCX40"/>
      <c r="LCY40"/>
      <c r="LCZ40"/>
      <c r="LDA40"/>
      <c r="LDB40"/>
      <c r="LDC40"/>
      <c r="LDD40"/>
      <c r="LDE40"/>
      <c r="LDF40"/>
      <c r="LDG40"/>
      <c r="LDH40"/>
      <c r="LDI40"/>
      <c r="LDJ40"/>
      <c r="LDK40"/>
      <c r="LDL40"/>
      <c r="LDM40"/>
      <c r="LDN40"/>
      <c r="LDO40"/>
      <c r="LDP40"/>
      <c r="LDQ40"/>
      <c r="LDR40"/>
      <c r="LDS40"/>
      <c r="LDT40"/>
      <c r="LDU40"/>
      <c r="LDV40"/>
      <c r="LDW40"/>
      <c r="LDX40"/>
      <c r="LDY40"/>
      <c r="LDZ40"/>
      <c r="LEA40"/>
      <c r="LEB40"/>
      <c r="LEC40"/>
      <c r="LED40"/>
      <c r="LEE40"/>
      <c r="LEF40"/>
      <c r="LEG40"/>
      <c r="LEH40"/>
      <c r="LEI40"/>
      <c r="LEJ40"/>
      <c r="LEK40"/>
      <c r="LEL40"/>
      <c r="LEM40"/>
      <c r="LEN40"/>
      <c r="LEO40"/>
      <c r="LEP40"/>
      <c r="LEQ40"/>
      <c r="LER40"/>
      <c r="LES40"/>
      <c r="LET40"/>
      <c r="LEU40"/>
      <c r="LEV40"/>
      <c r="LEW40"/>
      <c r="LEX40"/>
      <c r="LEY40"/>
      <c r="LEZ40"/>
      <c r="LFA40"/>
      <c r="LFB40"/>
      <c r="LFC40"/>
      <c r="LFD40"/>
      <c r="LFE40"/>
      <c r="LFF40"/>
      <c r="LFG40"/>
      <c r="LFH40"/>
      <c r="LFI40"/>
      <c r="LFJ40"/>
      <c r="LFK40"/>
      <c r="LFL40"/>
      <c r="LFM40"/>
      <c r="LFN40"/>
      <c r="LFO40"/>
      <c r="LFP40"/>
      <c r="LFQ40"/>
      <c r="LFR40"/>
      <c r="LFS40"/>
      <c r="LFT40"/>
      <c r="LFU40"/>
      <c r="LFV40"/>
      <c r="LFW40"/>
      <c r="LFX40"/>
      <c r="LFY40"/>
      <c r="LFZ40"/>
      <c r="LGA40"/>
      <c r="LGB40"/>
      <c r="LGC40"/>
      <c r="LGD40"/>
      <c r="LGE40"/>
      <c r="LGF40"/>
      <c r="LGG40"/>
      <c r="LGH40"/>
      <c r="LGI40"/>
      <c r="LGJ40"/>
      <c r="LGK40"/>
      <c r="LGL40"/>
      <c r="LGM40"/>
      <c r="LGN40"/>
      <c r="LGO40"/>
      <c r="LGP40"/>
      <c r="LGQ40"/>
      <c r="LGR40"/>
      <c r="LGS40"/>
      <c r="LGT40"/>
      <c r="LGU40"/>
      <c r="LGV40"/>
      <c r="LGW40"/>
      <c r="LGX40"/>
      <c r="LGY40"/>
      <c r="LGZ40"/>
      <c r="LHA40"/>
      <c r="LHB40"/>
      <c r="LHC40"/>
      <c r="LHD40"/>
      <c r="LHE40"/>
      <c r="LHF40"/>
      <c r="LHG40"/>
      <c r="LHH40"/>
      <c r="LHI40"/>
      <c r="LHJ40"/>
      <c r="LHK40"/>
      <c r="LHL40"/>
      <c r="LHM40"/>
      <c r="LHN40"/>
      <c r="LHO40"/>
      <c r="LHP40"/>
      <c r="LHQ40"/>
      <c r="LHR40"/>
      <c r="LHS40"/>
      <c r="LHT40"/>
      <c r="LHU40"/>
      <c r="LHV40"/>
      <c r="LHW40"/>
      <c r="LHX40"/>
      <c r="LHY40"/>
      <c r="LHZ40"/>
      <c r="LIA40"/>
      <c r="LIB40"/>
      <c r="LIC40"/>
      <c r="LID40"/>
      <c r="LIE40"/>
      <c r="LIF40"/>
      <c r="LIG40"/>
      <c r="LIH40"/>
      <c r="LII40"/>
      <c r="LIJ40"/>
      <c r="LIK40"/>
      <c r="LIL40"/>
      <c r="LIM40"/>
      <c r="LIN40"/>
      <c r="LIO40"/>
      <c r="LIP40"/>
      <c r="LIQ40"/>
      <c r="LIR40"/>
      <c r="LIS40"/>
      <c r="LIT40"/>
      <c r="LIU40"/>
      <c r="LIV40"/>
      <c r="LIW40"/>
      <c r="LIX40"/>
      <c r="LIY40"/>
      <c r="LIZ40"/>
      <c r="LJA40"/>
      <c r="LJB40"/>
      <c r="LJC40"/>
      <c r="LJD40"/>
      <c r="LJE40"/>
      <c r="LJF40"/>
      <c r="LJG40"/>
      <c r="LJH40"/>
      <c r="LJI40"/>
      <c r="LJJ40"/>
      <c r="LJK40"/>
      <c r="LJL40"/>
      <c r="LJM40"/>
      <c r="LJN40"/>
      <c r="LJO40"/>
      <c r="LJP40"/>
      <c r="LJQ40"/>
      <c r="LJR40"/>
      <c r="LJS40"/>
      <c r="LJT40"/>
      <c r="LJU40"/>
      <c r="LJV40"/>
      <c r="LJW40"/>
      <c r="LJX40"/>
      <c r="LJY40"/>
      <c r="LJZ40"/>
      <c r="LKA40"/>
      <c r="LKB40"/>
      <c r="LKC40"/>
      <c r="LKD40"/>
      <c r="LKE40"/>
      <c r="LKF40"/>
      <c r="LKG40"/>
      <c r="LKH40"/>
      <c r="LKI40"/>
      <c r="LKJ40"/>
      <c r="LKK40"/>
      <c r="LKL40"/>
      <c r="LKM40"/>
      <c r="LKN40"/>
      <c r="LKO40"/>
      <c r="LKP40"/>
      <c r="LKQ40"/>
      <c r="LKR40"/>
      <c r="LKS40"/>
      <c r="LKT40"/>
      <c r="LKU40"/>
      <c r="LKV40"/>
      <c r="LKW40"/>
      <c r="LKX40"/>
      <c r="LKY40"/>
      <c r="LKZ40"/>
      <c r="LLA40"/>
      <c r="LLB40"/>
      <c r="LLC40"/>
      <c r="LLD40"/>
      <c r="LLE40"/>
      <c r="LLF40"/>
      <c r="LLG40"/>
      <c r="LLH40"/>
      <c r="LLI40"/>
      <c r="LLJ40"/>
      <c r="LLK40"/>
      <c r="LLL40"/>
      <c r="LLM40"/>
      <c r="LLN40"/>
      <c r="LLO40"/>
      <c r="LLP40"/>
      <c r="LLQ40"/>
      <c r="LLR40"/>
      <c r="LLS40"/>
      <c r="LLT40"/>
      <c r="LLU40"/>
      <c r="LLV40"/>
      <c r="LLW40"/>
      <c r="LLX40"/>
      <c r="LLY40"/>
      <c r="LLZ40"/>
      <c r="LMA40"/>
      <c r="LMB40"/>
      <c r="LMC40"/>
      <c r="LMD40"/>
      <c r="LME40"/>
      <c r="LMF40"/>
      <c r="LMG40"/>
      <c r="LMH40"/>
      <c r="LMI40"/>
      <c r="LMJ40"/>
      <c r="LMK40"/>
      <c r="LML40"/>
      <c r="LMM40"/>
      <c r="LMN40"/>
      <c r="LMO40"/>
      <c r="LMP40"/>
      <c r="LMQ40"/>
      <c r="LMR40"/>
      <c r="LMS40"/>
      <c r="LMT40"/>
      <c r="LMU40"/>
      <c r="LMV40"/>
      <c r="LMW40"/>
      <c r="LMX40"/>
      <c r="LMY40"/>
      <c r="LMZ40"/>
      <c r="LNA40"/>
      <c r="LNB40"/>
      <c r="LNC40"/>
      <c r="LND40"/>
      <c r="LNE40"/>
      <c r="LNF40"/>
      <c r="LNG40"/>
      <c r="LNH40"/>
      <c r="LNI40"/>
      <c r="LNJ40"/>
      <c r="LNK40"/>
      <c r="LNL40"/>
      <c r="LNM40"/>
      <c r="LNN40"/>
      <c r="LNO40"/>
      <c r="LNP40"/>
      <c r="LNQ40"/>
      <c r="LNR40"/>
      <c r="LNS40"/>
      <c r="LNT40"/>
      <c r="LNU40"/>
      <c r="LNV40"/>
      <c r="LNW40"/>
      <c r="LNX40"/>
      <c r="LNY40"/>
      <c r="LNZ40"/>
      <c r="LOA40"/>
      <c r="LOB40"/>
      <c r="LOC40"/>
      <c r="LOD40"/>
      <c r="LOE40"/>
      <c r="LOF40"/>
      <c r="LOG40"/>
      <c r="LOH40"/>
      <c r="LOI40"/>
      <c r="LOJ40"/>
      <c r="LOK40"/>
      <c r="LOL40"/>
      <c r="LOM40"/>
      <c r="LON40"/>
      <c r="LOO40"/>
      <c r="LOP40"/>
      <c r="LOQ40"/>
      <c r="LOR40"/>
      <c r="LOS40"/>
      <c r="LOT40"/>
      <c r="LOU40"/>
      <c r="LOV40"/>
      <c r="LOW40"/>
      <c r="LOX40"/>
      <c r="LOY40"/>
      <c r="LOZ40"/>
      <c r="LPA40"/>
      <c r="LPB40"/>
      <c r="LPC40"/>
      <c r="LPD40"/>
      <c r="LPE40"/>
      <c r="LPF40"/>
      <c r="LPG40"/>
      <c r="LPH40"/>
      <c r="LPI40"/>
      <c r="LPJ40"/>
      <c r="LPK40"/>
      <c r="LPL40"/>
      <c r="LPM40"/>
      <c r="LPN40"/>
      <c r="LPO40"/>
      <c r="LPP40"/>
      <c r="LPQ40"/>
      <c r="LPR40"/>
      <c r="LPS40"/>
      <c r="LPT40"/>
      <c r="LPU40"/>
      <c r="LPV40"/>
      <c r="LPW40"/>
      <c r="LPX40"/>
      <c r="LPY40"/>
      <c r="LPZ40"/>
      <c r="LQA40"/>
      <c r="LQB40"/>
      <c r="LQC40"/>
      <c r="LQD40"/>
      <c r="LQE40"/>
      <c r="LQF40"/>
      <c r="LQG40"/>
      <c r="LQH40"/>
      <c r="LQI40"/>
      <c r="LQJ40"/>
      <c r="LQK40"/>
      <c r="LQL40"/>
      <c r="LQM40"/>
      <c r="LQN40"/>
      <c r="LQO40"/>
      <c r="LQP40"/>
      <c r="LQQ40"/>
      <c r="LQR40"/>
      <c r="LQS40"/>
      <c r="LQT40"/>
      <c r="LQU40"/>
      <c r="LQV40"/>
      <c r="LQW40"/>
      <c r="LQX40"/>
      <c r="LQY40"/>
      <c r="LQZ40"/>
      <c r="LRA40"/>
      <c r="LRB40"/>
      <c r="LRC40"/>
      <c r="LRD40"/>
      <c r="LRE40"/>
      <c r="LRF40"/>
      <c r="LRG40"/>
      <c r="LRH40"/>
      <c r="LRI40"/>
      <c r="LRJ40"/>
      <c r="LRK40"/>
      <c r="LRL40"/>
      <c r="LRM40"/>
      <c r="LRN40"/>
      <c r="LRO40"/>
      <c r="LRP40"/>
      <c r="LRQ40"/>
      <c r="LRR40"/>
      <c r="LRS40"/>
      <c r="LRT40"/>
      <c r="LRU40"/>
      <c r="LRV40"/>
      <c r="LRW40"/>
      <c r="LRX40"/>
      <c r="LRY40"/>
      <c r="LRZ40"/>
      <c r="LSA40"/>
      <c r="LSB40"/>
      <c r="LSC40"/>
      <c r="LSD40"/>
      <c r="LSE40"/>
      <c r="LSF40"/>
      <c r="LSG40"/>
      <c r="LSH40"/>
      <c r="LSI40"/>
      <c r="LSJ40"/>
      <c r="LSK40"/>
      <c r="LSL40"/>
      <c r="LSM40"/>
      <c r="LSN40"/>
      <c r="LSO40"/>
      <c r="LSP40"/>
      <c r="LSQ40"/>
      <c r="LSR40"/>
      <c r="LSS40"/>
      <c r="LST40"/>
      <c r="LSU40"/>
      <c r="LSV40"/>
      <c r="LSW40"/>
      <c r="LSX40"/>
      <c r="LSY40"/>
      <c r="LSZ40"/>
      <c r="LTA40"/>
      <c r="LTB40"/>
      <c r="LTC40"/>
      <c r="LTD40"/>
      <c r="LTE40"/>
      <c r="LTF40"/>
      <c r="LTG40"/>
      <c r="LTH40"/>
      <c r="LTI40"/>
      <c r="LTJ40"/>
      <c r="LTK40"/>
      <c r="LTL40"/>
      <c r="LTM40"/>
      <c r="LTN40"/>
      <c r="LTO40"/>
      <c r="LTP40"/>
      <c r="LTQ40"/>
      <c r="LTR40"/>
      <c r="LTS40"/>
      <c r="LTT40"/>
      <c r="LTU40"/>
      <c r="LTV40"/>
      <c r="LTW40"/>
      <c r="LTX40"/>
      <c r="LTY40"/>
      <c r="LTZ40"/>
      <c r="LUA40"/>
      <c r="LUB40"/>
      <c r="LUC40"/>
      <c r="LUD40"/>
      <c r="LUE40"/>
      <c r="LUF40"/>
      <c r="LUG40"/>
      <c r="LUH40"/>
      <c r="LUI40"/>
      <c r="LUJ40"/>
      <c r="LUK40"/>
      <c r="LUL40"/>
      <c r="LUM40"/>
      <c r="LUN40"/>
      <c r="LUO40"/>
      <c r="LUP40"/>
      <c r="LUQ40"/>
      <c r="LUR40"/>
      <c r="LUS40"/>
      <c r="LUT40"/>
      <c r="LUU40"/>
      <c r="LUV40"/>
      <c r="LUW40"/>
      <c r="LUX40"/>
      <c r="LUY40"/>
      <c r="LUZ40"/>
      <c r="LVA40"/>
      <c r="LVB40"/>
      <c r="LVC40"/>
      <c r="LVD40"/>
      <c r="LVE40"/>
      <c r="LVF40"/>
      <c r="LVG40"/>
      <c r="LVH40"/>
      <c r="LVI40"/>
      <c r="LVJ40"/>
      <c r="LVK40"/>
      <c r="LVL40"/>
      <c r="LVM40"/>
      <c r="LVN40"/>
      <c r="LVO40"/>
      <c r="LVP40"/>
      <c r="LVQ40"/>
      <c r="LVR40"/>
      <c r="LVS40"/>
      <c r="LVT40"/>
      <c r="LVU40"/>
      <c r="LVV40"/>
      <c r="LVW40"/>
      <c r="LVX40"/>
      <c r="LVY40"/>
      <c r="LVZ40"/>
      <c r="LWA40"/>
      <c r="LWB40"/>
      <c r="LWC40"/>
      <c r="LWD40"/>
      <c r="LWE40"/>
      <c r="LWF40"/>
      <c r="LWG40"/>
      <c r="LWH40"/>
      <c r="LWI40"/>
      <c r="LWJ40"/>
      <c r="LWK40"/>
      <c r="LWL40"/>
      <c r="LWM40"/>
      <c r="LWN40"/>
      <c r="LWO40"/>
      <c r="LWP40"/>
      <c r="LWQ40"/>
      <c r="LWR40"/>
      <c r="LWS40"/>
      <c r="LWT40"/>
      <c r="LWU40"/>
      <c r="LWV40"/>
      <c r="LWW40"/>
      <c r="LWX40"/>
      <c r="LWY40"/>
      <c r="LWZ40"/>
      <c r="LXA40"/>
      <c r="LXB40"/>
      <c r="LXC40"/>
      <c r="LXD40"/>
      <c r="LXE40"/>
      <c r="LXF40"/>
      <c r="LXG40"/>
      <c r="LXH40"/>
      <c r="LXI40"/>
      <c r="LXJ40"/>
      <c r="LXK40"/>
      <c r="LXL40"/>
      <c r="LXM40"/>
      <c r="LXN40"/>
      <c r="LXO40"/>
      <c r="LXP40"/>
      <c r="LXQ40"/>
      <c r="LXR40"/>
      <c r="LXS40"/>
      <c r="LXT40"/>
      <c r="LXU40"/>
      <c r="LXV40"/>
      <c r="LXW40"/>
      <c r="LXX40"/>
      <c r="LXY40"/>
      <c r="LXZ40"/>
      <c r="LYA40"/>
      <c r="LYB40"/>
      <c r="LYC40"/>
      <c r="LYD40"/>
      <c r="LYE40"/>
      <c r="LYF40"/>
      <c r="LYG40"/>
      <c r="LYH40"/>
      <c r="LYI40"/>
      <c r="LYJ40"/>
      <c r="LYK40"/>
      <c r="LYL40"/>
      <c r="LYM40"/>
      <c r="LYN40"/>
      <c r="LYO40"/>
      <c r="LYP40"/>
      <c r="LYQ40"/>
      <c r="LYR40"/>
      <c r="LYS40"/>
      <c r="LYT40"/>
      <c r="LYU40"/>
      <c r="LYV40"/>
      <c r="LYW40"/>
      <c r="LYX40"/>
      <c r="LYY40"/>
      <c r="LYZ40"/>
      <c r="LZA40"/>
      <c r="LZB40"/>
      <c r="LZC40"/>
      <c r="LZD40"/>
      <c r="LZE40"/>
      <c r="LZF40"/>
      <c r="LZG40"/>
      <c r="LZH40"/>
      <c r="LZI40"/>
      <c r="LZJ40"/>
      <c r="LZK40"/>
      <c r="LZL40"/>
      <c r="LZM40"/>
      <c r="LZN40"/>
      <c r="LZO40"/>
      <c r="LZP40"/>
      <c r="LZQ40"/>
      <c r="LZR40"/>
      <c r="LZS40"/>
      <c r="LZT40"/>
      <c r="LZU40"/>
      <c r="LZV40"/>
      <c r="LZW40"/>
      <c r="LZX40"/>
      <c r="LZY40"/>
      <c r="LZZ40"/>
      <c r="MAA40"/>
      <c r="MAB40"/>
      <c r="MAC40"/>
      <c r="MAD40"/>
      <c r="MAE40"/>
      <c r="MAF40"/>
      <c r="MAG40"/>
      <c r="MAH40"/>
      <c r="MAI40"/>
      <c r="MAJ40"/>
      <c r="MAK40"/>
      <c r="MAL40"/>
      <c r="MAM40"/>
      <c r="MAN40"/>
      <c r="MAO40"/>
      <c r="MAP40"/>
      <c r="MAQ40"/>
      <c r="MAR40"/>
      <c r="MAS40"/>
      <c r="MAT40"/>
      <c r="MAU40"/>
      <c r="MAV40"/>
      <c r="MAW40"/>
      <c r="MAX40"/>
      <c r="MAY40"/>
      <c r="MAZ40"/>
      <c r="MBA40"/>
      <c r="MBB40"/>
      <c r="MBC40"/>
      <c r="MBD40"/>
      <c r="MBE40"/>
      <c r="MBF40"/>
      <c r="MBG40"/>
      <c r="MBH40"/>
      <c r="MBI40"/>
      <c r="MBJ40"/>
      <c r="MBK40"/>
      <c r="MBL40"/>
      <c r="MBM40"/>
      <c r="MBN40"/>
      <c r="MBO40"/>
      <c r="MBP40"/>
      <c r="MBQ40"/>
      <c r="MBR40"/>
      <c r="MBS40"/>
      <c r="MBT40"/>
      <c r="MBU40"/>
      <c r="MBV40"/>
      <c r="MBW40"/>
      <c r="MBX40"/>
      <c r="MBY40"/>
      <c r="MBZ40"/>
      <c r="MCA40"/>
      <c r="MCB40"/>
      <c r="MCC40"/>
      <c r="MCD40"/>
      <c r="MCE40"/>
      <c r="MCF40"/>
      <c r="MCG40"/>
      <c r="MCH40"/>
      <c r="MCI40"/>
      <c r="MCJ40"/>
      <c r="MCK40"/>
      <c r="MCL40"/>
      <c r="MCM40"/>
      <c r="MCN40"/>
      <c r="MCO40"/>
      <c r="MCP40"/>
      <c r="MCQ40"/>
      <c r="MCR40"/>
      <c r="MCS40"/>
      <c r="MCT40"/>
      <c r="MCU40"/>
      <c r="MCV40"/>
      <c r="MCW40"/>
      <c r="MCX40"/>
      <c r="MCY40"/>
      <c r="MCZ40"/>
      <c r="MDA40"/>
      <c r="MDB40"/>
      <c r="MDC40"/>
      <c r="MDD40"/>
      <c r="MDE40"/>
      <c r="MDF40"/>
      <c r="MDG40"/>
      <c r="MDH40"/>
      <c r="MDI40"/>
      <c r="MDJ40"/>
      <c r="MDK40"/>
      <c r="MDL40"/>
      <c r="MDM40"/>
      <c r="MDN40"/>
      <c r="MDO40"/>
      <c r="MDP40"/>
      <c r="MDQ40"/>
      <c r="MDR40"/>
      <c r="MDS40"/>
      <c r="MDT40"/>
      <c r="MDU40"/>
      <c r="MDV40"/>
      <c r="MDW40"/>
      <c r="MDX40"/>
      <c r="MDY40"/>
      <c r="MDZ40"/>
      <c r="MEA40"/>
      <c r="MEB40"/>
      <c r="MEC40"/>
      <c r="MED40"/>
      <c r="MEE40"/>
      <c r="MEF40"/>
      <c r="MEG40"/>
      <c r="MEH40"/>
      <c r="MEI40"/>
      <c r="MEJ40"/>
      <c r="MEK40"/>
      <c r="MEL40"/>
      <c r="MEM40"/>
      <c r="MEN40"/>
      <c r="MEO40"/>
      <c r="MEP40"/>
      <c r="MEQ40"/>
      <c r="MER40"/>
      <c r="MES40"/>
      <c r="MET40"/>
      <c r="MEU40"/>
      <c r="MEV40"/>
      <c r="MEW40"/>
      <c r="MEX40"/>
      <c r="MEY40"/>
      <c r="MEZ40"/>
      <c r="MFA40"/>
      <c r="MFB40"/>
      <c r="MFC40"/>
      <c r="MFD40"/>
      <c r="MFE40"/>
      <c r="MFF40"/>
      <c r="MFG40"/>
      <c r="MFH40"/>
      <c r="MFI40"/>
      <c r="MFJ40"/>
      <c r="MFK40"/>
      <c r="MFL40"/>
      <c r="MFM40"/>
      <c r="MFN40"/>
      <c r="MFO40"/>
      <c r="MFP40"/>
      <c r="MFQ40"/>
      <c r="MFR40"/>
      <c r="MFS40"/>
      <c r="MFT40"/>
      <c r="MFU40"/>
      <c r="MFV40"/>
      <c r="MFW40"/>
      <c r="MFX40"/>
      <c r="MFY40"/>
      <c r="MFZ40"/>
      <c r="MGA40"/>
      <c r="MGB40"/>
      <c r="MGC40"/>
      <c r="MGD40"/>
      <c r="MGE40"/>
      <c r="MGF40"/>
      <c r="MGG40"/>
      <c r="MGH40"/>
      <c r="MGI40"/>
      <c r="MGJ40"/>
      <c r="MGK40"/>
      <c r="MGL40"/>
      <c r="MGM40"/>
      <c r="MGN40"/>
      <c r="MGO40"/>
      <c r="MGP40"/>
      <c r="MGQ40"/>
      <c r="MGR40"/>
      <c r="MGS40"/>
      <c r="MGT40"/>
      <c r="MGU40"/>
      <c r="MGV40"/>
      <c r="MGW40"/>
      <c r="MGX40"/>
      <c r="MGY40"/>
      <c r="MGZ40"/>
      <c r="MHA40"/>
      <c r="MHB40"/>
      <c r="MHC40"/>
      <c r="MHD40"/>
      <c r="MHE40"/>
      <c r="MHF40"/>
      <c r="MHG40"/>
      <c r="MHH40"/>
      <c r="MHI40"/>
      <c r="MHJ40"/>
      <c r="MHK40"/>
      <c r="MHL40"/>
      <c r="MHM40"/>
      <c r="MHN40"/>
      <c r="MHO40"/>
      <c r="MHP40"/>
      <c r="MHQ40"/>
      <c r="MHR40"/>
      <c r="MHS40"/>
      <c r="MHT40"/>
      <c r="MHU40"/>
      <c r="MHV40"/>
      <c r="MHW40"/>
      <c r="MHX40"/>
      <c r="MHY40"/>
      <c r="MHZ40"/>
      <c r="MIA40"/>
      <c r="MIB40"/>
      <c r="MIC40"/>
      <c r="MID40"/>
      <c r="MIE40"/>
      <c r="MIF40"/>
      <c r="MIG40"/>
      <c r="MIH40"/>
      <c r="MII40"/>
      <c r="MIJ40"/>
      <c r="MIK40"/>
      <c r="MIL40"/>
      <c r="MIM40"/>
      <c r="MIN40"/>
      <c r="MIO40"/>
      <c r="MIP40"/>
      <c r="MIQ40"/>
      <c r="MIR40"/>
      <c r="MIS40"/>
      <c r="MIT40"/>
      <c r="MIU40"/>
      <c r="MIV40"/>
      <c r="MIW40"/>
      <c r="MIX40"/>
      <c r="MIY40"/>
      <c r="MIZ40"/>
      <c r="MJA40"/>
      <c r="MJB40"/>
      <c r="MJC40"/>
      <c r="MJD40"/>
      <c r="MJE40"/>
      <c r="MJF40"/>
      <c r="MJG40"/>
      <c r="MJH40"/>
      <c r="MJI40"/>
      <c r="MJJ40"/>
      <c r="MJK40"/>
      <c r="MJL40"/>
      <c r="MJM40"/>
      <c r="MJN40"/>
      <c r="MJO40"/>
      <c r="MJP40"/>
      <c r="MJQ40"/>
      <c r="MJR40"/>
      <c r="MJS40"/>
      <c r="MJT40"/>
      <c r="MJU40"/>
      <c r="MJV40"/>
      <c r="MJW40"/>
      <c r="MJX40"/>
      <c r="MJY40"/>
      <c r="MJZ40"/>
      <c r="MKA40"/>
      <c r="MKB40"/>
      <c r="MKC40"/>
      <c r="MKD40"/>
      <c r="MKE40"/>
      <c r="MKF40"/>
      <c r="MKG40"/>
      <c r="MKH40"/>
      <c r="MKI40"/>
      <c r="MKJ40"/>
      <c r="MKK40"/>
      <c r="MKL40"/>
      <c r="MKM40"/>
      <c r="MKN40"/>
      <c r="MKO40"/>
      <c r="MKP40"/>
      <c r="MKQ40"/>
      <c r="MKR40"/>
      <c r="MKS40"/>
      <c r="MKT40"/>
      <c r="MKU40"/>
      <c r="MKV40"/>
      <c r="MKW40"/>
      <c r="MKX40"/>
      <c r="MKY40"/>
      <c r="MKZ40"/>
      <c r="MLA40"/>
      <c r="MLB40"/>
      <c r="MLC40"/>
      <c r="MLD40"/>
      <c r="MLE40"/>
      <c r="MLF40"/>
      <c r="MLG40"/>
      <c r="MLH40"/>
      <c r="MLI40"/>
      <c r="MLJ40"/>
      <c r="MLK40"/>
      <c r="MLL40"/>
      <c r="MLM40"/>
      <c r="MLN40"/>
      <c r="MLO40"/>
      <c r="MLP40"/>
      <c r="MLQ40"/>
      <c r="MLR40"/>
      <c r="MLS40"/>
      <c r="MLT40"/>
      <c r="MLU40"/>
      <c r="MLV40"/>
      <c r="MLW40"/>
      <c r="MLX40"/>
      <c r="MLY40"/>
      <c r="MLZ40"/>
      <c r="MMA40"/>
      <c r="MMB40"/>
      <c r="MMC40"/>
      <c r="MMD40"/>
      <c r="MME40"/>
      <c r="MMF40"/>
      <c r="MMG40"/>
      <c r="MMH40"/>
      <c r="MMI40"/>
      <c r="MMJ40"/>
      <c r="MMK40"/>
      <c r="MML40"/>
      <c r="MMM40"/>
      <c r="MMN40"/>
      <c r="MMO40"/>
      <c r="MMP40"/>
      <c r="MMQ40"/>
      <c r="MMR40"/>
      <c r="MMS40"/>
      <c r="MMT40"/>
      <c r="MMU40"/>
      <c r="MMV40"/>
      <c r="MMW40"/>
      <c r="MMX40"/>
      <c r="MMY40"/>
      <c r="MMZ40"/>
      <c r="MNA40"/>
      <c r="MNB40"/>
      <c r="MNC40"/>
      <c r="MND40"/>
      <c r="MNE40"/>
      <c r="MNF40"/>
      <c r="MNG40"/>
      <c r="MNH40"/>
      <c r="MNI40"/>
      <c r="MNJ40"/>
      <c r="MNK40"/>
      <c r="MNL40"/>
      <c r="MNM40"/>
      <c r="MNN40"/>
      <c r="MNO40"/>
      <c r="MNP40"/>
      <c r="MNQ40"/>
      <c r="MNR40"/>
      <c r="MNS40"/>
      <c r="MNT40"/>
      <c r="MNU40"/>
      <c r="MNV40"/>
      <c r="MNW40"/>
      <c r="MNX40"/>
      <c r="MNY40"/>
      <c r="MNZ40"/>
      <c r="MOA40"/>
      <c r="MOB40"/>
      <c r="MOC40"/>
      <c r="MOD40"/>
      <c r="MOE40"/>
      <c r="MOF40"/>
      <c r="MOG40"/>
      <c r="MOH40"/>
      <c r="MOI40"/>
      <c r="MOJ40"/>
      <c r="MOK40"/>
      <c r="MOL40"/>
      <c r="MOM40"/>
      <c r="MON40"/>
      <c r="MOO40"/>
      <c r="MOP40"/>
      <c r="MOQ40"/>
      <c r="MOR40"/>
      <c r="MOS40"/>
      <c r="MOT40"/>
      <c r="MOU40"/>
      <c r="MOV40"/>
      <c r="MOW40"/>
      <c r="MOX40"/>
      <c r="MOY40"/>
      <c r="MOZ40"/>
      <c r="MPA40"/>
      <c r="MPB40"/>
      <c r="MPC40"/>
      <c r="MPD40"/>
      <c r="MPE40"/>
      <c r="MPF40"/>
      <c r="MPG40"/>
      <c r="MPH40"/>
      <c r="MPI40"/>
      <c r="MPJ40"/>
      <c r="MPK40"/>
      <c r="MPL40"/>
      <c r="MPM40"/>
      <c r="MPN40"/>
      <c r="MPO40"/>
      <c r="MPP40"/>
      <c r="MPQ40"/>
      <c r="MPR40"/>
      <c r="MPS40"/>
      <c r="MPT40"/>
      <c r="MPU40"/>
      <c r="MPV40"/>
      <c r="MPW40"/>
      <c r="MPX40"/>
      <c r="MPY40"/>
      <c r="MPZ40"/>
      <c r="MQA40"/>
      <c r="MQB40"/>
      <c r="MQC40"/>
      <c r="MQD40"/>
      <c r="MQE40"/>
      <c r="MQF40"/>
      <c r="MQG40"/>
      <c r="MQH40"/>
      <c r="MQI40"/>
      <c r="MQJ40"/>
      <c r="MQK40"/>
      <c r="MQL40"/>
      <c r="MQM40"/>
      <c r="MQN40"/>
      <c r="MQO40"/>
      <c r="MQP40"/>
      <c r="MQQ40"/>
      <c r="MQR40"/>
      <c r="MQS40"/>
      <c r="MQT40"/>
      <c r="MQU40"/>
      <c r="MQV40"/>
      <c r="MQW40"/>
      <c r="MQX40"/>
      <c r="MQY40"/>
      <c r="MQZ40"/>
      <c r="MRA40"/>
      <c r="MRB40"/>
      <c r="MRC40"/>
      <c r="MRD40"/>
      <c r="MRE40"/>
      <c r="MRF40"/>
      <c r="MRG40"/>
      <c r="MRH40"/>
      <c r="MRI40"/>
      <c r="MRJ40"/>
      <c r="MRK40"/>
      <c r="MRL40"/>
      <c r="MRM40"/>
      <c r="MRN40"/>
      <c r="MRO40"/>
      <c r="MRP40"/>
      <c r="MRQ40"/>
      <c r="MRR40"/>
      <c r="MRS40"/>
      <c r="MRT40"/>
      <c r="MRU40"/>
      <c r="MRV40"/>
      <c r="MRW40"/>
      <c r="MRX40"/>
      <c r="MRY40"/>
      <c r="MRZ40"/>
      <c r="MSA40"/>
      <c r="MSB40"/>
      <c r="MSC40"/>
      <c r="MSD40"/>
      <c r="MSE40"/>
      <c r="MSF40"/>
      <c r="MSG40"/>
      <c r="MSH40"/>
      <c r="MSI40"/>
      <c r="MSJ40"/>
      <c r="MSK40"/>
      <c r="MSL40"/>
      <c r="MSM40"/>
      <c r="MSN40"/>
      <c r="MSO40"/>
      <c r="MSP40"/>
      <c r="MSQ40"/>
      <c r="MSR40"/>
      <c r="MSS40"/>
      <c r="MST40"/>
      <c r="MSU40"/>
      <c r="MSV40"/>
      <c r="MSW40"/>
      <c r="MSX40"/>
      <c r="MSY40"/>
      <c r="MSZ40"/>
      <c r="MTA40"/>
      <c r="MTB40"/>
      <c r="MTC40"/>
      <c r="MTD40"/>
      <c r="MTE40"/>
      <c r="MTF40"/>
      <c r="MTG40"/>
      <c r="MTH40"/>
      <c r="MTI40"/>
      <c r="MTJ40"/>
      <c r="MTK40"/>
      <c r="MTL40"/>
      <c r="MTM40"/>
      <c r="MTN40"/>
      <c r="MTO40"/>
      <c r="MTP40"/>
      <c r="MTQ40"/>
      <c r="MTR40"/>
      <c r="MTS40"/>
      <c r="MTT40"/>
      <c r="MTU40"/>
      <c r="MTV40"/>
      <c r="MTW40"/>
      <c r="MTX40"/>
      <c r="MTY40"/>
      <c r="MTZ40"/>
      <c r="MUA40"/>
      <c r="MUB40"/>
      <c r="MUC40"/>
      <c r="MUD40"/>
      <c r="MUE40"/>
      <c r="MUF40"/>
      <c r="MUG40"/>
      <c r="MUH40"/>
      <c r="MUI40"/>
      <c r="MUJ40"/>
      <c r="MUK40"/>
      <c r="MUL40"/>
      <c r="MUM40"/>
      <c r="MUN40"/>
      <c r="MUO40"/>
      <c r="MUP40"/>
      <c r="MUQ40"/>
      <c r="MUR40"/>
      <c r="MUS40"/>
      <c r="MUT40"/>
      <c r="MUU40"/>
      <c r="MUV40"/>
      <c r="MUW40"/>
      <c r="MUX40"/>
      <c r="MUY40"/>
      <c r="MUZ40"/>
      <c r="MVA40"/>
      <c r="MVB40"/>
      <c r="MVC40"/>
      <c r="MVD40"/>
      <c r="MVE40"/>
      <c r="MVF40"/>
      <c r="MVG40"/>
      <c r="MVH40"/>
      <c r="MVI40"/>
      <c r="MVJ40"/>
      <c r="MVK40"/>
      <c r="MVL40"/>
      <c r="MVM40"/>
      <c r="MVN40"/>
      <c r="MVO40"/>
      <c r="MVP40"/>
      <c r="MVQ40"/>
      <c r="MVR40"/>
      <c r="MVS40"/>
      <c r="MVT40"/>
      <c r="MVU40"/>
      <c r="MVV40"/>
      <c r="MVW40"/>
      <c r="MVX40"/>
      <c r="MVY40"/>
      <c r="MVZ40"/>
      <c r="MWA40"/>
      <c r="MWB40"/>
      <c r="MWC40"/>
      <c r="MWD40"/>
      <c r="MWE40"/>
      <c r="MWF40"/>
      <c r="MWG40"/>
      <c r="MWH40"/>
      <c r="MWI40"/>
      <c r="MWJ40"/>
      <c r="MWK40"/>
      <c r="MWL40"/>
      <c r="MWM40"/>
      <c r="MWN40"/>
      <c r="MWO40"/>
      <c r="MWP40"/>
      <c r="MWQ40"/>
      <c r="MWR40"/>
      <c r="MWS40"/>
      <c r="MWT40"/>
      <c r="MWU40"/>
      <c r="MWV40"/>
      <c r="MWW40"/>
      <c r="MWX40"/>
      <c r="MWY40"/>
      <c r="MWZ40"/>
      <c r="MXA40"/>
      <c r="MXB40"/>
      <c r="MXC40"/>
      <c r="MXD40"/>
      <c r="MXE40"/>
      <c r="MXF40"/>
      <c r="MXG40"/>
      <c r="MXH40"/>
      <c r="MXI40"/>
      <c r="MXJ40"/>
      <c r="MXK40"/>
      <c r="MXL40"/>
      <c r="MXM40"/>
      <c r="MXN40"/>
      <c r="MXO40"/>
      <c r="MXP40"/>
      <c r="MXQ40"/>
      <c r="MXR40"/>
      <c r="MXS40"/>
      <c r="MXT40"/>
      <c r="MXU40"/>
      <c r="MXV40"/>
      <c r="MXW40"/>
      <c r="MXX40"/>
      <c r="MXY40"/>
      <c r="MXZ40"/>
      <c r="MYA40"/>
      <c r="MYB40"/>
      <c r="MYC40"/>
      <c r="MYD40"/>
      <c r="MYE40"/>
      <c r="MYF40"/>
      <c r="MYG40"/>
      <c r="MYH40"/>
      <c r="MYI40"/>
      <c r="MYJ40"/>
      <c r="MYK40"/>
      <c r="MYL40"/>
      <c r="MYM40"/>
      <c r="MYN40"/>
      <c r="MYO40"/>
      <c r="MYP40"/>
      <c r="MYQ40"/>
      <c r="MYR40"/>
      <c r="MYS40"/>
      <c r="MYT40"/>
      <c r="MYU40"/>
      <c r="MYV40"/>
      <c r="MYW40"/>
      <c r="MYX40"/>
      <c r="MYY40"/>
      <c r="MYZ40"/>
      <c r="MZA40"/>
      <c r="MZB40"/>
      <c r="MZC40"/>
      <c r="MZD40"/>
      <c r="MZE40"/>
      <c r="MZF40"/>
      <c r="MZG40"/>
      <c r="MZH40"/>
      <c r="MZI40"/>
      <c r="MZJ40"/>
      <c r="MZK40"/>
      <c r="MZL40"/>
      <c r="MZM40"/>
      <c r="MZN40"/>
      <c r="MZO40"/>
      <c r="MZP40"/>
      <c r="MZQ40"/>
      <c r="MZR40"/>
      <c r="MZS40"/>
      <c r="MZT40"/>
      <c r="MZU40"/>
      <c r="MZV40"/>
      <c r="MZW40"/>
      <c r="MZX40"/>
      <c r="MZY40"/>
      <c r="MZZ40"/>
      <c r="NAA40"/>
      <c r="NAB40"/>
      <c r="NAC40"/>
      <c r="NAD40"/>
      <c r="NAE40"/>
      <c r="NAF40"/>
      <c r="NAG40"/>
      <c r="NAH40"/>
      <c r="NAI40"/>
      <c r="NAJ40"/>
      <c r="NAK40"/>
      <c r="NAL40"/>
      <c r="NAM40"/>
      <c r="NAN40"/>
      <c r="NAO40"/>
      <c r="NAP40"/>
      <c r="NAQ40"/>
      <c r="NAR40"/>
      <c r="NAS40"/>
      <c r="NAT40"/>
      <c r="NAU40"/>
      <c r="NAV40"/>
      <c r="NAW40"/>
      <c r="NAX40"/>
      <c r="NAY40"/>
      <c r="NAZ40"/>
      <c r="NBA40"/>
      <c r="NBB40"/>
      <c r="NBC40"/>
      <c r="NBD40"/>
      <c r="NBE40"/>
      <c r="NBF40"/>
      <c r="NBG40"/>
      <c r="NBH40"/>
      <c r="NBI40"/>
      <c r="NBJ40"/>
      <c r="NBK40"/>
      <c r="NBL40"/>
      <c r="NBM40"/>
      <c r="NBN40"/>
      <c r="NBO40"/>
      <c r="NBP40"/>
      <c r="NBQ40"/>
      <c r="NBR40"/>
      <c r="NBS40"/>
      <c r="NBT40"/>
      <c r="NBU40"/>
      <c r="NBV40"/>
      <c r="NBW40"/>
      <c r="NBX40"/>
      <c r="NBY40"/>
      <c r="NBZ40"/>
      <c r="NCA40"/>
      <c r="NCB40"/>
      <c r="NCC40"/>
      <c r="NCD40"/>
      <c r="NCE40"/>
      <c r="NCF40"/>
      <c r="NCG40"/>
      <c r="NCH40"/>
      <c r="NCI40"/>
      <c r="NCJ40"/>
      <c r="NCK40"/>
      <c r="NCL40"/>
      <c r="NCM40"/>
      <c r="NCN40"/>
      <c r="NCO40"/>
      <c r="NCP40"/>
      <c r="NCQ40"/>
      <c r="NCR40"/>
      <c r="NCS40"/>
      <c r="NCT40"/>
      <c r="NCU40"/>
      <c r="NCV40"/>
      <c r="NCW40"/>
      <c r="NCX40"/>
      <c r="NCY40"/>
      <c r="NCZ40"/>
      <c r="NDA40"/>
      <c r="NDB40"/>
      <c r="NDC40"/>
      <c r="NDD40"/>
      <c r="NDE40"/>
      <c r="NDF40"/>
      <c r="NDG40"/>
      <c r="NDH40"/>
      <c r="NDI40"/>
      <c r="NDJ40"/>
      <c r="NDK40"/>
      <c r="NDL40"/>
      <c r="NDM40"/>
      <c r="NDN40"/>
      <c r="NDO40"/>
      <c r="NDP40"/>
      <c r="NDQ40"/>
      <c r="NDR40"/>
      <c r="NDS40"/>
      <c r="NDT40"/>
      <c r="NDU40"/>
      <c r="NDV40"/>
      <c r="NDW40"/>
      <c r="NDX40"/>
      <c r="NDY40"/>
      <c r="NDZ40"/>
      <c r="NEA40"/>
      <c r="NEB40"/>
      <c r="NEC40"/>
      <c r="NED40"/>
      <c r="NEE40"/>
      <c r="NEF40"/>
      <c r="NEG40"/>
      <c r="NEH40"/>
      <c r="NEI40"/>
      <c r="NEJ40"/>
      <c r="NEK40"/>
      <c r="NEL40"/>
      <c r="NEM40"/>
      <c r="NEN40"/>
      <c r="NEO40"/>
      <c r="NEP40"/>
      <c r="NEQ40"/>
      <c r="NER40"/>
      <c r="NES40"/>
      <c r="NET40"/>
      <c r="NEU40"/>
      <c r="NEV40"/>
      <c r="NEW40"/>
      <c r="NEX40"/>
      <c r="NEY40"/>
      <c r="NEZ40"/>
      <c r="NFA40"/>
      <c r="NFB40"/>
      <c r="NFC40"/>
      <c r="NFD40"/>
      <c r="NFE40"/>
      <c r="NFF40"/>
      <c r="NFG40"/>
      <c r="NFH40"/>
      <c r="NFI40"/>
      <c r="NFJ40"/>
      <c r="NFK40"/>
      <c r="NFL40"/>
      <c r="NFM40"/>
      <c r="NFN40"/>
      <c r="NFO40"/>
      <c r="NFP40"/>
      <c r="NFQ40"/>
      <c r="NFR40"/>
      <c r="NFS40"/>
      <c r="NFT40"/>
      <c r="NFU40"/>
      <c r="NFV40"/>
      <c r="NFW40"/>
      <c r="NFX40"/>
      <c r="NFY40"/>
      <c r="NFZ40"/>
      <c r="NGA40"/>
      <c r="NGB40"/>
      <c r="NGC40"/>
      <c r="NGD40"/>
      <c r="NGE40"/>
      <c r="NGF40"/>
      <c r="NGG40"/>
      <c r="NGH40"/>
      <c r="NGI40"/>
      <c r="NGJ40"/>
      <c r="NGK40"/>
      <c r="NGL40"/>
      <c r="NGM40"/>
      <c r="NGN40"/>
      <c r="NGO40"/>
      <c r="NGP40"/>
      <c r="NGQ40"/>
      <c r="NGR40"/>
      <c r="NGS40"/>
      <c r="NGT40"/>
      <c r="NGU40"/>
      <c r="NGV40"/>
      <c r="NGW40"/>
      <c r="NGX40"/>
      <c r="NGY40"/>
      <c r="NGZ40"/>
      <c r="NHA40"/>
      <c r="NHB40"/>
      <c r="NHC40"/>
      <c r="NHD40"/>
      <c r="NHE40"/>
      <c r="NHF40"/>
      <c r="NHG40"/>
      <c r="NHH40"/>
      <c r="NHI40"/>
      <c r="NHJ40"/>
      <c r="NHK40"/>
      <c r="NHL40"/>
      <c r="NHM40"/>
      <c r="NHN40"/>
      <c r="NHO40"/>
      <c r="NHP40"/>
      <c r="NHQ40"/>
      <c r="NHR40"/>
      <c r="NHS40"/>
      <c r="NHT40"/>
      <c r="NHU40"/>
      <c r="NHV40"/>
      <c r="NHW40"/>
      <c r="NHX40"/>
      <c r="NHY40"/>
      <c r="NHZ40"/>
      <c r="NIA40"/>
      <c r="NIB40"/>
      <c r="NIC40"/>
      <c r="NID40"/>
      <c r="NIE40"/>
      <c r="NIF40"/>
      <c r="NIG40"/>
      <c r="NIH40"/>
      <c r="NII40"/>
      <c r="NIJ40"/>
      <c r="NIK40"/>
      <c r="NIL40"/>
      <c r="NIM40"/>
      <c r="NIN40"/>
      <c r="NIO40"/>
      <c r="NIP40"/>
      <c r="NIQ40"/>
      <c r="NIR40"/>
      <c r="NIS40"/>
      <c r="NIT40"/>
      <c r="NIU40"/>
      <c r="NIV40"/>
      <c r="NIW40"/>
      <c r="NIX40"/>
      <c r="NIY40"/>
      <c r="NIZ40"/>
      <c r="NJA40"/>
      <c r="NJB40"/>
      <c r="NJC40"/>
      <c r="NJD40"/>
      <c r="NJE40"/>
      <c r="NJF40"/>
      <c r="NJG40"/>
      <c r="NJH40"/>
      <c r="NJI40"/>
      <c r="NJJ40"/>
      <c r="NJK40"/>
      <c r="NJL40"/>
      <c r="NJM40"/>
      <c r="NJN40"/>
      <c r="NJO40"/>
      <c r="NJP40"/>
      <c r="NJQ40"/>
      <c r="NJR40"/>
      <c r="NJS40"/>
      <c r="NJT40"/>
      <c r="NJU40"/>
      <c r="NJV40"/>
      <c r="NJW40"/>
      <c r="NJX40"/>
      <c r="NJY40"/>
      <c r="NJZ40"/>
      <c r="NKA40"/>
      <c r="NKB40"/>
      <c r="NKC40"/>
      <c r="NKD40"/>
      <c r="NKE40"/>
      <c r="NKF40"/>
      <c r="NKG40"/>
      <c r="NKH40"/>
      <c r="NKI40"/>
      <c r="NKJ40"/>
      <c r="NKK40"/>
      <c r="NKL40"/>
      <c r="NKM40"/>
      <c r="NKN40"/>
      <c r="NKO40"/>
      <c r="NKP40"/>
      <c r="NKQ40"/>
      <c r="NKR40"/>
      <c r="NKS40"/>
      <c r="NKT40"/>
      <c r="NKU40"/>
      <c r="NKV40"/>
      <c r="NKW40"/>
      <c r="NKX40"/>
      <c r="NKY40"/>
      <c r="NKZ40"/>
      <c r="NLA40"/>
      <c r="NLB40"/>
      <c r="NLC40"/>
      <c r="NLD40"/>
      <c r="NLE40"/>
      <c r="NLF40"/>
      <c r="NLG40"/>
      <c r="NLH40"/>
      <c r="NLI40"/>
      <c r="NLJ40"/>
      <c r="NLK40"/>
      <c r="NLL40"/>
      <c r="NLM40"/>
      <c r="NLN40"/>
      <c r="NLO40"/>
      <c r="NLP40"/>
      <c r="NLQ40"/>
      <c r="NLR40"/>
      <c r="NLS40"/>
      <c r="NLT40"/>
      <c r="NLU40"/>
      <c r="NLV40"/>
      <c r="NLW40"/>
      <c r="NLX40"/>
      <c r="NLY40"/>
      <c r="NLZ40"/>
      <c r="NMA40"/>
      <c r="NMB40"/>
      <c r="NMC40"/>
      <c r="NMD40"/>
      <c r="NME40"/>
      <c r="NMF40"/>
      <c r="NMG40"/>
      <c r="NMH40"/>
      <c r="NMI40"/>
      <c r="NMJ40"/>
      <c r="NMK40"/>
      <c r="NML40"/>
      <c r="NMM40"/>
      <c r="NMN40"/>
      <c r="NMO40"/>
      <c r="NMP40"/>
      <c r="NMQ40"/>
      <c r="NMR40"/>
      <c r="NMS40"/>
      <c r="NMT40"/>
      <c r="NMU40"/>
      <c r="NMV40"/>
      <c r="NMW40"/>
      <c r="NMX40"/>
      <c r="NMY40"/>
      <c r="NMZ40"/>
      <c r="NNA40"/>
      <c r="NNB40"/>
      <c r="NNC40"/>
      <c r="NND40"/>
      <c r="NNE40"/>
      <c r="NNF40"/>
      <c r="NNG40"/>
      <c r="NNH40"/>
      <c r="NNI40"/>
      <c r="NNJ40"/>
      <c r="NNK40"/>
      <c r="NNL40"/>
      <c r="NNM40"/>
      <c r="NNN40"/>
      <c r="NNO40"/>
      <c r="NNP40"/>
      <c r="NNQ40"/>
      <c r="NNR40"/>
      <c r="NNS40"/>
      <c r="NNT40"/>
      <c r="NNU40"/>
      <c r="NNV40"/>
      <c r="NNW40"/>
      <c r="NNX40"/>
      <c r="NNY40"/>
      <c r="NNZ40"/>
      <c r="NOA40"/>
      <c r="NOB40"/>
      <c r="NOC40"/>
      <c r="NOD40"/>
      <c r="NOE40"/>
      <c r="NOF40"/>
      <c r="NOG40"/>
      <c r="NOH40"/>
      <c r="NOI40"/>
      <c r="NOJ40"/>
      <c r="NOK40"/>
      <c r="NOL40"/>
      <c r="NOM40"/>
      <c r="NON40"/>
      <c r="NOO40"/>
      <c r="NOP40"/>
      <c r="NOQ40"/>
      <c r="NOR40"/>
      <c r="NOS40"/>
      <c r="NOT40"/>
      <c r="NOU40"/>
      <c r="NOV40"/>
      <c r="NOW40"/>
      <c r="NOX40"/>
      <c r="NOY40"/>
      <c r="NOZ40"/>
      <c r="NPA40"/>
      <c r="NPB40"/>
      <c r="NPC40"/>
      <c r="NPD40"/>
      <c r="NPE40"/>
      <c r="NPF40"/>
      <c r="NPG40"/>
      <c r="NPH40"/>
      <c r="NPI40"/>
      <c r="NPJ40"/>
      <c r="NPK40"/>
      <c r="NPL40"/>
      <c r="NPM40"/>
      <c r="NPN40"/>
      <c r="NPO40"/>
      <c r="NPP40"/>
      <c r="NPQ40"/>
      <c r="NPR40"/>
      <c r="NPS40"/>
      <c r="NPT40"/>
      <c r="NPU40"/>
      <c r="NPV40"/>
      <c r="NPW40"/>
      <c r="NPX40"/>
      <c r="NPY40"/>
      <c r="NPZ40"/>
      <c r="NQA40"/>
      <c r="NQB40"/>
      <c r="NQC40"/>
      <c r="NQD40"/>
      <c r="NQE40"/>
      <c r="NQF40"/>
      <c r="NQG40"/>
      <c r="NQH40"/>
      <c r="NQI40"/>
      <c r="NQJ40"/>
      <c r="NQK40"/>
      <c r="NQL40"/>
      <c r="NQM40"/>
      <c r="NQN40"/>
      <c r="NQO40"/>
      <c r="NQP40"/>
      <c r="NQQ40"/>
      <c r="NQR40"/>
      <c r="NQS40"/>
      <c r="NQT40"/>
      <c r="NQU40"/>
      <c r="NQV40"/>
      <c r="NQW40"/>
      <c r="NQX40"/>
      <c r="NQY40"/>
      <c r="NQZ40"/>
      <c r="NRA40"/>
      <c r="NRB40"/>
      <c r="NRC40"/>
      <c r="NRD40"/>
      <c r="NRE40"/>
      <c r="NRF40"/>
      <c r="NRG40"/>
      <c r="NRH40"/>
      <c r="NRI40"/>
      <c r="NRJ40"/>
      <c r="NRK40"/>
      <c r="NRL40"/>
      <c r="NRM40"/>
      <c r="NRN40"/>
      <c r="NRO40"/>
      <c r="NRP40"/>
      <c r="NRQ40"/>
      <c r="NRR40"/>
      <c r="NRS40"/>
      <c r="NRT40"/>
      <c r="NRU40"/>
      <c r="NRV40"/>
      <c r="NRW40"/>
      <c r="NRX40"/>
      <c r="NRY40"/>
      <c r="NRZ40"/>
      <c r="NSA40"/>
      <c r="NSB40"/>
      <c r="NSC40"/>
      <c r="NSD40"/>
      <c r="NSE40"/>
      <c r="NSF40"/>
      <c r="NSG40"/>
      <c r="NSH40"/>
      <c r="NSI40"/>
      <c r="NSJ40"/>
      <c r="NSK40"/>
      <c r="NSL40"/>
      <c r="NSM40"/>
      <c r="NSN40"/>
      <c r="NSO40"/>
      <c r="NSP40"/>
      <c r="NSQ40"/>
      <c r="NSR40"/>
      <c r="NSS40"/>
      <c r="NST40"/>
      <c r="NSU40"/>
      <c r="NSV40"/>
      <c r="NSW40"/>
      <c r="NSX40"/>
      <c r="NSY40"/>
      <c r="NSZ40"/>
      <c r="NTA40"/>
      <c r="NTB40"/>
      <c r="NTC40"/>
      <c r="NTD40"/>
      <c r="NTE40"/>
      <c r="NTF40"/>
      <c r="NTG40"/>
      <c r="NTH40"/>
      <c r="NTI40"/>
      <c r="NTJ40"/>
      <c r="NTK40"/>
      <c r="NTL40"/>
      <c r="NTM40"/>
      <c r="NTN40"/>
      <c r="NTO40"/>
      <c r="NTP40"/>
      <c r="NTQ40"/>
      <c r="NTR40"/>
      <c r="NTS40"/>
      <c r="NTT40"/>
      <c r="NTU40"/>
      <c r="NTV40"/>
      <c r="NTW40"/>
      <c r="NTX40"/>
      <c r="NTY40"/>
      <c r="NTZ40"/>
      <c r="NUA40"/>
      <c r="NUB40"/>
      <c r="NUC40"/>
      <c r="NUD40"/>
      <c r="NUE40"/>
      <c r="NUF40"/>
      <c r="NUG40"/>
      <c r="NUH40"/>
      <c r="NUI40"/>
      <c r="NUJ40"/>
      <c r="NUK40"/>
      <c r="NUL40"/>
      <c r="NUM40"/>
      <c r="NUN40"/>
      <c r="NUO40"/>
      <c r="NUP40"/>
      <c r="NUQ40"/>
      <c r="NUR40"/>
      <c r="NUS40"/>
      <c r="NUT40"/>
      <c r="NUU40"/>
      <c r="NUV40"/>
      <c r="NUW40"/>
      <c r="NUX40"/>
      <c r="NUY40"/>
      <c r="NUZ40"/>
      <c r="NVA40"/>
      <c r="NVB40"/>
      <c r="NVC40"/>
      <c r="NVD40"/>
      <c r="NVE40"/>
      <c r="NVF40"/>
      <c r="NVG40"/>
      <c r="NVH40"/>
      <c r="NVI40"/>
      <c r="NVJ40"/>
      <c r="NVK40"/>
      <c r="NVL40"/>
      <c r="NVM40"/>
      <c r="NVN40"/>
      <c r="NVO40"/>
      <c r="NVP40"/>
      <c r="NVQ40"/>
      <c r="NVR40"/>
      <c r="NVS40"/>
      <c r="NVT40"/>
      <c r="NVU40"/>
      <c r="NVV40"/>
      <c r="NVW40"/>
      <c r="NVX40"/>
      <c r="NVY40"/>
      <c r="NVZ40"/>
      <c r="NWA40"/>
      <c r="NWB40"/>
      <c r="NWC40"/>
      <c r="NWD40"/>
      <c r="NWE40"/>
      <c r="NWF40"/>
      <c r="NWG40"/>
      <c r="NWH40"/>
      <c r="NWI40"/>
      <c r="NWJ40"/>
      <c r="NWK40"/>
      <c r="NWL40"/>
      <c r="NWM40"/>
      <c r="NWN40"/>
      <c r="NWO40"/>
      <c r="NWP40"/>
      <c r="NWQ40"/>
      <c r="NWR40"/>
      <c r="NWS40"/>
      <c r="NWT40"/>
      <c r="NWU40"/>
      <c r="NWV40"/>
      <c r="NWW40"/>
      <c r="NWX40"/>
      <c r="NWY40"/>
      <c r="NWZ40"/>
      <c r="NXA40"/>
      <c r="NXB40"/>
      <c r="NXC40"/>
      <c r="NXD40"/>
      <c r="NXE40"/>
      <c r="NXF40"/>
      <c r="NXG40"/>
      <c r="NXH40"/>
      <c r="NXI40"/>
      <c r="NXJ40"/>
      <c r="NXK40"/>
      <c r="NXL40"/>
      <c r="NXM40"/>
      <c r="NXN40"/>
      <c r="NXO40"/>
      <c r="NXP40"/>
      <c r="NXQ40"/>
      <c r="NXR40"/>
      <c r="NXS40"/>
      <c r="NXT40"/>
      <c r="NXU40"/>
      <c r="NXV40"/>
      <c r="NXW40"/>
      <c r="NXX40"/>
      <c r="NXY40"/>
      <c r="NXZ40"/>
      <c r="NYA40"/>
      <c r="NYB40"/>
      <c r="NYC40"/>
      <c r="NYD40"/>
      <c r="NYE40"/>
      <c r="NYF40"/>
      <c r="NYG40"/>
      <c r="NYH40"/>
      <c r="NYI40"/>
      <c r="NYJ40"/>
      <c r="NYK40"/>
      <c r="NYL40"/>
      <c r="NYM40"/>
      <c r="NYN40"/>
      <c r="NYO40"/>
      <c r="NYP40"/>
      <c r="NYQ40"/>
      <c r="NYR40"/>
      <c r="NYS40"/>
      <c r="NYT40"/>
      <c r="NYU40"/>
      <c r="NYV40"/>
      <c r="NYW40"/>
      <c r="NYX40"/>
      <c r="NYY40"/>
      <c r="NYZ40"/>
      <c r="NZA40"/>
      <c r="NZB40"/>
      <c r="NZC40"/>
      <c r="NZD40"/>
      <c r="NZE40"/>
      <c r="NZF40"/>
      <c r="NZG40"/>
      <c r="NZH40"/>
      <c r="NZI40"/>
      <c r="NZJ40"/>
      <c r="NZK40"/>
      <c r="NZL40"/>
      <c r="NZM40"/>
      <c r="NZN40"/>
      <c r="NZO40"/>
      <c r="NZP40"/>
      <c r="NZQ40"/>
      <c r="NZR40"/>
      <c r="NZS40"/>
      <c r="NZT40"/>
      <c r="NZU40"/>
      <c r="NZV40"/>
      <c r="NZW40"/>
      <c r="NZX40"/>
      <c r="NZY40"/>
      <c r="NZZ40"/>
      <c r="OAA40"/>
      <c r="OAB40"/>
      <c r="OAC40"/>
      <c r="OAD40"/>
      <c r="OAE40"/>
      <c r="OAF40"/>
      <c r="OAG40"/>
      <c r="OAH40"/>
      <c r="OAI40"/>
      <c r="OAJ40"/>
      <c r="OAK40"/>
      <c r="OAL40"/>
      <c r="OAM40"/>
      <c r="OAN40"/>
      <c r="OAO40"/>
      <c r="OAP40"/>
      <c r="OAQ40"/>
      <c r="OAR40"/>
      <c r="OAS40"/>
      <c r="OAT40"/>
      <c r="OAU40"/>
      <c r="OAV40"/>
      <c r="OAW40"/>
      <c r="OAX40"/>
      <c r="OAY40"/>
      <c r="OAZ40"/>
      <c r="OBA40"/>
      <c r="OBB40"/>
      <c r="OBC40"/>
      <c r="OBD40"/>
      <c r="OBE40"/>
      <c r="OBF40"/>
      <c r="OBG40"/>
      <c r="OBH40"/>
      <c r="OBI40"/>
      <c r="OBJ40"/>
      <c r="OBK40"/>
      <c r="OBL40"/>
      <c r="OBM40"/>
      <c r="OBN40"/>
      <c r="OBO40"/>
      <c r="OBP40"/>
      <c r="OBQ40"/>
      <c r="OBR40"/>
      <c r="OBS40"/>
      <c r="OBT40"/>
      <c r="OBU40"/>
      <c r="OBV40"/>
      <c r="OBW40"/>
      <c r="OBX40"/>
      <c r="OBY40"/>
      <c r="OBZ40"/>
      <c r="OCA40"/>
      <c r="OCB40"/>
      <c r="OCC40"/>
      <c r="OCD40"/>
      <c r="OCE40"/>
      <c r="OCF40"/>
      <c r="OCG40"/>
      <c r="OCH40"/>
      <c r="OCI40"/>
      <c r="OCJ40"/>
      <c r="OCK40"/>
      <c r="OCL40"/>
      <c r="OCM40"/>
      <c r="OCN40"/>
      <c r="OCO40"/>
      <c r="OCP40"/>
      <c r="OCQ40"/>
      <c r="OCR40"/>
      <c r="OCS40"/>
      <c r="OCT40"/>
      <c r="OCU40"/>
      <c r="OCV40"/>
      <c r="OCW40"/>
      <c r="OCX40"/>
      <c r="OCY40"/>
      <c r="OCZ40"/>
      <c r="ODA40"/>
      <c r="ODB40"/>
      <c r="ODC40"/>
      <c r="ODD40"/>
      <c r="ODE40"/>
      <c r="ODF40"/>
      <c r="ODG40"/>
      <c r="ODH40"/>
      <c r="ODI40"/>
      <c r="ODJ40"/>
      <c r="ODK40"/>
      <c r="ODL40"/>
      <c r="ODM40"/>
      <c r="ODN40"/>
      <c r="ODO40"/>
      <c r="ODP40"/>
      <c r="ODQ40"/>
      <c r="ODR40"/>
      <c r="ODS40"/>
      <c r="ODT40"/>
      <c r="ODU40"/>
      <c r="ODV40"/>
      <c r="ODW40"/>
      <c r="ODX40"/>
      <c r="ODY40"/>
      <c r="ODZ40"/>
      <c r="OEA40"/>
      <c r="OEB40"/>
      <c r="OEC40"/>
      <c r="OED40"/>
      <c r="OEE40"/>
      <c r="OEF40"/>
      <c r="OEG40"/>
      <c r="OEH40"/>
      <c r="OEI40"/>
      <c r="OEJ40"/>
      <c r="OEK40"/>
      <c r="OEL40"/>
      <c r="OEM40"/>
      <c r="OEN40"/>
      <c r="OEO40"/>
      <c r="OEP40"/>
      <c r="OEQ40"/>
      <c r="OER40"/>
      <c r="OES40"/>
      <c r="OET40"/>
      <c r="OEU40"/>
      <c r="OEV40"/>
      <c r="OEW40"/>
      <c r="OEX40"/>
      <c r="OEY40"/>
      <c r="OEZ40"/>
      <c r="OFA40"/>
      <c r="OFB40"/>
      <c r="OFC40"/>
      <c r="OFD40"/>
      <c r="OFE40"/>
      <c r="OFF40"/>
      <c r="OFG40"/>
      <c r="OFH40"/>
      <c r="OFI40"/>
      <c r="OFJ40"/>
      <c r="OFK40"/>
      <c r="OFL40"/>
      <c r="OFM40"/>
      <c r="OFN40"/>
      <c r="OFO40"/>
      <c r="OFP40"/>
      <c r="OFQ40"/>
      <c r="OFR40"/>
      <c r="OFS40"/>
      <c r="OFT40"/>
      <c r="OFU40"/>
      <c r="OFV40"/>
      <c r="OFW40"/>
      <c r="OFX40"/>
      <c r="OFY40"/>
      <c r="OFZ40"/>
      <c r="OGA40"/>
      <c r="OGB40"/>
      <c r="OGC40"/>
      <c r="OGD40"/>
      <c r="OGE40"/>
      <c r="OGF40"/>
      <c r="OGG40"/>
      <c r="OGH40"/>
      <c r="OGI40"/>
      <c r="OGJ40"/>
      <c r="OGK40"/>
      <c r="OGL40"/>
      <c r="OGM40"/>
      <c r="OGN40"/>
      <c r="OGO40"/>
      <c r="OGP40"/>
      <c r="OGQ40"/>
      <c r="OGR40"/>
      <c r="OGS40"/>
      <c r="OGT40"/>
      <c r="OGU40"/>
      <c r="OGV40"/>
      <c r="OGW40"/>
      <c r="OGX40"/>
      <c r="OGY40"/>
      <c r="OGZ40"/>
      <c r="OHA40"/>
      <c r="OHB40"/>
      <c r="OHC40"/>
      <c r="OHD40"/>
      <c r="OHE40"/>
      <c r="OHF40"/>
      <c r="OHG40"/>
      <c r="OHH40"/>
      <c r="OHI40"/>
      <c r="OHJ40"/>
      <c r="OHK40"/>
      <c r="OHL40"/>
      <c r="OHM40"/>
      <c r="OHN40"/>
      <c r="OHO40"/>
      <c r="OHP40"/>
      <c r="OHQ40"/>
      <c r="OHR40"/>
      <c r="OHS40"/>
      <c r="OHT40"/>
      <c r="OHU40"/>
      <c r="OHV40"/>
      <c r="OHW40"/>
      <c r="OHX40"/>
      <c r="OHY40"/>
      <c r="OHZ40"/>
      <c r="OIA40"/>
      <c r="OIB40"/>
      <c r="OIC40"/>
      <c r="OID40"/>
      <c r="OIE40"/>
      <c r="OIF40"/>
      <c r="OIG40"/>
      <c r="OIH40"/>
      <c r="OII40"/>
      <c r="OIJ40"/>
      <c r="OIK40"/>
      <c r="OIL40"/>
      <c r="OIM40"/>
      <c r="OIN40"/>
      <c r="OIO40"/>
      <c r="OIP40"/>
      <c r="OIQ40"/>
      <c r="OIR40"/>
      <c r="OIS40"/>
      <c r="OIT40"/>
      <c r="OIU40"/>
      <c r="OIV40"/>
      <c r="OIW40"/>
      <c r="OIX40"/>
      <c r="OIY40"/>
      <c r="OIZ40"/>
      <c r="OJA40"/>
      <c r="OJB40"/>
      <c r="OJC40"/>
      <c r="OJD40"/>
      <c r="OJE40"/>
      <c r="OJF40"/>
      <c r="OJG40"/>
      <c r="OJH40"/>
      <c r="OJI40"/>
      <c r="OJJ40"/>
      <c r="OJK40"/>
      <c r="OJL40"/>
      <c r="OJM40"/>
      <c r="OJN40"/>
      <c r="OJO40"/>
      <c r="OJP40"/>
      <c r="OJQ40"/>
      <c r="OJR40"/>
      <c r="OJS40"/>
      <c r="OJT40"/>
      <c r="OJU40"/>
      <c r="OJV40"/>
      <c r="OJW40"/>
      <c r="OJX40"/>
      <c r="OJY40"/>
      <c r="OJZ40"/>
      <c r="OKA40"/>
      <c r="OKB40"/>
      <c r="OKC40"/>
      <c r="OKD40"/>
      <c r="OKE40"/>
      <c r="OKF40"/>
      <c r="OKG40"/>
      <c r="OKH40"/>
      <c r="OKI40"/>
      <c r="OKJ40"/>
      <c r="OKK40"/>
      <c r="OKL40"/>
      <c r="OKM40"/>
      <c r="OKN40"/>
      <c r="OKO40"/>
      <c r="OKP40"/>
      <c r="OKQ40"/>
      <c r="OKR40"/>
      <c r="OKS40"/>
      <c r="OKT40"/>
      <c r="OKU40"/>
      <c r="OKV40"/>
      <c r="OKW40"/>
      <c r="OKX40"/>
      <c r="OKY40"/>
      <c r="OKZ40"/>
      <c r="OLA40"/>
      <c r="OLB40"/>
      <c r="OLC40"/>
      <c r="OLD40"/>
      <c r="OLE40"/>
      <c r="OLF40"/>
      <c r="OLG40"/>
      <c r="OLH40"/>
      <c r="OLI40"/>
      <c r="OLJ40"/>
      <c r="OLK40"/>
      <c r="OLL40"/>
      <c r="OLM40"/>
      <c r="OLN40"/>
      <c r="OLO40"/>
      <c r="OLP40"/>
      <c r="OLQ40"/>
      <c r="OLR40"/>
      <c r="OLS40"/>
      <c r="OLT40"/>
      <c r="OLU40"/>
      <c r="OLV40"/>
      <c r="OLW40"/>
      <c r="OLX40"/>
      <c r="OLY40"/>
      <c r="OLZ40"/>
      <c r="OMA40"/>
      <c r="OMB40"/>
      <c r="OMC40"/>
      <c r="OMD40"/>
      <c r="OME40"/>
      <c r="OMF40"/>
      <c r="OMG40"/>
      <c r="OMH40"/>
      <c r="OMI40"/>
      <c r="OMJ40"/>
      <c r="OMK40"/>
      <c r="OML40"/>
      <c r="OMM40"/>
      <c r="OMN40"/>
      <c r="OMO40"/>
      <c r="OMP40"/>
      <c r="OMQ40"/>
      <c r="OMR40"/>
      <c r="OMS40"/>
      <c r="OMT40"/>
      <c r="OMU40"/>
      <c r="OMV40"/>
      <c r="OMW40"/>
      <c r="OMX40"/>
      <c r="OMY40"/>
      <c r="OMZ40"/>
      <c r="ONA40"/>
      <c r="ONB40"/>
      <c r="ONC40"/>
      <c r="OND40"/>
      <c r="ONE40"/>
      <c r="ONF40"/>
      <c r="ONG40"/>
      <c r="ONH40"/>
      <c r="ONI40"/>
      <c r="ONJ40"/>
      <c r="ONK40"/>
      <c r="ONL40"/>
      <c r="ONM40"/>
      <c r="ONN40"/>
      <c r="ONO40"/>
      <c r="ONP40"/>
      <c r="ONQ40"/>
      <c r="ONR40"/>
      <c r="ONS40"/>
      <c r="ONT40"/>
      <c r="ONU40"/>
      <c r="ONV40"/>
      <c r="ONW40"/>
      <c r="ONX40"/>
      <c r="ONY40"/>
      <c r="ONZ40"/>
      <c r="OOA40"/>
      <c r="OOB40"/>
      <c r="OOC40"/>
      <c r="OOD40"/>
      <c r="OOE40"/>
      <c r="OOF40"/>
      <c r="OOG40"/>
      <c r="OOH40"/>
      <c r="OOI40"/>
      <c r="OOJ40"/>
      <c r="OOK40"/>
      <c r="OOL40"/>
      <c r="OOM40"/>
      <c r="OON40"/>
      <c r="OOO40"/>
      <c r="OOP40"/>
      <c r="OOQ40"/>
      <c r="OOR40"/>
      <c r="OOS40"/>
      <c r="OOT40"/>
      <c r="OOU40"/>
      <c r="OOV40"/>
      <c r="OOW40"/>
      <c r="OOX40"/>
      <c r="OOY40"/>
      <c r="OOZ40"/>
      <c r="OPA40"/>
      <c r="OPB40"/>
      <c r="OPC40"/>
      <c r="OPD40"/>
      <c r="OPE40"/>
      <c r="OPF40"/>
      <c r="OPG40"/>
      <c r="OPH40"/>
      <c r="OPI40"/>
      <c r="OPJ40"/>
      <c r="OPK40"/>
      <c r="OPL40"/>
      <c r="OPM40"/>
      <c r="OPN40"/>
      <c r="OPO40"/>
      <c r="OPP40"/>
      <c r="OPQ40"/>
      <c r="OPR40"/>
      <c r="OPS40"/>
      <c r="OPT40"/>
      <c r="OPU40"/>
      <c r="OPV40"/>
      <c r="OPW40"/>
      <c r="OPX40"/>
      <c r="OPY40"/>
      <c r="OPZ40"/>
      <c r="OQA40"/>
      <c r="OQB40"/>
      <c r="OQC40"/>
      <c r="OQD40"/>
      <c r="OQE40"/>
      <c r="OQF40"/>
      <c r="OQG40"/>
      <c r="OQH40"/>
      <c r="OQI40"/>
      <c r="OQJ40"/>
      <c r="OQK40"/>
      <c r="OQL40"/>
      <c r="OQM40"/>
      <c r="OQN40"/>
      <c r="OQO40"/>
      <c r="OQP40"/>
      <c r="OQQ40"/>
      <c r="OQR40"/>
      <c r="OQS40"/>
      <c r="OQT40"/>
      <c r="OQU40"/>
      <c r="OQV40"/>
      <c r="OQW40"/>
      <c r="OQX40"/>
      <c r="OQY40"/>
      <c r="OQZ40"/>
      <c r="ORA40"/>
      <c r="ORB40"/>
      <c r="ORC40"/>
      <c r="ORD40"/>
      <c r="ORE40"/>
      <c r="ORF40"/>
      <c r="ORG40"/>
      <c r="ORH40"/>
      <c r="ORI40"/>
      <c r="ORJ40"/>
      <c r="ORK40"/>
      <c r="ORL40"/>
      <c r="ORM40"/>
      <c r="ORN40"/>
      <c r="ORO40"/>
      <c r="ORP40"/>
      <c r="ORQ40"/>
      <c r="ORR40"/>
      <c r="ORS40"/>
      <c r="ORT40"/>
      <c r="ORU40"/>
      <c r="ORV40"/>
      <c r="ORW40"/>
      <c r="ORX40"/>
      <c r="ORY40"/>
      <c r="ORZ40"/>
      <c r="OSA40"/>
      <c r="OSB40"/>
      <c r="OSC40"/>
      <c r="OSD40"/>
      <c r="OSE40"/>
      <c r="OSF40"/>
      <c r="OSG40"/>
      <c r="OSH40"/>
      <c r="OSI40"/>
      <c r="OSJ40"/>
      <c r="OSK40"/>
      <c r="OSL40"/>
      <c r="OSM40"/>
      <c r="OSN40"/>
      <c r="OSO40"/>
      <c r="OSP40"/>
      <c r="OSQ40"/>
      <c r="OSR40"/>
      <c r="OSS40"/>
      <c r="OST40"/>
      <c r="OSU40"/>
      <c r="OSV40"/>
      <c r="OSW40"/>
      <c r="OSX40"/>
      <c r="OSY40"/>
      <c r="OSZ40"/>
      <c r="OTA40"/>
      <c r="OTB40"/>
      <c r="OTC40"/>
      <c r="OTD40"/>
      <c r="OTE40"/>
      <c r="OTF40"/>
      <c r="OTG40"/>
      <c r="OTH40"/>
      <c r="OTI40"/>
      <c r="OTJ40"/>
      <c r="OTK40"/>
      <c r="OTL40"/>
      <c r="OTM40"/>
      <c r="OTN40"/>
      <c r="OTO40"/>
      <c r="OTP40"/>
      <c r="OTQ40"/>
      <c r="OTR40"/>
      <c r="OTS40"/>
      <c r="OTT40"/>
      <c r="OTU40"/>
      <c r="OTV40"/>
      <c r="OTW40"/>
      <c r="OTX40"/>
      <c r="OTY40"/>
      <c r="OTZ40"/>
      <c r="OUA40"/>
      <c r="OUB40"/>
      <c r="OUC40"/>
      <c r="OUD40"/>
      <c r="OUE40"/>
      <c r="OUF40"/>
      <c r="OUG40"/>
      <c r="OUH40"/>
      <c r="OUI40"/>
      <c r="OUJ40"/>
      <c r="OUK40"/>
      <c r="OUL40"/>
      <c r="OUM40"/>
      <c r="OUN40"/>
      <c r="OUO40"/>
      <c r="OUP40"/>
      <c r="OUQ40"/>
      <c r="OUR40"/>
      <c r="OUS40"/>
      <c r="OUT40"/>
      <c r="OUU40"/>
      <c r="OUV40"/>
      <c r="OUW40"/>
      <c r="OUX40"/>
      <c r="OUY40"/>
      <c r="OUZ40"/>
      <c r="OVA40"/>
      <c r="OVB40"/>
      <c r="OVC40"/>
      <c r="OVD40"/>
      <c r="OVE40"/>
      <c r="OVF40"/>
      <c r="OVG40"/>
      <c r="OVH40"/>
      <c r="OVI40"/>
      <c r="OVJ40"/>
      <c r="OVK40"/>
      <c r="OVL40"/>
      <c r="OVM40"/>
      <c r="OVN40"/>
      <c r="OVO40"/>
      <c r="OVP40"/>
      <c r="OVQ40"/>
      <c r="OVR40"/>
      <c r="OVS40"/>
      <c r="OVT40"/>
      <c r="OVU40"/>
      <c r="OVV40"/>
      <c r="OVW40"/>
      <c r="OVX40"/>
      <c r="OVY40"/>
      <c r="OVZ40"/>
      <c r="OWA40"/>
      <c r="OWB40"/>
      <c r="OWC40"/>
      <c r="OWD40"/>
      <c r="OWE40"/>
      <c r="OWF40"/>
      <c r="OWG40"/>
      <c r="OWH40"/>
      <c r="OWI40"/>
      <c r="OWJ40"/>
      <c r="OWK40"/>
      <c r="OWL40"/>
      <c r="OWM40"/>
      <c r="OWN40"/>
      <c r="OWO40"/>
      <c r="OWP40"/>
      <c r="OWQ40"/>
      <c r="OWR40"/>
      <c r="OWS40"/>
      <c r="OWT40"/>
      <c r="OWU40"/>
      <c r="OWV40"/>
      <c r="OWW40"/>
      <c r="OWX40"/>
      <c r="OWY40"/>
      <c r="OWZ40"/>
      <c r="OXA40"/>
      <c r="OXB40"/>
      <c r="OXC40"/>
      <c r="OXD40"/>
      <c r="OXE40"/>
      <c r="OXF40"/>
      <c r="OXG40"/>
      <c r="OXH40"/>
      <c r="OXI40"/>
      <c r="OXJ40"/>
      <c r="OXK40"/>
      <c r="OXL40"/>
      <c r="OXM40"/>
      <c r="OXN40"/>
      <c r="OXO40"/>
      <c r="OXP40"/>
      <c r="OXQ40"/>
      <c r="OXR40"/>
      <c r="OXS40"/>
      <c r="OXT40"/>
      <c r="OXU40"/>
      <c r="OXV40"/>
      <c r="OXW40"/>
      <c r="OXX40"/>
      <c r="OXY40"/>
      <c r="OXZ40"/>
      <c r="OYA40"/>
      <c r="OYB40"/>
      <c r="OYC40"/>
      <c r="OYD40"/>
      <c r="OYE40"/>
      <c r="OYF40"/>
      <c r="OYG40"/>
      <c r="OYH40"/>
      <c r="OYI40"/>
      <c r="OYJ40"/>
      <c r="OYK40"/>
      <c r="OYL40"/>
      <c r="OYM40"/>
      <c r="OYN40"/>
      <c r="OYO40"/>
      <c r="OYP40"/>
      <c r="OYQ40"/>
      <c r="OYR40"/>
      <c r="OYS40"/>
      <c r="OYT40"/>
      <c r="OYU40"/>
      <c r="OYV40"/>
      <c r="OYW40"/>
      <c r="OYX40"/>
      <c r="OYY40"/>
      <c r="OYZ40"/>
      <c r="OZA40"/>
      <c r="OZB40"/>
      <c r="OZC40"/>
      <c r="OZD40"/>
      <c r="OZE40"/>
      <c r="OZF40"/>
      <c r="OZG40"/>
      <c r="OZH40"/>
      <c r="OZI40"/>
      <c r="OZJ40"/>
      <c r="OZK40"/>
      <c r="OZL40"/>
      <c r="OZM40"/>
      <c r="OZN40"/>
      <c r="OZO40"/>
      <c r="OZP40"/>
      <c r="OZQ40"/>
      <c r="OZR40"/>
      <c r="OZS40"/>
      <c r="OZT40"/>
      <c r="OZU40"/>
      <c r="OZV40"/>
      <c r="OZW40"/>
      <c r="OZX40"/>
      <c r="OZY40"/>
      <c r="OZZ40"/>
      <c r="PAA40"/>
      <c r="PAB40"/>
      <c r="PAC40"/>
      <c r="PAD40"/>
      <c r="PAE40"/>
      <c r="PAF40"/>
      <c r="PAG40"/>
      <c r="PAH40"/>
      <c r="PAI40"/>
      <c r="PAJ40"/>
      <c r="PAK40"/>
      <c r="PAL40"/>
      <c r="PAM40"/>
      <c r="PAN40"/>
      <c r="PAO40"/>
      <c r="PAP40"/>
      <c r="PAQ40"/>
      <c r="PAR40"/>
      <c r="PAS40"/>
      <c r="PAT40"/>
      <c r="PAU40"/>
      <c r="PAV40"/>
      <c r="PAW40"/>
      <c r="PAX40"/>
      <c r="PAY40"/>
      <c r="PAZ40"/>
      <c r="PBA40"/>
      <c r="PBB40"/>
      <c r="PBC40"/>
      <c r="PBD40"/>
      <c r="PBE40"/>
      <c r="PBF40"/>
      <c r="PBG40"/>
      <c r="PBH40"/>
      <c r="PBI40"/>
      <c r="PBJ40"/>
      <c r="PBK40"/>
      <c r="PBL40"/>
      <c r="PBM40"/>
      <c r="PBN40"/>
      <c r="PBO40"/>
      <c r="PBP40"/>
      <c r="PBQ40"/>
      <c r="PBR40"/>
      <c r="PBS40"/>
      <c r="PBT40"/>
      <c r="PBU40"/>
      <c r="PBV40"/>
      <c r="PBW40"/>
      <c r="PBX40"/>
      <c r="PBY40"/>
      <c r="PBZ40"/>
      <c r="PCA40"/>
      <c r="PCB40"/>
      <c r="PCC40"/>
      <c r="PCD40"/>
      <c r="PCE40"/>
      <c r="PCF40"/>
      <c r="PCG40"/>
      <c r="PCH40"/>
      <c r="PCI40"/>
      <c r="PCJ40"/>
      <c r="PCK40"/>
      <c r="PCL40"/>
      <c r="PCM40"/>
      <c r="PCN40"/>
      <c r="PCO40"/>
      <c r="PCP40"/>
      <c r="PCQ40"/>
      <c r="PCR40"/>
      <c r="PCS40"/>
      <c r="PCT40"/>
      <c r="PCU40"/>
      <c r="PCV40"/>
      <c r="PCW40"/>
      <c r="PCX40"/>
      <c r="PCY40"/>
      <c r="PCZ40"/>
      <c r="PDA40"/>
      <c r="PDB40"/>
      <c r="PDC40"/>
      <c r="PDD40"/>
      <c r="PDE40"/>
      <c r="PDF40"/>
      <c r="PDG40"/>
      <c r="PDH40"/>
      <c r="PDI40"/>
      <c r="PDJ40"/>
      <c r="PDK40"/>
      <c r="PDL40"/>
      <c r="PDM40"/>
      <c r="PDN40"/>
      <c r="PDO40"/>
      <c r="PDP40"/>
      <c r="PDQ40"/>
      <c r="PDR40"/>
      <c r="PDS40"/>
      <c r="PDT40"/>
      <c r="PDU40"/>
      <c r="PDV40"/>
      <c r="PDW40"/>
      <c r="PDX40"/>
      <c r="PDY40"/>
      <c r="PDZ40"/>
      <c r="PEA40"/>
      <c r="PEB40"/>
      <c r="PEC40"/>
      <c r="PED40"/>
      <c r="PEE40"/>
      <c r="PEF40"/>
      <c r="PEG40"/>
      <c r="PEH40"/>
      <c r="PEI40"/>
      <c r="PEJ40"/>
      <c r="PEK40"/>
      <c r="PEL40"/>
      <c r="PEM40"/>
      <c r="PEN40"/>
      <c r="PEO40"/>
      <c r="PEP40"/>
      <c r="PEQ40"/>
      <c r="PER40"/>
      <c r="PES40"/>
      <c r="PET40"/>
      <c r="PEU40"/>
      <c r="PEV40"/>
      <c r="PEW40"/>
      <c r="PEX40"/>
      <c r="PEY40"/>
      <c r="PEZ40"/>
      <c r="PFA40"/>
      <c r="PFB40"/>
      <c r="PFC40"/>
      <c r="PFD40"/>
      <c r="PFE40"/>
      <c r="PFF40"/>
      <c r="PFG40"/>
      <c r="PFH40"/>
      <c r="PFI40"/>
      <c r="PFJ40"/>
      <c r="PFK40"/>
      <c r="PFL40"/>
      <c r="PFM40"/>
      <c r="PFN40"/>
      <c r="PFO40"/>
      <c r="PFP40"/>
      <c r="PFQ40"/>
      <c r="PFR40"/>
      <c r="PFS40"/>
      <c r="PFT40"/>
      <c r="PFU40"/>
      <c r="PFV40"/>
      <c r="PFW40"/>
      <c r="PFX40"/>
      <c r="PFY40"/>
      <c r="PFZ40"/>
      <c r="PGA40"/>
      <c r="PGB40"/>
      <c r="PGC40"/>
      <c r="PGD40"/>
      <c r="PGE40"/>
      <c r="PGF40"/>
      <c r="PGG40"/>
      <c r="PGH40"/>
      <c r="PGI40"/>
      <c r="PGJ40"/>
      <c r="PGK40"/>
      <c r="PGL40"/>
      <c r="PGM40"/>
      <c r="PGN40"/>
      <c r="PGO40"/>
      <c r="PGP40"/>
      <c r="PGQ40"/>
      <c r="PGR40"/>
      <c r="PGS40"/>
      <c r="PGT40"/>
      <c r="PGU40"/>
      <c r="PGV40"/>
      <c r="PGW40"/>
      <c r="PGX40"/>
      <c r="PGY40"/>
      <c r="PGZ40"/>
      <c r="PHA40"/>
      <c r="PHB40"/>
      <c r="PHC40"/>
      <c r="PHD40"/>
      <c r="PHE40"/>
      <c r="PHF40"/>
      <c r="PHG40"/>
      <c r="PHH40"/>
      <c r="PHI40"/>
      <c r="PHJ40"/>
      <c r="PHK40"/>
      <c r="PHL40"/>
      <c r="PHM40"/>
      <c r="PHN40"/>
      <c r="PHO40"/>
      <c r="PHP40"/>
      <c r="PHQ40"/>
      <c r="PHR40"/>
      <c r="PHS40"/>
      <c r="PHT40"/>
      <c r="PHU40"/>
      <c r="PHV40"/>
      <c r="PHW40"/>
      <c r="PHX40"/>
      <c r="PHY40"/>
      <c r="PHZ40"/>
      <c r="PIA40"/>
      <c r="PIB40"/>
      <c r="PIC40"/>
      <c r="PID40"/>
      <c r="PIE40"/>
      <c r="PIF40"/>
      <c r="PIG40"/>
      <c r="PIH40"/>
      <c r="PII40"/>
      <c r="PIJ40"/>
      <c r="PIK40"/>
      <c r="PIL40"/>
      <c r="PIM40"/>
      <c r="PIN40"/>
      <c r="PIO40"/>
      <c r="PIP40"/>
      <c r="PIQ40"/>
      <c r="PIR40"/>
      <c r="PIS40"/>
      <c r="PIT40"/>
      <c r="PIU40"/>
      <c r="PIV40"/>
      <c r="PIW40"/>
      <c r="PIX40"/>
      <c r="PIY40"/>
      <c r="PIZ40"/>
      <c r="PJA40"/>
      <c r="PJB40"/>
      <c r="PJC40"/>
      <c r="PJD40"/>
      <c r="PJE40"/>
      <c r="PJF40"/>
      <c r="PJG40"/>
      <c r="PJH40"/>
      <c r="PJI40"/>
      <c r="PJJ40"/>
      <c r="PJK40"/>
      <c r="PJL40"/>
      <c r="PJM40"/>
      <c r="PJN40"/>
      <c r="PJO40"/>
      <c r="PJP40"/>
      <c r="PJQ40"/>
      <c r="PJR40"/>
      <c r="PJS40"/>
      <c r="PJT40"/>
      <c r="PJU40"/>
      <c r="PJV40"/>
      <c r="PJW40"/>
      <c r="PJX40"/>
      <c r="PJY40"/>
      <c r="PJZ40"/>
      <c r="PKA40"/>
      <c r="PKB40"/>
      <c r="PKC40"/>
      <c r="PKD40"/>
      <c r="PKE40"/>
      <c r="PKF40"/>
      <c r="PKG40"/>
      <c r="PKH40"/>
      <c r="PKI40"/>
      <c r="PKJ40"/>
      <c r="PKK40"/>
      <c r="PKL40"/>
      <c r="PKM40"/>
      <c r="PKN40"/>
      <c r="PKO40"/>
      <c r="PKP40"/>
      <c r="PKQ40"/>
      <c r="PKR40"/>
      <c r="PKS40"/>
      <c r="PKT40"/>
      <c r="PKU40"/>
      <c r="PKV40"/>
      <c r="PKW40"/>
      <c r="PKX40"/>
      <c r="PKY40"/>
      <c r="PKZ40"/>
      <c r="PLA40"/>
      <c r="PLB40"/>
      <c r="PLC40"/>
      <c r="PLD40"/>
      <c r="PLE40"/>
      <c r="PLF40"/>
      <c r="PLG40"/>
      <c r="PLH40"/>
      <c r="PLI40"/>
      <c r="PLJ40"/>
      <c r="PLK40"/>
      <c r="PLL40"/>
      <c r="PLM40"/>
      <c r="PLN40"/>
      <c r="PLO40"/>
      <c r="PLP40"/>
      <c r="PLQ40"/>
      <c r="PLR40"/>
      <c r="PLS40"/>
      <c r="PLT40"/>
      <c r="PLU40"/>
      <c r="PLV40"/>
      <c r="PLW40"/>
      <c r="PLX40"/>
      <c r="PLY40"/>
      <c r="PLZ40"/>
      <c r="PMA40"/>
      <c r="PMB40"/>
      <c r="PMC40"/>
      <c r="PMD40"/>
      <c r="PME40"/>
      <c r="PMF40"/>
      <c r="PMG40"/>
      <c r="PMH40"/>
      <c r="PMI40"/>
      <c r="PMJ40"/>
      <c r="PMK40"/>
      <c r="PML40"/>
      <c r="PMM40"/>
      <c r="PMN40"/>
      <c r="PMO40"/>
      <c r="PMP40"/>
      <c r="PMQ40"/>
      <c r="PMR40"/>
      <c r="PMS40"/>
      <c r="PMT40"/>
      <c r="PMU40"/>
      <c r="PMV40"/>
      <c r="PMW40"/>
      <c r="PMX40"/>
      <c r="PMY40"/>
      <c r="PMZ40"/>
      <c r="PNA40"/>
      <c r="PNB40"/>
      <c r="PNC40"/>
      <c r="PND40"/>
      <c r="PNE40"/>
      <c r="PNF40"/>
      <c r="PNG40"/>
      <c r="PNH40"/>
      <c r="PNI40"/>
      <c r="PNJ40"/>
      <c r="PNK40"/>
      <c r="PNL40"/>
      <c r="PNM40"/>
      <c r="PNN40"/>
      <c r="PNO40"/>
      <c r="PNP40"/>
      <c r="PNQ40"/>
      <c r="PNR40"/>
      <c r="PNS40"/>
      <c r="PNT40"/>
      <c r="PNU40"/>
      <c r="PNV40"/>
      <c r="PNW40"/>
      <c r="PNX40"/>
      <c r="PNY40"/>
      <c r="PNZ40"/>
      <c r="POA40"/>
      <c r="POB40"/>
      <c r="POC40"/>
      <c r="POD40"/>
      <c r="POE40"/>
      <c r="POF40"/>
      <c r="POG40"/>
      <c r="POH40"/>
      <c r="POI40"/>
      <c r="POJ40"/>
      <c r="POK40"/>
      <c r="POL40"/>
      <c r="POM40"/>
      <c r="PON40"/>
      <c r="POO40"/>
      <c r="POP40"/>
      <c r="POQ40"/>
      <c r="POR40"/>
      <c r="POS40"/>
      <c r="POT40"/>
      <c r="POU40"/>
      <c r="POV40"/>
      <c r="POW40"/>
      <c r="POX40"/>
      <c r="POY40"/>
      <c r="POZ40"/>
      <c r="PPA40"/>
      <c r="PPB40"/>
      <c r="PPC40"/>
      <c r="PPD40"/>
      <c r="PPE40"/>
      <c r="PPF40"/>
      <c r="PPG40"/>
      <c r="PPH40"/>
      <c r="PPI40"/>
      <c r="PPJ40"/>
      <c r="PPK40"/>
      <c r="PPL40"/>
      <c r="PPM40"/>
      <c r="PPN40"/>
      <c r="PPO40"/>
      <c r="PPP40"/>
      <c r="PPQ40"/>
      <c r="PPR40"/>
      <c r="PPS40"/>
      <c r="PPT40"/>
      <c r="PPU40"/>
      <c r="PPV40"/>
      <c r="PPW40"/>
      <c r="PPX40"/>
      <c r="PPY40"/>
      <c r="PPZ40"/>
      <c r="PQA40"/>
      <c r="PQB40"/>
      <c r="PQC40"/>
      <c r="PQD40"/>
      <c r="PQE40"/>
      <c r="PQF40"/>
      <c r="PQG40"/>
      <c r="PQH40"/>
      <c r="PQI40"/>
      <c r="PQJ40"/>
      <c r="PQK40"/>
      <c r="PQL40"/>
      <c r="PQM40"/>
      <c r="PQN40"/>
      <c r="PQO40"/>
      <c r="PQP40"/>
      <c r="PQQ40"/>
      <c r="PQR40"/>
      <c r="PQS40"/>
      <c r="PQT40"/>
      <c r="PQU40"/>
      <c r="PQV40"/>
      <c r="PQW40"/>
      <c r="PQX40"/>
      <c r="PQY40"/>
      <c r="PQZ40"/>
      <c r="PRA40"/>
      <c r="PRB40"/>
      <c r="PRC40"/>
      <c r="PRD40"/>
      <c r="PRE40"/>
      <c r="PRF40"/>
      <c r="PRG40"/>
      <c r="PRH40"/>
      <c r="PRI40"/>
      <c r="PRJ40"/>
      <c r="PRK40"/>
      <c r="PRL40"/>
      <c r="PRM40"/>
      <c r="PRN40"/>
      <c r="PRO40"/>
      <c r="PRP40"/>
      <c r="PRQ40"/>
      <c r="PRR40"/>
      <c r="PRS40"/>
      <c r="PRT40"/>
      <c r="PRU40"/>
      <c r="PRV40"/>
      <c r="PRW40"/>
      <c r="PRX40"/>
      <c r="PRY40"/>
      <c r="PRZ40"/>
      <c r="PSA40"/>
      <c r="PSB40"/>
      <c r="PSC40"/>
      <c r="PSD40"/>
      <c r="PSE40"/>
      <c r="PSF40"/>
      <c r="PSG40"/>
      <c r="PSH40"/>
      <c r="PSI40"/>
      <c r="PSJ40"/>
      <c r="PSK40"/>
      <c r="PSL40"/>
      <c r="PSM40"/>
      <c r="PSN40"/>
      <c r="PSO40"/>
      <c r="PSP40"/>
      <c r="PSQ40"/>
      <c r="PSR40"/>
      <c r="PSS40"/>
      <c r="PST40"/>
      <c r="PSU40"/>
      <c r="PSV40"/>
      <c r="PSW40"/>
      <c r="PSX40"/>
      <c r="PSY40"/>
      <c r="PSZ40"/>
      <c r="PTA40"/>
      <c r="PTB40"/>
      <c r="PTC40"/>
      <c r="PTD40"/>
      <c r="PTE40"/>
      <c r="PTF40"/>
      <c r="PTG40"/>
      <c r="PTH40"/>
      <c r="PTI40"/>
      <c r="PTJ40"/>
      <c r="PTK40"/>
      <c r="PTL40"/>
      <c r="PTM40"/>
      <c r="PTN40"/>
      <c r="PTO40"/>
      <c r="PTP40"/>
      <c r="PTQ40"/>
      <c r="PTR40"/>
      <c r="PTS40"/>
      <c r="PTT40"/>
      <c r="PTU40"/>
      <c r="PTV40"/>
      <c r="PTW40"/>
      <c r="PTX40"/>
      <c r="PTY40"/>
      <c r="PTZ40"/>
      <c r="PUA40"/>
      <c r="PUB40"/>
      <c r="PUC40"/>
      <c r="PUD40"/>
      <c r="PUE40"/>
      <c r="PUF40"/>
      <c r="PUG40"/>
      <c r="PUH40"/>
      <c r="PUI40"/>
      <c r="PUJ40"/>
      <c r="PUK40"/>
      <c r="PUL40"/>
      <c r="PUM40"/>
      <c r="PUN40"/>
      <c r="PUO40"/>
      <c r="PUP40"/>
      <c r="PUQ40"/>
      <c r="PUR40"/>
      <c r="PUS40"/>
      <c r="PUT40"/>
      <c r="PUU40"/>
      <c r="PUV40"/>
      <c r="PUW40"/>
      <c r="PUX40"/>
      <c r="PUY40"/>
      <c r="PUZ40"/>
      <c r="PVA40"/>
      <c r="PVB40"/>
      <c r="PVC40"/>
      <c r="PVD40"/>
      <c r="PVE40"/>
      <c r="PVF40"/>
      <c r="PVG40"/>
      <c r="PVH40"/>
      <c r="PVI40"/>
      <c r="PVJ40"/>
      <c r="PVK40"/>
      <c r="PVL40"/>
      <c r="PVM40"/>
      <c r="PVN40"/>
      <c r="PVO40"/>
      <c r="PVP40"/>
      <c r="PVQ40"/>
      <c r="PVR40"/>
      <c r="PVS40"/>
      <c r="PVT40"/>
      <c r="PVU40"/>
      <c r="PVV40"/>
      <c r="PVW40"/>
      <c r="PVX40"/>
      <c r="PVY40"/>
      <c r="PVZ40"/>
      <c r="PWA40"/>
      <c r="PWB40"/>
      <c r="PWC40"/>
      <c r="PWD40"/>
      <c r="PWE40"/>
      <c r="PWF40"/>
      <c r="PWG40"/>
      <c r="PWH40"/>
      <c r="PWI40"/>
      <c r="PWJ40"/>
      <c r="PWK40"/>
      <c r="PWL40"/>
      <c r="PWM40"/>
      <c r="PWN40"/>
      <c r="PWO40"/>
      <c r="PWP40"/>
      <c r="PWQ40"/>
      <c r="PWR40"/>
      <c r="PWS40"/>
      <c r="PWT40"/>
      <c r="PWU40"/>
      <c r="PWV40"/>
      <c r="PWW40"/>
      <c r="PWX40"/>
      <c r="PWY40"/>
      <c r="PWZ40"/>
      <c r="PXA40"/>
      <c r="PXB40"/>
      <c r="PXC40"/>
      <c r="PXD40"/>
      <c r="PXE40"/>
      <c r="PXF40"/>
      <c r="PXG40"/>
      <c r="PXH40"/>
      <c r="PXI40"/>
      <c r="PXJ40"/>
      <c r="PXK40"/>
      <c r="PXL40"/>
      <c r="PXM40"/>
      <c r="PXN40"/>
      <c r="PXO40"/>
      <c r="PXP40"/>
      <c r="PXQ40"/>
      <c r="PXR40"/>
      <c r="PXS40"/>
      <c r="PXT40"/>
      <c r="PXU40"/>
      <c r="PXV40"/>
      <c r="PXW40"/>
      <c r="PXX40"/>
      <c r="PXY40"/>
      <c r="PXZ40"/>
      <c r="PYA40"/>
      <c r="PYB40"/>
      <c r="PYC40"/>
      <c r="PYD40"/>
      <c r="PYE40"/>
      <c r="PYF40"/>
      <c r="PYG40"/>
      <c r="PYH40"/>
      <c r="PYI40"/>
      <c r="PYJ40"/>
      <c r="PYK40"/>
      <c r="PYL40"/>
      <c r="PYM40"/>
      <c r="PYN40"/>
      <c r="PYO40"/>
      <c r="PYP40"/>
      <c r="PYQ40"/>
      <c r="PYR40"/>
      <c r="PYS40"/>
      <c r="PYT40"/>
      <c r="PYU40"/>
      <c r="PYV40"/>
      <c r="PYW40"/>
      <c r="PYX40"/>
      <c r="PYY40"/>
      <c r="PYZ40"/>
      <c r="PZA40"/>
      <c r="PZB40"/>
      <c r="PZC40"/>
      <c r="PZD40"/>
      <c r="PZE40"/>
      <c r="PZF40"/>
      <c r="PZG40"/>
      <c r="PZH40"/>
      <c r="PZI40"/>
      <c r="PZJ40"/>
      <c r="PZK40"/>
      <c r="PZL40"/>
      <c r="PZM40"/>
      <c r="PZN40"/>
      <c r="PZO40"/>
      <c r="PZP40"/>
      <c r="PZQ40"/>
      <c r="PZR40"/>
      <c r="PZS40"/>
      <c r="PZT40"/>
      <c r="PZU40"/>
      <c r="PZV40"/>
      <c r="PZW40"/>
      <c r="PZX40"/>
      <c r="PZY40"/>
      <c r="PZZ40"/>
      <c r="QAA40"/>
      <c r="QAB40"/>
      <c r="QAC40"/>
      <c r="QAD40"/>
      <c r="QAE40"/>
      <c r="QAF40"/>
      <c r="QAG40"/>
      <c r="QAH40"/>
      <c r="QAI40"/>
      <c r="QAJ40"/>
      <c r="QAK40"/>
      <c r="QAL40"/>
      <c r="QAM40"/>
      <c r="QAN40"/>
      <c r="QAO40"/>
      <c r="QAP40"/>
      <c r="QAQ40"/>
      <c r="QAR40"/>
      <c r="QAS40"/>
      <c r="QAT40"/>
      <c r="QAU40"/>
      <c r="QAV40"/>
      <c r="QAW40"/>
      <c r="QAX40"/>
      <c r="QAY40"/>
      <c r="QAZ40"/>
      <c r="QBA40"/>
      <c r="QBB40"/>
      <c r="QBC40"/>
      <c r="QBD40"/>
      <c r="QBE40"/>
      <c r="QBF40"/>
      <c r="QBG40"/>
      <c r="QBH40"/>
      <c r="QBI40"/>
      <c r="QBJ40"/>
      <c r="QBK40"/>
      <c r="QBL40"/>
      <c r="QBM40"/>
      <c r="QBN40"/>
      <c r="QBO40"/>
      <c r="QBP40"/>
      <c r="QBQ40"/>
      <c r="QBR40"/>
      <c r="QBS40"/>
      <c r="QBT40"/>
      <c r="QBU40"/>
      <c r="QBV40"/>
      <c r="QBW40"/>
      <c r="QBX40"/>
      <c r="QBY40"/>
      <c r="QBZ40"/>
      <c r="QCA40"/>
      <c r="QCB40"/>
      <c r="QCC40"/>
      <c r="QCD40"/>
      <c r="QCE40"/>
      <c r="QCF40"/>
      <c r="QCG40"/>
      <c r="QCH40"/>
      <c r="QCI40"/>
      <c r="QCJ40"/>
      <c r="QCK40"/>
      <c r="QCL40"/>
      <c r="QCM40"/>
      <c r="QCN40"/>
      <c r="QCO40"/>
      <c r="QCP40"/>
      <c r="QCQ40"/>
      <c r="QCR40"/>
      <c r="QCS40"/>
      <c r="QCT40"/>
      <c r="QCU40"/>
      <c r="QCV40"/>
      <c r="QCW40"/>
      <c r="QCX40"/>
      <c r="QCY40"/>
      <c r="QCZ40"/>
      <c r="QDA40"/>
      <c r="QDB40"/>
      <c r="QDC40"/>
      <c r="QDD40"/>
      <c r="QDE40"/>
      <c r="QDF40"/>
      <c r="QDG40"/>
      <c r="QDH40"/>
      <c r="QDI40"/>
      <c r="QDJ40"/>
      <c r="QDK40"/>
      <c r="QDL40"/>
      <c r="QDM40"/>
      <c r="QDN40"/>
      <c r="QDO40"/>
      <c r="QDP40"/>
      <c r="QDQ40"/>
      <c r="QDR40"/>
      <c r="QDS40"/>
      <c r="QDT40"/>
      <c r="QDU40"/>
      <c r="QDV40"/>
      <c r="QDW40"/>
      <c r="QDX40"/>
      <c r="QDY40"/>
      <c r="QDZ40"/>
      <c r="QEA40"/>
      <c r="QEB40"/>
      <c r="QEC40"/>
      <c r="QED40"/>
      <c r="QEE40"/>
      <c r="QEF40"/>
      <c r="QEG40"/>
      <c r="QEH40"/>
      <c r="QEI40"/>
      <c r="QEJ40"/>
      <c r="QEK40"/>
      <c r="QEL40"/>
      <c r="QEM40"/>
      <c r="QEN40"/>
      <c r="QEO40"/>
      <c r="QEP40"/>
      <c r="QEQ40"/>
      <c r="QER40"/>
      <c r="QES40"/>
      <c r="QET40"/>
      <c r="QEU40"/>
      <c r="QEV40"/>
      <c r="QEW40"/>
      <c r="QEX40"/>
      <c r="QEY40"/>
      <c r="QEZ40"/>
      <c r="QFA40"/>
      <c r="QFB40"/>
      <c r="QFC40"/>
      <c r="QFD40"/>
      <c r="QFE40"/>
      <c r="QFF40"/>
      <c r="QFG40"/>
      <c r="QFH40"/>
      <c r="QFI40"/>
      <c r="QFJ40"/>
      <c r="QFK40"/>
      <c r="QFL40"/>
      <c r="QFM40"/>
      <c r="QFN40"/>
      <c r="QFO40"/>
      <c r="QFP40"/>
      <c r="QFQ40"/>
      <c r="QFR40"/>
      <c r="QFS40"/>
      <c r="QFT40"/>
      <c r="QFU40"/>
      <c r="QFV40"/>
      <c r="QFW40"/>
      <c r="QFX40"/>
      <c r="QFY40"/>
      <c r="QFZ40"/>
      <c r="QGA40"/>
      <c r="QGB40"/>
      <c r="QGC40"/>
      <c r="QGD40"/>
      <c r="QGE40"/>
      <c r="QGF40"/>
      <c r="QGG40"/>
      <c r="QGH40"/>
      <c r="QGI40"/>
      <c r="QGJ40"/>
      <c r="QGK40"/>
      <c r="QGL40"/>
      <c r="QGM40"/>
      <c r="QGN40"/>
      <c r="QGO40"/>
      <c r="QGP40"/>
      <c r="QGQ40"/>
      <c r="QGR40"/>
      <c r="QGS40"/>
      <c r="QGT40"/>
      <c r="QGU40"/>
      <c r="QGV40"/>
      <c r="QGW40"/>
      <c r="QGX40"/>
      <c r="QGY40"/>
      <c r="QGZ40"/>
      <c r="QHA40"/>
      <c r="QHB40"/>
      <c r="QHC40"/>
      <c r="QHD40"/>
      <c r="QHE40"/>
      <c r="QHF40"/>
      <c r="QHG40"/>
      <c r="QHH40"/>
      <c r="QHI40"/>
      <c r="QHJ40"/>
      <c r="QHK40"/>
      <c r="QHL40"/>
      <c r="QHM40"/>
      <c r="QHN40"/>
      <c r="QHO40"/>
      <c r="QHP40"/>
      <c r="QHQ40"/>
      <c r="QHR40"/>
      <c r="QHS40"/>
      <c r="QHT40"/>
      <c r="QHU40"/>
      <c r="QHV40"/>
      <c r="QHW40"/>
      <c r="QHX40"/>
      <c r="QHY40"/>
      <c r="QHZ40"/>
      <c r="QIA40"/>
      <c r="QIB40"/>
      <c r="QIC40"/>
      <c r="QID40"/>
      <c r="QIE40"/>
      <c r="QIF40"/>
      <c r="QIG40"/>
      <c r="QIH40"/>
      <c r="QII40"/>
      <c r="QIJ40"/>
      <c r="QIK40"/>
      <c r="QIL40"/>
      <c r="QIM40"/>
      <c r="QIN40"/>
      <c r="QIO40"/>
      <c r="QIP40"/>
      <c r="QIQ40"/>
      <c r="QIR40"/>
      <c r="QIS40"/>
      <c r="QIT40"/>
      <c r="QIU40"/>
      <c r="QIV40"/>
      <c r="QIW40"/>
      <c r="QIX40"/>
      <c r="QIY40"/>
      <c r="QIZ40"/>
      <c r="QJA40"/>
      <c r="QJB40"/>
      <c r="QJC40"/>
      <c r="QJD40"/>
      <c r="QJE40"/>
      <c r="QJF40"/>
      <c r="QJG40"/>
      <c r="QJH40"/>
      <c r="QJI40"/>
      <c r="QJJ40"/>
      <c r="QJK40"/>
      <c r="QJL40"/>
      <c r="QJM40"/>
      <c r="QJN40"/>
      <c r="QJO40"/>
      <c r="QJP40"/>
      <c r="QJQ40"/>
      <c r="QJR40"/>
      <c r="QJS40"/>
      <c r="QJT40"/>
      <c r="QJU40"/>
      <c r="QJV40"/>
      <c r="QJW40"/>
      <c r="QJX40"/>
      <c r="QJY40"/>
      <c r="QJZ40"/>
      <c r="QKA40"/>
      <c r="QKB40"/>
      <c r="QKC40"/>
      <c r="QKD40"/>
      <c r="QKE40"/>
      <c r="QKF40"/>
      <c r="QKG40"/>
      <c r="QKH40"/>
      <c r="QKI40"/>
      <c r="QKJ40"/>
      <c r="QKK40"/>
      <c r="QKL40"/>
      <c r="QKM40"/>
      <c r="QKN40"/>
      <c r="QKO40"/>
      <c r="QKP40"/>
      <c r="QKQ40"/>
      <c r="QKR40"/>
      <c r="QKS40"/>
      <c r="QKT40"/>
      <c r="QKU40"/>
      <c r="QKV40"/>
      <c r="QKW40"/>
      <c r="QKX40"/>
      <c r="QKY40"/>
      <c r="QKZ40"/>
      <c r="QLA40"/>
      <c r="QLB40"/>
      <c r="QLC40"/>
      <c r="QLD40"/>
      <c r="QLE40"/>
      <c r="QLF40"/>
      <c r="QLG40"/>
      <c r="QLH40"/>
      <c r="QLI40"/>
      <c r="QLJ40"/>
      <c r="QLK40"/>
      <c r="QLL40"/>
      <c r="QLM40"/>
      <c r="QLN40"/>
      <c r="QLO40"/>
      <c r="QLP40"/>
      <c r="QLQ40"/>
      <c r="QLR40"/>
      <c r="QLS40"/>
      <c r="QLT40"/>
      <c r="QLU40"/>
      <c r="QLV40"/>
      <c r="QLW40"/>
      <c r="QLX40"/>
      <c r="QLY40"/>
      <c r="QLZ40"/>
      <c r="QMA40"/>
      <c r="QMB40"/>
      <c r="QMC40"/>
      <c r="QMD40"/>
      <c r="QME40"/>
      <c r="QMF40"/>
      <c r="QMG40"/>
      <c r="QMH40"/>
      <c r="QMI40"/>
      <c r="QMJ40"/>
      <c r="QMK40"/>
      <c r="QML40"/>
      <c r="QMM40"/>
      <c r="QMN40"/>
      <c r="QMO40"/>
      <c r="QMP40"/>
      <c r="QMQ40"/>
      <c r="QMR40"/>
      <c r="QMS40"/>
      <c r="QMT40"/>
      <c r="QMU40"/>
      <c r="QMV40"/>
      <c r="QMW40"/>
      <c r="QMX40"/>
      <c r="QMY40"/>
      <c r="QMZ40"/>
      <c r="QNA40"/>
      <c r="QNB40"/>
      <c r="QNC40"/>
      <c r="QND40"/>
      <c r="QNE40"/>
      <c r="QNF40"/>
      <c r="QNG40"/>
      <c r="QNH40"/>
      <c r="QNI40"/>
      <c r="QNJ40"/>
      <c r="QNK40"/>
      <c r="QNL40"/>
      <c r="QNM40"/>
      <c r="QNN40"/>
      <c r="QNO40"/>
      <c r="QNP40"/>
      <c r="QNQ40"/>
      <c r="QNR40"/>
      <c r="QNS40"/>
      <c r="QNT40"/>
      <c r="QNU40"/>
      <c r="QNV40"/>
      <c r="QNW40"/>
      <c r="QNX40"/>
      <c r="QNY40"/>
      <c r="QNZ40"/>
      <c r="QOA40"/>
      <c r="QOB40"/>
      <c r="QOC40"/>
      <c r="QOD40"/>
      <c r="QOE40"/>
      <c r="QOF40"/>
      <c r="QOG40"/>
      <c r="QOH40"/>
      <c r="QOI40"/>
      <c r="QOJ40"/>
      <c r="QOK40"/>
      <c r="QOL40"/>
      <c r="QOM40"/>
      <c r="QON40"/>
      <c r="QOO40"/>
      <c r="QOP40"/>
      <c r="QOQ40"/>
      <c r="QOR40"/>
      <c r="QOS40"/>
      <c r="QOT40"/>
      <c r="QOU40"/>
      <c r="QOV40"/>
      <c r="QOW40"/>
      <c r="QOX40"/>
      <c r="QOY40"/>
      <c r="QOZ40"/>
      <c r="QPA40"/>
      <c r="QPB40"/>
      <c r="QPC40"/>
      <c r="QPD40"/>
      <c r="QPE40"/>
      <c r="QPF40"/>
      <c r="QPG40"/>
      <c r="QPH40"/>
      <c r="QPI40"/>
      <c r="QPJ40"/>
      <c r="QPK40"/>
      <c r="QPL40"/>
      <c r="QPM40"/>
      <c r="QPN40"/>
      <c r="QPO40"/>
      <c r="QPP40"/>
      <c r="QPQ40"/>
      <c r="QPR40"/>
      <c r="QPS40"/>
      <c r="QPT40"/>
      <c r="QPU40"/>
      <c r="QPV40"/>
      <c r="QPW40"/>
      <c r="QPX40"/>
      <c r="QPY40"/>
      <c r="QPZ40"/>
      <c r="QQA40"/>
      <c r="QQB40"/>
      <c r="QQC40"/>
      <c r="QQD40"/>
      <c r="QQE40"/>
      <c r="QQF40"/>
      <c r="QQG40"/>
      <c r="QQH40"/>
      <c r="QQI40"/>
      <c r="QQJ40"/>
      <c r="QQK40"/>
      <c r="QQL40"/>
      <c r="QQM40"/>
      <c r="QQN40"/>
      <c r="QQO40"/>
      <c r="QQP40"/>
      <c r="QQQ40"/>
      <c r="QQR40"/>
      <c r="QQS40"/>
      <c r="QQT40"/>
      <c r="QQU40"/>
      <c r="QQV40"/>
      <c r="QQW40"/>
      <c r="QQX40"/>
      <c r="QQY40"/>
      <c r="QQZ40"/>
      <c r="QRA40"/>
      <c r="QRB40"/>
      <c r="QRC40"/>
      <c r="QRD40"/>
      <c r="QRE40"/>
      <c r="QRF40"/>
      <c r="QRG40"/>
      <c r="QRH40"/>
      <c r="QRI40"/>
      <c r="QRJ40"/>
      <c r="QRK40"/>
      <c r="QRL40"/>
      <c r="QRM40"/>
      <c r="QRN40"/>
      <c r="QRO40"/>
      <c r="QRP40"/>
      <c r="QRQ40"/>
      <c r="QRR40"/>
      <c r="QRS40"/>
      <c r="QRT40"/>
      <c r="QRU40"/>
      <c r="QRV40"/>
      <c r="QRW40"/>
      <c r="QRX40"/>
      <c r="QRY40"/>
      <c r="QRZ40"/>
      <c r="QSA40"/>
      <c r="QSB40"/>
      <c r="QSC40"/>
      <c r="QSD40"/>
      <c r="QSE40"/>
      <c r="QSF40"/>
      <c r="QSG40"/>
      <c r="QSH40"/>
      <c r="QSI40"/>
      <c r="QSJ40"/>
      <c r="QSK40"/>
      <c r="QSL40"/>
      <c r="QSM40"/>
      <c r="QSN40"/>
      <c r="QSO40"/>
      <c r="QSP40"/>
      <c r="QSQ40"/>
      <c r="QSR40"/>
      <c r="QSS40"/>
      <c r="QST40"/>
      <c r="QSU40"/>
      <c r="QSV40"/>
      <c r="QSW40"/>
      <c r="QSX40"/>
      <c r="QSY40"/>
      <c r="QSZ40"/>
      <c r="QTA40"/>
      <c r="QTB40"/>
      <c r="QTC40"/>
      <c r="QTD40"/>
      <c r="QTE40"/>
      <c r="QTF40"/>
      <c r="QTG40"/>
      <c r="QTH40"/>
      <c r="QTI40"/>
      <c r="QTJ40"/>
      <c r="QTK40"/>
      <c r="QTL40"/>
      <c r="QTM40"/>
      <c r="QTN40"/>
      <c r="QTO40"/>
      <c r="QTP40"/>
      <c r="QTQ40"/>
      <c r="QTR40"/>
      <c r="QTS40"/>
      <c r="QTT40"/>
      <c r="QTU40"/>
      <c r="QTV40"/>
      <c r="QTW40"/>
      <c r="QTX40"/>
      <c r="QTY40"/>
      <c r="QTZ40"/>
      <c r="QUA40"/>
      <c r="QUB40"/>
      <c r="QUC40"/>
      <c r="QUD40"/>
      <c r="QUE40"/>
      <c r="QUF40"/>
      <c r="QUG40"/>
      <c r="QUH40"/>
      <c r="QUI40"/>
      <c r="QUJ40"/>
      <c r="QUK40"/>
      <c r="QUL40"/>
      <c r="QUM40"/>
      <c r="QUN40"/>
      <c r="QUO40"/>
      <c r="QUP40"/>
      <c r="QUQ40"/>
      <c r="QUR40"/>
      <c r="QUS40"/>
      <c r="QUT40"/>
      <c r="QUU40"/>
      <c r="QUV40"/>
      <c r="QUW40"/>
      <c r="QUX40"/>
      <c r="QUY40"/>
      <c r="QUZ40"/>
      <c r="QVA40"/>
      <c r="QVB40"/>
      <c r="QVC40"/>
      <c r="QVD40"/>
      <c r="QVE40"/>
      <c r="QVF40"/>
      <c r="QVG40"/>
      <c r="QVH40"/>
      <c r="QVI40"/>
      <c r="QVJ40"/>
      <c r="QVK40"/>
      <c r="QVL40"/>
      <c r="QVM40"/>
      <c r="QVN40"/>
      <c r="QVO40"/>
      <c r="QVP40"/>
      <c r="QVQ40"/>
      <c r="QVR40"/>
      <c r="QVS40"/>
      <c r="QVT40"/>
      <c r="QVU40"/>
      <c r="QVV40"/>
      <c r="QVW40"/>
      <c r="QVX40"/>
      <c r="QVY40"/>
      <c r="QVZ40"/>
      <c r="QWA40"/>
      <c r="QWB40"/>
      <c r="QWC40"/>
      <c r="QWD40"/>
      <c r="QWE40"/>
      <c r="QWF40"/>
      <c r="QWG40"/>
      <c r="QWH40"/>
      <c r="QWI40"/>
      <c r="QWJ40"/>
      <c r="QWK40"/>
      <c r="QWL40"/>
      <c r="QWM40"/>
      <c r="QWN40"/>
      <c r="QWO40"/>
      <c r="QWP40"/>
      <c r="QWQ40"/>
      <c r="QWR40"/>
      <c r="QWS40"/>
      <c r="QWT40"/>
      <c r="QWU40"/>
      <c r="QWV40"/>
      <c r="QWW40"/>
      <c r="QWX40"/>
      <c r="QWY40"/>
      <c r="QWZ40"/>
      <c r="QXA40"/>
      <c r="QXB40"/>
      <c r="QXC40"/>
      <c r="QXD40"/>
      <c r="QXE40"/>
      <c r="QXF40"/>
      <c r="QXG40"/>
      <c r="QXH40"/>
      <c r="QXI40"/>
      <c r="QXJ40"/>
      <c r="QXK40"/>
      <c r="QXL40"/>
      <c r="QXM40"/>
      <c r="QXN40"/>
      <c r="QXO40"/>
      <c r="QXP40"/>
      <c r="QXQ40"/>
      <c r="QXR40"/>
      <c r="QXS40"/>
      <c r="QXT40"/>
      <c r="QXU40"/>
      <c r="QXV40"/>
      <c r="QXW40"/>
      <c r="QXX40"/>
      <c r="QXY40"/>
      <c r="QXZ40"/>
      <c r="QYA40"/>
      <c r="QYB40"/>
      <c r="QYC40"/>
      <c r="QYD40"/>
      <c r="QYE40"/>
      <c r="QYF40"/>
      <c r="QYG40"/>
      <c r="QYH40"/>
      <c r="QYI40"/>
      <c r="QYJ40"/>
      <c r="QYK40"/>
      <c r="QYL40"/>
      <c r="QYM40"/>
      <c r="QYN40"/>
      <c r="QYO40"/>
      <c r="QYP40"/>
      <c r="QYQ40"/>
      <c r="QYR40"/>
      <c r="QYS40"/>
      <c r="QYT40"/>
      <c r="QYU40"/>
      <c r="QYV40"/>
      <c r="QYW40"/>
      <c r="QYX40"/>
      <c r="QYY40"/>
      <c r="QYZ40"/>
      <c r="QZA40"/>
      <c r="QZB40"/>
      <c r="QZC40"/>
      <c r="QZD40"/>
      <c r="QZE40"/>
      <c r="QZF40"/>
      <c r="QZG40"/>
      <c r="QZH40"/>
      <c r="QZI40"/>
      <c r="QZJ40"/>
      <c r="QZK40"/>
      <c r="QZL40"/>
      <c r="QZM40"/>
      <c r="QZN40"/>
      <c r="QZO40"/>
      <c r="QZP40"/>
      <c r="QZQ40"/>
      <c r="QZR40"/>
      <c r="QZS40"/>
      <c r="QZT40"/>
      <c r="QZU40"/>
      <c r="QZV40"/>
      <c r="QZW40"/>
      <c r="QZX40"/>
      <c r="QZY40"/>
      <c r="QZZ40"/>
      <c r="RAA40"/>
      <c r="RAB40"/>
      <c r="RAC40"/>
      <c r="RAD40"/>
      <c r="RAE40"/>
      <c r="RAF40"/>
      <c r="RAG40"/>
      <c r="RAH40"/>
      <c r="RAI40"/>
      <c r="RAJ40"/>
      <c r="RAK40"/>
      <c r="RAL40"/>
      <c r="RAM40"/>
      <c r="RAN40"/>
      <c r="RAO40"/>
      <c r="RAP40"/>
      <c r="RAQ40"/>
      <c r="RAR40"/>
      <c r="RAS40"/>
      <c r="RAT40"/>
      <c r="RAU40"/>
      <c r="RAV40"/>
      <c r="RAW40"/>
      <c r="RAX40"/>
      <c r="RAY40"/>
      <c r="RAZ40"/>
      <c r="RBA40"/>
      <c r="RBB40"/>
      <c r="RBC40"/>
      <c r="RBD40"/>
      <c r="RBE40"/>
      <c r="RBF40"/>
      <c r="RBG40"/>
      <c r="RBH40"/>
      <c r="RBI40"/>
      <c r="RBJ40"/>
      <c r="RBK40"/>
      <c r="RBL40"/>
      <c r="RBM40"/>
      <c r="RBN40"/>
      <c r="RBO40"/>
      <c r="RBP40"/>
      <c r="RBQ40"/>
      <c r="RBR40"/>
      <c r="RBS40"/>
      <c r="RBT40"/>
      <c r="RBU40"/>
      <c r="RBV40"/>
      <c r="RBW40"/>
      <c r="RBX40"/>
      <c r="RBY40"/>
      <c r="RBZ40"/>
      <c r="RCA40"/>
      <c r="RCB40"/>
      <c r="RCC40"/>
      <c r="RCD40"/>
      <c r="RCE40"/>
      <c r="RCF40"/>
      <c r="RCG40"/>
      <c r="RCH40"/>
      <c r="RCI40"/>
      <c r="RCJ40"/>
      <c r="RCK40"/>
      <c r="RCL40"/>
      <c r="RCM40"/>
      <c r="RCN40"/>
      <c r="RCO40"/>
      <c r="RCP40"/>
      <c r="RCQ40"/>
      <c r="RCR40"/>
      <c r="RCS40"/>
      <c r="RCT40"/>
      <c r="RCU40"/>
      <c r="RCV40"/>
      <c r="RCW40"/>
      <c r="RCX40"/>
      <c r="RCY40"/>
      <c r="RCZ40"/>
      <c r="RDA40"/>
      <c r="RDB40"/>
      <c r="RDC40"/>
      <c r="RDD40"/>
      <c r="RDE40"/>
      <c r="RDF40"/>
      <c r="RDG40"/>
      <c r="RDH40"/>
      <c r="RDI40"/>
      <c r="RDJ40"/>
      <c r="RDK40"/>
      <c r="RDL40"/>
      <c r="RDM40"/>
      <c r="RDN40"/>
      <c r="RDO40"/>
      <c r="RDP40"/>
      <c r="RDQ40"/>
      <c r="RDR40"/>
      <c r="RDS40"/>
      <c r="RDT40"/>
      <c r="RDU40"/>
      <c r="RDV40"/>
      <c r="RDW40"/>
      <c r="RDX40"/>
      <c r="RDY40"/>
      <c r="RDZ40"/>
      <c r="REA40"/>
      <c r="REB40"/>
      <c r="REC40"/>
      <c r="RED40"/>
      <c r="REE40"/>
      <c r="REF40"/>
      <c r="REG40"/>
      <c r="REH40"/>
      <c r="REI40"/>
      <c r="REJ40"/>
      <c r="REK40"/>
      <c r="REL40"/>
      <c r="REM40"/>
      <c r="REN40"/>
      <c r="REO40"/>
      <c r="REP40"/>
      <c r="REQ40"/>
      <c r="RER40"/>
      <c r="RES40"/>
      <c r="RET40"/>
      <c r="REU40"/>
      <c r="REV40"/>
      <c r="REW40"/>
      <c r="REX40"/>
      <c r="REY40"/>
      <c r="REZ40"/>
      <c r="RFA40"/>
      <c r="RFB40"/>
      <c r="RFC40"/>
      <c r="RFD40"/>
      <c r="RFE40"/>
      <c r="RFF40"/>
      <c r="RFG40"/>
      <c r="RFH40"/>
      <c r="RFI40"/>
      <c r="RFJ40"/>
      <c r="RFK40"/>
      <c r="RFL40"/>
      <c r="RFM40"/>
      <c r="RFN40"/>
      <c r="RFO40"/>
      <c r="RFP40"/>
      <c r="RFQ40"/>
      <c r="RFR40"/>
      <c r="RFS40"/>
      <c r="RFT40"/>
      <c r="RFU40"/>
      <c r="RFV40"/>
      <c r="RFW40"/>
      <c r="RFX40"/>
      <c r="RFY40"/>
      <c r="RFZ40"/>
      <c r="RGA40"/>
      <c r="RGB40"/>
      <c r="RGC40"/>
      <c r="RGD40"/>
      <c r="RGE40"/>
      <c r="RGF40"/>
      <c r="RGG40"/>
      <c r="RGH40"/>
      <c r="RGI40"/>
      <c r="RGJ40"/>
      <c r="RGK40"/>
      <c r="RGL40"/>
      <c r="RGM40"/>
      <c r="RGN40"/>
      <c r="RGO40"/>
      <c r="RGP40"/>
      <c r="RGQ40"/>
      <c r="RGR40"/>
      <c r="RGS40"/>
      <c r="RGT40"/>
      <c r="RGU40"/>
      <c r="RGV40"/>
      <c r="RGW40"/>
      <c r="RGX40"/>
      <c r="RGY40"/>
      <c r="RGZ40"/>
      <c r="RHA40"/>
      <c r="RHB40"/>
      <c r="RHC40"/>
      <c r="RHD40"/>
      <c r="RHE40"/>
      <c r="RHF40"/>
      <c r="RHG40"/>
      <c r="RHH40"/>
      <c r="RHI40"/>
      <c r="RHJ40"/>
      <c r="RHK40"/>
      <c r="RHL40"/>
      <c r="RHM40"/>
      <c r="RHN40"/>
      <c r="RHO40"/>
      <c r="RHP40"/>
      <c r="RHQ40"/>
      <c r="RHR40"/>
      <c r="RHS40"/>
      <c r="RHT40"/>
      <c r="RHU40"/>
      <c r="RHV40"/>
      <c r="RHW40"/>
      <c r="RHX40"/>
      <c r="RHY40"/>
      <c r="RHZ40"/>
      <c r="RIA40"/>
      <c r="RIB40"/>
      <c r="RIC40"/>
      <c r="RID40"/>
      <c r="RIE40"/>
      <c r="RIF40"/>
      <c r="RIG40"/>
      <c r="RIH40"/>
      <c r="RII40"/>
      <c r="RIJ40"/>
      <c r="RIK40"/>
      <c r="RIL40"/>
      <c r="RIM40"/>
      <c r="RIN40"/>
      <c r="RIO40"/>
      <c r="RIP40"/>
      <c r="RIQ40"/>
      <c r="RIR40"/>
      <c r="RIS40"/>
      <c r="RIT40"/>
      <c r="RIU40"/>
      <c r="RIV40"/>
      <c r="RIW40"/>
      <c r="RIX40"/>
      <c r="RIY40"/>
      <c r="RIZ40"/>
      <c r="RJA40"/>
      <c r="RJB40"/>
      <c r="RJC40"/>
      <c r="RJD40"/>
      <c r="RJE40"/>
      <c r="RJF40"/>
      <c r="RJG40"/>
      <c r="RJH40"/>
      <c r="RJI40"/>
      <c r="RJJ40"/>
      <c r="RJK40"/>
      <c r="RJL40"/>
      <c r="RJM40"/>
      <c r="RJN40"/>
      <c r="RJO40"/>
      <c r="RJP40"/>
      <c r="RJQ40"/>
      <c r="RJR40"/>
      <c r="RJS40"/>
      <c r="RJT40"/>
      <c r="RJU40"/>
      <c r="RJV40"/>
      <c r="RJW40"/>
      <c r="RJX40"/>
      <c r="RJY40"/>
      <c r="RJZ40"/>
      <c r="RKA40"/>
      <c r="RKB40"/>
      <c r="RKC40"/>
      <c r="RKD40"/>
      <c r="RKE40"/>
      <c r="RKF40"/>
      <c r="RKG40"/>
      <c r="RKH40"/>
      <c r="RKI40"/>
      <c r="RKJ40"/>
      <c r="RKK40"/>
      <c r="RKL40"/>
      <c r="RKM40"/>
      <c r="RKN40"/>
      <c r="RKO40"/>
      <c r="RKP40"/>
      <c r="RKQ40"/>
      <c r="RKR40"/>
      <c r="RKS40"/>
      <c r="RKT40"/>
      <c r="RKU40"/>
      <c r="RKV40"/>
      <c r="RKW40"/>
      <c r="RKX40"/>
      <c r="RKY40"/>
      <c r="RKZ40"/>
      <c r="RLA40"/>
      <c r="RLB40"/>
      <c r="RLC40"/>
      <c r="RLD40"/>
      <c r="RLE40"/>
      <c r="RLF40"/>
      <c r="RLG40"/>
      <c r="RLH40"/>
      <c r="RLI40"/>
      <c r="RLJ40"/>
      <c r="RLK40"/>
      <c r="RLL40"/>
      <c r="RLM40"/>
      <c r="RLN40"/>
      <c r="RLO40"/>
      <c r="RLP40"/>
      <c r="RLQ40"/>
      <c r="RLR40"/>
      <c r="RLS40"/>
      <c r="RLT40"/>
      <c r="RLU40"/>
      <c r="RLV40"/>
      <c r="RLW40"/>
      <c r="RLX40"/>
      <c r="RLY40"/>
      <c r="RLZ40"/>
      <c r="RMA40"/>
      <c r="RMB40"/>
      <c r="RMC40"/>
      <c r="RMD40"/>
      <c r="RME40"/>
      <c r="RMF40"/>
      <c r="RMG40"/>
      <c r="RMH40"/>
      <c r="RMI40"/>
      <c r="RMJ40"/>
      <c r="RMK40"/>
      <c r="RML40"/>
      <c r="RMM40"/>
      <c r="RMN40"/>
      <c r="RMO40"/>
      <c r="RMP40"/>
      <c r="RMQ40"/>
      <c r="RMR40"/>
      <c r="RMS40"/>
      <c r="RMT40"/>
      <c r="RMU40"/>
      <c r="RMV40"/>
      <c r="RMW40"/>
      <c r="RMX40"/>
      <c r="RMY40"/>
      <c r="RMZ40"/>
      <c r="RNA40"/>
      <c r="RNB40"/>
      <c r="RNC40"/>
      <c r="RND40"/>
      <c r="RNE40"/>
      <c r="RNF40"/>
      <c r="RNG40"/>
      <c r="RNH40"/>
      <c r="RNI40"/>
      <c r="RNJ40"/>
      <c r="RNK40"/>
      <c r="RNL40"/>
      <c r="RNM40"/>
      <c r="RNN40"/>
      <c r="RNO40"/>
      <c r="RNP40"/>
      <c r="RNQ40"/>
      <c r="RNR40"/>
      <c r="RNS40"/>
      <c r="RNT40"/>
      <c r="RNU40"/>
      <c r="RNV40"/>
      <c r="RNW40"/>
      <c r="RNX40"/>
      <c r="RNY40"/>
      <c r="RNZ40"/>
      <c r="ROA40"/>
      <c r="ROB40"/>
      <c r="ROC40"/>
      <c r="ROD40"/>
      <c r="ROE40"/>
      <c r="ROF40"/>
      <c r="ROG40"/>
      <c r="ROH40"/>
      <c r="ROI40"/>
      <c r="ROJ40"/>
      <c r="ROK40"/>
      <c r="ROL40"/>
      <c r="ROM40"/>
      <c r="RON40"/>
      <c r="ROO40"/>
      <c r="ROP40"/>
      <c r="ROQ40"/>
      <c r="ROR40"/>
      <c r="ROS40"/>
      <c r="ROT40"/>
      <c r="ROU40"/>
      <c r="ROV40"/>
      <c r="ROW40"/>
      <c r="ROX40"/>
      <c r="ROY40"/>
      <c r="ROZ40"/>
      <c r="RPA40"/>
      <c r="RPB40"/>
      <c r="RPC40"/>
      <c r="RPD40"/>
      <c r="RPE40"/>
      <c r="RPF40"/>
      <c r="RPG40"/>
      <c r="RPH40"/>
      <c r="RPI40"/>
      <c r="RPJ40"/>
      <c r="RPK40"/>
      <c r="RPL40"/>
      <c r="RPM40"/>
      <c r="RPN40"/>
      <c r="RPO40"/>
      <c r="RPP40"/>
      <c r="RPQ40"/>
      <c r="RPR40"/>
      <c r="RPS40"/>
      <c r="RPT40"/>
      <c r="RPU40"/>
      <c r="RPV40"/>
      <c r="RPW40"/>
      <c r="RPX40"/>
      <c r="RPY40"/>
      <c r="RPZ40"/>
      <c r="RQA40"/>
      <c r="RQB40"/>
      <c r="RQC40"/>
      <c r="RQD40"/>
      <c r="RQE40"/>
      <c r="RQF40"/>
      <c r="RQG40"/>
      <c r="RQH40"/>
      <c r="RQI40"/>
      <c r="RQJ40"/>
      <c r="RQK40"/>
      <c r="RQL40"/>
      <c r="RQM40"/>
      <c r="RQN40"/>
      <c r="RQO40"/>
      <c r="RQP40"/>
      <c r="RQQ40"/>
      <c r="RQR40"/>
      <c r="RQS40"/>
      <c r="RQT40"/>
      <c r="RQU40"/>
      <c r="RQV40"/>
      <c r="RQW40"/>
      <c r="RQX40"/>
      <c r="RQY40"/>
      <c r="RQZ40"/>
      <c r="RRA40"/>
      <c r="RRB40"/>
      <c r="RRC40"/>
      <c r="RRD40"/>
      <c r="RRE40"/>
      <c r="RRF40"/>
      <c r="RRG40"/>
      <c r="RRH40"/>
      <c r="RRI40"/>
      <c r="RRJ40"/>
      <c r="RRK40"/>
      <c r="RRL40"/>
      <c r="RRM40"/>
      <c r="RRN40"/>
      <c r="RRO40"/>
      <c r="RRP40"/>
      <c r="RRQ40"/>
      <c r="RRR40"/>
      <c r="RRS40"/>
      <c r="RRT40"/>
      <c r="RRU40"/>
      <c r="RRV40"/>
      <c r="RRW40"/>
      <c r="RRX40"/>
      <c r="RRY40"/>
      <c r="RRZ40"/>
      <c r="RSA40"/>
      <c r="RSB40"/>
      <c r="RSC40"/>
      <c r="RSD40"/>
      <c r="RSE40"/>
      <c r="RSF40"/>
      <c r="RSG40"/>
      <c r="RSH40"/>
      <c r="RSI40"/>
      <c r="RSJ40"/>
      <c r="RSK40"/>
      <c r="RSL40"/>
      <c r="RSM40"/>
      <c r="RSN40"/>
      <c r="RSO40"/>
      <c r="RSP40"/>
      <c r="RSQ40"/>
      <c r="RSR40"/>
      <c r="RSS40"/>
      <c r="RST40"/>
      <c r="RSU40"/>
      <c r="RSV40"/>
      <c r="RSW40"/>
      <c r="RSX40"/>
      <c r="RSY40"/>
      <c r="RSZ40"/>
      <c r="RTA40"/>
      <c r="RTB40"/>
      <c r="RTC40"/>
      <c r="RTD40"/>
      <c r="RTE40"/>
      <c r="RTF40"/>
      <c r="RTG40"/>
      <c r="RTH40"/>
      <c r="RTI40"/>
      <c r="RTJ40"/>
      <c r="RTK40"/>
      <c r="RTL40"/>
      <c r="RTM40"/>
      <c r="RTN40"/>
      <c r="RTO40"/>
      <c r="RTP40"/>
      <c r="RTQ40"/>
      <c r="RTR40"/>
      <c r="RTS40"/>
      <c r="RTT40"/>
      <c r="RTU40"/>
      <c r="RTV40"/>
      <c r="RTW40"/>
      <c r="RTX40"/>
      <c r="RTY40"/>
      <c r="RTZ40"/>
      <c r="RUA40"/>
      <c r="RUB40"/>
      <c r="RUC40"/>
      <c r="RUD40"/>
      <c r="RUE40"/>
      <c r="RUF40"/>
      <c r="RUG40"/>
      <c r="RUH40"/>
      <c r="RUI40"/>
      <c r="RUJ40"/>
      <c r="RUK40"/>
      <c r="RUL40"/>
      <c r="RUM40"/>
      <c r="RUN40"/>
      <c r="RUO40"/>
      <c r="RUP40"/>
      <c r="RUQ40"/>
      <c r="RUR40"/>
      <c r="RUS40"/>
      <c r="RUT40"/>
      <c r="RUU40"/>
      <c r="RUV40"/>
      <c r="RUW40"/>
      <c r="RUX40"/>
      <c r="RUY40"/>
      <c r="RUZ40"/>
      <c r="RVA40"/>
      <c r="RVB40"/>
      <c r="RVC40"/>
      <c r="RVD40"/>
      <c r="RVE40"/>
      <c r="RVF40"/>
      <c r="RVG40"/>
      <c r="RVH40"/>
      <c r="RVI40"/>
      <c r="RVJ40"/>
      <c r="RVK40"/>
      <c r="RVL40"/>
      <c r="RVM40"/>
      <c r="RVN40"/>
      <c r="RVO40"/>
      <c r="RVP40"/>
      <c r="RVQ40"/>
      <c r="RVR40"/>
      <c r="RVS40"/>
      <c r="RVT40"/>
      <c r="RVU40"/>
      <c r="RVV40"/>
      <c r="RVW40"/>
      <c r="RVX40"/>
      <c r="RVY40"/>
      <c r="RVZ40"/>
      <c r="RWA40"/>
      <c r="RWB40"/>
      <c r="RWC40"/>
      <c r="RWD40"/>
      <c r="RWE40"/>
      <c r="RWF40"/>
      <c r="RWG40"/>
      <c r="RWH40"/>
      <c r="RWI40"/>
      <c r="RWJ40"/>
      <c r="RWK40"/>
      <c r="RWL40"/>
      <c r="RWM40"/>
      <c r="RWN40"/>
      <c r="RWO40"/>
      <c r="RWP40"/>
      <c r="RWQ40"/>
      <c r="RWR40"/>
      <c r="RWS40"/>
      <c r="RWT40"/>
      <c r="RWU40"/>
      <c r="RWV40"/>
      <c r="RWW40"/>
      <c r="RWX40"/>
      <c r="RWY40"/>
      <c r="RWZ40"/>
      <c r="RXA40"/>
      <c r="RXB40"/>
      <c r="RXC40"/>
      <c r="RXD40"/>
      <c r="RXE40"/>
      <c r="RXF40"/>
      <c r="RXG40"/>
      <c r="RXH40"/>
      <c r="RXI40"/>
      <c r="RXJ40"/>
      <c r="RXK40"/>
      <c r="RXL40"/>
      <c r="RXM40"/>
      <c r="RXN40"/>
      <c r="RXO40"/>
      <c r="RXP40"/>
      <c r="RXQ40"/>
      <c r="RXR40"/>
      <c r="RXS40"/>
      <c r="RXT40"/>
      <c r="RXU40"/>
      <c r="RXV40"/>
      <c r="RXW40"/>
      <c r="RXX40"/>
      <c r="RXY40"/>
      <c r="RXZ40"/>
      <c r="RYA40"/>
      <c r="RYB40"/>
      <c r="RYC40"/>
      <c r="RYD40"/>
      <c r="RYE40"/>
      <c r="RYF40"/>
      <c r="RYG40"/>
      <c r="RYH40"/>
      <c r="RYI40"/>
      <c r="RYJ40"/>
      <c r="RYK40"/>
      <c r="RYL40"/>
      <c r="RYM40"/>
      <c r="RYN40"/>
      <c r="RYO40"/>
      <c r="RYP40"/>
      <c r="RYQ40"/>
      <c r="RYR40"/>
      <c r="RYS40"/>
      <c r="RYT40"/>
      <c r="RYU40"/>
      <c r="RYV40"/>
      <c r="RYW40"/>
      <c r="RYX40"/>
      <c r="RYY40"/>
      <c r="RYZ40"/>
      <c r="RZA40"/>
      <c r="RZB40"/>
      <c r="RZC40"/>
      <c r="RZD40"/>
      <c r="RZE40"/>
      <c r="RZF40"/>
      <c r="RZG40"/>
      <c r="RZH40"/>
      <c r="RZI40"/>
      <c r="RZJ40"/>
      <c r="RZK40"/>
      <c r="RZL40"/>
      <c r="RZM40"/>
      <c r="RZN40"/>
      <c r="RZO40"/>
      <c r="RZP40"/>
      <c r="RZQ40"/>
      <c r="RZR40"/>
      <c r="RZS40"/>
      <c r="RZT40"/>
      <c r="RZU40"/>
      <c r="RZV40"/>
      <c r="RZW40"/>
      <c r="RZX40"/>
      <c r="RZY40"/>
      <c r="RZZ40"/>
      <c r="SAA40"/>
      <c r="SAB40"/>
      <c r="SAC40"/>
      <c r="SAD40"/>
      <c r="SAE40"/>
      <c r="SAF40"/>
      <c r="SAG40"/>
      <c r="SAH40"/>
      <c r="SAI40"/>
      <c r="SAJ40"/>
      <c r="SAK40"/>
      <c r="SAL40"/>
      <c r="SAM40"/>
      <c r="SAN40"/>
      <c r="SAO40"/>
      <c r="SAP40"/>
      <c r="SAQ40"/>
      <c r="SAR40"/>
      <c r="SAS40"/>
      <c r="SAT40"/>
      <c r="SAU40"/>
      <c r="SAV40"/>
      <c r="SAW40"/>
      <c r="SAX40"/>
      <c r="SAY40"/>
      <c r="SAZ40"/>
      <c r="SBA40"/>
      <c r="SBB40"/>
      <c r="SBC40"/>
      <c r="SBD40"/>
      <c r="SBE40"/>
      <c r="SBF40"/>
      <c r="SBG40"/>
      <c r="SBH40"/>
      <c r="SBI40"/>
      <c r="SBJ40"/>
      <c r="SBK40"/>
      <c r="SBL40"/>
      <c r="SBM40"/>
      <c r="SBN40"/>
      <c r="SBO40"/>
      <c r="SBP40"/>
      <c r="SBQ40"/>
      <c r="SBR40"/>
      <c r="SBS40"/>
      <c r="SBT40"/>
      <c r="SBU40"/>
      <c r="SBV40"/>
      <c r="SBW40"/>
      <c r="SBX40"/>
      <c r="SBY40"/>
      <c r="SBZ40"/>
      <c r="SCA40"/>
      <c r="SCB40"/>
      <c r="SCC40"/>
      <c r="SCD40"/>
      <c r="SCE40"/>
      <c r="SCF40"/>
      <c r="SCG40"/>
      <c r="SCH40"/>
      <c r="SCI40"/>
      <c r="SCJ40"/>
      <c r="SCK40"/>
      <c r="SCL40"/>
      <c r="SCM40"/>
      <c r="SCN40"/>
      <c r="SCO40"/>
      <c r="SCP40"/>
      <c r="SCQ40"/>
      <c r="SCR40"/>
      <c r="SCS40"/>
      <c r="SCT40"/>
      <c r="SCU40"/>
      <c r="SCV40"/>
      <c r="SCW40"/>
      <c r="SCX40"/>
      <c r="SCY40"/>
      <c r="SCZ40"/>
      <c r="SDA40"/>
      <c r="SDB40"/>
      <c r="SDC40"/>
      <c r="SDD40"/>
      <c r="SDE40"/>
      <c r="SDF40"/>
      <c r="SDG40"/>
      <c r="SDH40"/>
      <c r="SDI40"/>
      <c r="SDJ40"/>
      <c r="SDK40"/>
      <c r="SDL40"/>
      <c r="SDM40"/>
      <c r="SDN40"/>
      <c r="SDO40"/>
      <c r="SDP40"/>
      <c r="SDQ40"/>
      <c r="SDR40"/>
      <c r="SDS40"/>
      <c r="SDT40"/>
      <c r="SDU40"/>
      <c r="SDV40"/>
      <c r="SDW40"/>
      <c r="SDX40"/>
      <c r="SDY40"/>
      <c r="SDZ40"/>
      <c r="SEA40"/>
      <c r="SEB40"/>
      <c r="SEC40"/>
      <c r="SED40"/>
      <c r="SEE40"/>
      <c r="SEF40"/>
      <c r="SEG40"/>
      <c r="SEH40"/>
      <c r="SEI40"/>
      <c r="SEJ40"/>
      <c r="SEK40"/>
      <c r="SEL40"/>
      <c r="SEM40"/>
      <c r="SEN40"/>
      <c r="SEO40"/>
      <c r="SEP40"/>
      <c r="SEQ40"/>
      <c r="SER40"/>
      <c r="SES40"/>
      <c r="SET40"/>
      <c r="SEU40"/>
      <c r="SEV40"/>
      <c r="SEW40"/>
      <c r="SEX40"/>
      <c r="SEY40"/>
      <c r="SEZ40"/>
      <c r="SFA40"/>
      <c r="SFB40"/>
      <c r="SFC40"/>
      <c r="SFD40"/>
      <c r="SFE40"/>
      <c r="SFF40"/>
      <c r="SFG40"/>
      <c r="SFH40"/>
      <c r="SFI40"/>
      <c r="SFJ40"/>
      <c r="SFK40"/>
      <c r="SFL40"/>
      <c r="SFM40"/>
      <c r="SFN40"/>
      <c r="SFO40"/>
      <c r="SFP40"/>
      <c r="SFQ40"/>
      <c r="SFR40"/>
      <c r="SFS40"/>
      <c r="SFT40"/>
      <c r="SFU40"/>
      <c r="SFV40"/>
      <c r="SFW40"/>
      <c r="SFX40"/>
      <c r="SFY40"/>
      <c r="SFZ40"/>
      <c r="SGA40"/>
      <c r="SGB40"/>
      <c r="SGC40"/>
      <c r="SGD40"/>
      <c r="SGE40"/>
      <c r="SGF40"/>
      <c r="SGG40"/>
      <c r="SGH40"/>
      <c r="SGI40"/>
      <c r="SGJ40"/>
      <c r="SGK40"/>
      <c r="SGL40"/>
      <c r="SGM40"/>
      <c r="SGN40"/>
      <c r="SGO40"/>
      <c r="SGP40"/>
      <c r="SGQ40"/>
      <c r="SGR40"/>
      <c r="SGS40"/>
      <c r="SGT40"/>
      <c r="SGU40"/>
      <c r="SGV40"/>
      <c r="SGW40"/>
      <c r="SGX40"/>
      <c r="SGY40"/>
      <c r="SGZ40"/>
      <c r="SHA40"/>
      <c r="SHB40"/>
      <c r="SHC40"/>
      <c r="SHD40"/>
      <c r="SHE40"/>
      <c r="SHF40"/>
      <c r="SHG40"/>
      <c r="SHH40"/>
      <c r="SHI40"/>
      <c r="SHJ40"/>
      <c r="SHK40"/>
      <c r="SHL40"/>
      <c r="SHM40"/>
      <c r="SHN40"/>
      <c r="SHO40"/>
      <c r="SHP40"/>
      <c r="SHQ40"/>
      <c r="SHR40"/>
      <c r="SHS40"/>
      <c r="SHT40"/>
      <c r="SHU40"/>
      <c r="SHV40"/>
      <c r="SHW40"/>
      <c r="SHX40"/>
      <c r="SHY40"/>
      <c r="SHZ40"/>
      <c r="SIA40"/>
      <c r="SIB40"/>
      <c r="SIC40"/>
      <c r="SID40"/>
      <c r="SIE40"/>
      <c r="SIF40"/>
      <c r="SIG40"/>
      <c r="SIH40"/>
      <c r="SII40"/>
      <c r="SIJ40"/>
      <c r="SIK40"/>
      <c r="SIL40"/>
      <c r="SIM40"/>
      <c r="SIN40"/>
      <c r="SIO40"/>
      <c r="SIP40"/>
      <c r="SIQ40"/>
      <c r="SIR40"/>
      <c r="SIS40"/>
      <c r="SIT40"/>
      <c r="SIU40"/>
      <c r="SIV40"/>
      <c r="SIW40"/>
      <c r="SIX40"/>
      <c r="SIY40"/>
      <c r="SIZ40"/>
      <c r="SJA40"/>
      <c r="SJB40"/>
      <c r="SJC40"/>
      <c r="SJD40"/>
      <c r="SJE40"/>
      <c r="SJF40"/>
      <c r="SJG40"/>
      <c r="SJH40"/>
      <c r="SJI40"/>
      <c r="SJJ40"/>
      <c r="SJK40"/>
      <c r="SJL40"/>
      <c r="SJM40"/>
      <c r="SJN40"/>
      <c r="SJO40"/>
      <c r="SJP40"/>
      <c r="SJQ40"/>
      <c r="SJR40"/>
      <c r="SJS40"/>
      <c r="SJT40"/>
      <c r="SJU40"/>
      <c r="SJV40"/>
      <c r="SJW40"/>
      <c r="SJX40"/>
      <c r="SJY40"/>
      <c r="SJZ40"/>
      <c r="SKA40"/>
      <c r="SKB40"/>
      <c r="SKC40"/>
      <c r="SKD40"/>
      <c r="SKE40"/>
      <c r="SKF40"/>
      <c r="SKG40"/>
      <c r="SKH40"/>
      <c r="SKI40"/>
      <c r="SKJ40"/>
      <c r="SKK40"/>
      <c r="SKL40"/>
      <c r="SKM40"/>
      <c r="SKN40"/>
      <c r="SKO40"/>
      <c r="SKP40"/>
      <c r="SKQ40"/>
      <c r="SKR40"/>
      <c r="SKS40"/>
      <c r="SKT40"/>
      <c r="SKU40"/>
      <c r="SKV40"/>
      <c r="SKW40"/>
      <c r="SKX40"/>
      <c r="SKY40"/>
      <c r="SKZ40"/>
      <c r="SLA40"/>
      <c r="SLB40"/>
      <c r="SLC40"/>
      <c r="SLD40"/>
      <c r="SLE40"/>
      <c r="SLF40"/>
      <c r="SLG40"/>
      <c r="SLH40"/>
      <c r="SLI40"/>
      <c r="SLJ40"/>
      <c r="SLK40"/>
      <c r="SLL40"/>
      <c r="SLM40"/>
      <c r="SLN40"/>
      <c r="SLO40"/>
      <c r="SLP40"/>
      <c r="SLQ40"/>
      <c r="SLR40"/>
      <c r="SLS40"/>
      <c r="SLT40"/>
      <c r="SLU40"/>
      <c r="SLV40"/>
      <c r="SLW40"/>
      <c r="SLX40"/>
      <c r="SLY40"/>
      <c r="SLZ40"/>
      <c r="SMA40"/>
      <c r="SMB40"/>
      <c r="SMC40"/>
      <c r="SMD40"/>
      <c r="SME40"/>
      <c r="SMF40"/>
      <c r="SMG40"/>
      <c r="SMH40"/>
      <c r="SMI40"/>
      <c r="SMJ40"/>
      <c r="SMK40"/>
      <c r="SML40"/>
      <c r="SMM40"/>
      <c r="SMN40"/>
      <c r="SMO40"/>
      <c r="SMP40"/>
      <c r="SMQ40"/>
      <c r="SMR40"/>
      <c r="SMS40"/>
      <c r="SMT40"/>
      <c r="SMU40"/>
      <c r="SMV40"/>
      <c r="SMW40"/>
      <c r="SMX40"/>
      <c r="SMY40"/>
      <c r="SMZ40"/>
      <c r="SNA40"/>
      <c r="SNB40"/>
      <c r="SNC40"/>
      <c r="SND40"/>
      <c r="SNE40"/>
      <c r="SNF40"/>
      <c r="SNG40"/>
      <c r="SNH40"/>
      <c r="SNI40"/>
      <c r="SNJ40"/>
      <c r="SNK40"/>
      <c r="SNL40"/>
      <c r="SNM40"/>
      <c r="SNN40"/>
      <c r="SNO40"/>
      <c r="SNP40"/>
      <c r="SNQ40"/>
      <c r="SNR40"/>
      <c r="SNS40"/>
      <c r="SNT40"/>
      <c r="SNU40"/>
      <c r="SNV40"/>
      <c r="SNW40"/>
      <c r="SNX40"/>
      <c r="SNY40"/>
      <c r="SNZ40"/>
      <c r="SOA40"/>
      <c r="SOB40"/>
      <c r="SOC40"/>
      <c r="SOD40"/>
      <c r="SOE40"/>
      <c r="SOF40"/>
      <c r="SOG40"/>
      <c r="SOH40"/>
      <c r="SOI40"/>
      <c r="SOJ40"/>
      <c r="SOK40"/>
      <c r="SOL40"/>
      <c r="SOM40"/>
      <c r="SON40"/>
      <c r="SOO40"/>
      <c r="SOP40"/>
      <c r="SOQ40"/>
      <c r="SOR40"/>
      <c r="SOS40"/>
      <c r="SOT40"/>
      <c r="SOU40"/>
      <c r="SOV40"/>
      <c r="SOW40"/>
      <c r="SOX40"/>
      <c r="SOY40"/>
      <c r="SOZ40"/>
      <c r="SPA40"/>
      <c r="SPB40"/>
      <c r="SPC40"/>
      <c r="SPD40"/>
      <c r="SPE40"/>
      <c r="SPF40"/>
      <c r="SPG40"/>
      <c r="SPH40"/>
      <c r="SPI40"/>
      <c r="SPJ40"/>
      <c r="SPK40"/>
      <c r="SPL40"/>
      <c r="SPM40"/>
      <c r="SPN40"/>
      <c r="SPO40"/>
      <c r="SPP40"/>
      <c r="SPQ40"/>
      <c r="SPR40"/>
      <c r="SPS40"/>
      <c r="SPT40"/>
      <c r="SPU40"/>
      <c r="SPV40"/>
      <c r="SPW40"/>
      <c r="SPX40"/>
      <c r="SPY40"/>
      <c r="SPZ40"/>
      <c r="SQA40"/>
      <c r="SQB40"/>
      <c r="SQC40"/>
      <c r="SQD40"/>
      <c r="SQE40"/>
      <c r="SQF40"/>
      <c r="SQG40"/>
      <c r="SQH40"/>
      <c r="SQI40"/>
      <c r="SQJ40"/>
      <c r="SQK40"/>
      <c r="SQL40"/>
      <c r="SQM40"/>
      <c r="SQN40"/>
      <c r="SQO40"/>
      <c r="SQP40"/>
      <c r="SQQ40"/>
      <c r="SQR40"/>
      <c r="SQS40"/>
      <c r="SQT40"/>
      <c r="SQU40"/>
      <c r="SQV40"/>
      <c r="SQW40"/>
      <c r="SQX40"/>
      <c r="SQY40"/>
      <c r="SQZ40"/>
      <c r="SRA40"/>
      <c r="SRB40"/>
      <c r="SRC40"/>
      <c r="SRD40"/>
      <c r="SRE40"/>
      <c r="SRF40"/>
      <c r="SRG40"/>
      <c r="SRH40"/>
      <c r="SRI40"/>
      <c r="SRJ40"/>
      <c r="SRK40"/>
      <c r="SRL40"/>
      <c r="SRM40"/>
      <c r="SRN40"/>
      <c r="SRO40"/>
      <c r="SRP40"/>
      <c r="SRQ40"/>
      <c r="SRR40"/>
      <c r="SRS40"/>
      <c r="SRT40"/>
      <c r="SRU40"/>
      <c r="SRV40"/>
      <c r="SRW40"/>
      <c r="SRX40"/>
      <c r="SRY40"/>
      <c r="SRZ40"/>
      <c r="SSA40"/>
      <c r="SSB40"/>
      <c r="SSC40"/>
      <c r="SSD40"/>
      <c r="SSE40"/>
      <c r="SSF40"/>
      <c r="SSG40"/>
      <c r="SSH40"/>
      <c r="SSI40"/>
      <c r="SSJ40"/>
      <c r="SSK40"/>
      <c r="SSL40"/>
      <c r="SSM40"/>
      <c r="SSN40"/>
      <c r="SSO40"/>
      <c r="SSP40"/>
      <c r="SSQ40"/>
      <c r="SSR40"/>
      <c r="SSS40"/>
      <c r="SST40"/>
      <c r="SSU40"/>
      <c r="SSV40"/>
      <c r="SSW40"/>
      <c r="SSX40"/>
      <c r="SSY40"/>
      <c r="SSZ40"/>
      <c r="STA40"/>
      <c r="STB40"/>
      <c r="STC40"/>
      <c r="STD40"/>
      <c r="STE40"/>
      <c r="STF40"/>
      <c r="STG40"/>
      <c r="STH40"/>
      <c r="STI40"/>
      <c r="STJ40"/>
      <c r="STK40"/>
      <c r="STL40"/>
      <c r="STM40"/>
      <c r="STN40"/>
      <c r="STO40"/>
      <c r="STP40"/>
      <c r="STQ40"/>
      <c r="STR40"/>
      <c r="STS40"/>
      <c r="STT40"/>
      <c r="STU40"/>
      <c r="STV40"/>
      <c r="STW40"/>
      <c r="STX40"/>
      <c r="STY40"/>
      <c r="STZ40"/>
      <c r="SUA40"/>
      <c r="SUB40"/>
      <c r="SUC40"/>
      <c r="SUD40"/>
      <c r="SUE40"/>
      <c r="SUF40"/>
      <c r="SUG40"/>
      <c r="SUH40"/>
      <c r="SUI40"/>
      <c r="SUJ40"/>
      <c r="SUK40"/>
      <c r="SUL40"/>
      <c r="SUM40"/>
      <c r="SUN40"/>
      <c r="SUO40"/>
      <c r="SUP40"/>
      <c r="SUQ40"/>
      <c r="SUR40"/>
      <c r="SUS40"/>
      <c r="SUT40"/>
      <c r="SUU40"/>
      <c r="SUV40"/>
      <c r="SUW40"/>
      <c r="SUX40"/>
      <c r="SUY40"/>
      <c r="SUZ40"/>
      <c r="SVA40"/>
      <c r="SVB40"/>
      <c r="SVC40"/>
      <c r="SVD40"/>
      <c r="SVE40"/>
      <c r="SVF40"/>
      <c r="SVG40"/>
      <c r="SVH40"/>
      <c r="SVI40"/>
      <c r="SVJ40"/>
      <c r="SVK40"/>
      <c r="SVL40"/>
      <c r="SVM40"/>
      <c r="SVN40"/>
      <c r="SVO40"/>
      <c r="SVP40"/>
      <c r="SVQ40"/>
      <c r="SVR40"/>
      <c r="SVS40"/>
      <c r="SVT40"/>
      <c r="SVU40"/>
      <c r="SVV40"/>
      <c r="SVW40"/>
      <c r="SVX40"/>
      <c r="SVY40"/>
      <c r="SVZ40"/>
      <c r="SWA40"/>
      <c r="SWB40"/>
      <c r="SWC40"/>
      <c r="SWD40"/>
      <c r="SWE40"/>
      <c r="SWF40"/>
      <c r="SWG40"/>
      <c r="SWH40"/>
      <c r="SWI40"/>
      <c r="SWJ40"/>
      <c r="SWK40"/>
      <c r="SWL40"/>
      <c r="SWM40"/>
      <c r="SWN40"/>
      <c r="SWO40"/>
      <c r="SWP40"/>
      <c r="SWQ40"/>
      <c r="SWR40"/>
      <c r="SWS40"/>
      <c r="SWT40"/>
      <c r="SWU40"/>
      <c r="SWV40"/>
      <c r="SWW40"/>
      <c r="SWX40"/>
      <c r="SWY40"/>
      <c r="SWZ40"/>
      <c r="SXA40"/>
      <c r="SXB40"/>
      <c r="SXC40"/>
      <c r="SXD40"/>
      <c r="SXE40"/>
      <c r="SXF40"/>
      <c r="SXG40"/>
      <c r="SXH40"/>
      <c r="SXI40"/>
      <c r="SXJ40"/>
      <c r="SXK40"/>
      <c r="SXL40"/>
      <c r="SXM40"/>
      <c r="SXN40"/>
      <c r="SXO40"/>
      <c r="SXP40"/>
      <c r="SXQ40"/>
      <c r="SXR40"/>
      <c r="SXS40"/>
      <c r="SXT40"/>
      <c r="SXU40"/>
      <c r="SXV40"/>
      <c r="SXW40"/>
      <c r="SXX40"/>
      <c r="SXY40"/>
      <c r="SXZ40"/>
      <c r="SYA40"/>
      <c r="SYB40"/>
      <c r="SYC40"/>
      <c r="SYD40"/>
      <c r="SYE40"/>
      <c r="SYF40"/>
      <c r="SYG40"/>
      <c r="SYH40"/>
      <c r="SYI40"/>
      <c r="SYJ40"/>
      <c r="SYK40"/>
      <c r="SYL40"/>
      <c r="SYM40"/>
      <c r="SYN40"/>
      <c r="SYO40"/>
      <c r="SYP40"/>
      <c r="SYQ40"/>
      <c r="SYR40"/>
      <c r="SYS40"/>
      <c r="SYT40"/>
      <c r="SYU40"/>
      <c r="SYV40"/>
      <c r="SYW40"/>
      <c r="SYX40"/>
      <c r="SYY40"/>
      <c r="SYZ40"/>
      <c r="SZA40"/>
      <c r="SZB40"/>
      <c r="SZC40"/>
      <c r="SZD40"/>
      <c r="SZE40"/>
      <c r="SZF40"/>
      <c r="SZG40"/>
      <c r="SZH40"/>
      <c r="SZI40"/>
      <c r="SZJ40"/>
      <c r="SZK40"/>
      <c r="SZL40"/>
      <c r="SZM40"/>
      <c r="SZN40"/>
      <c r="SZO40"/>
      <c r="SZP40"/>
      <c r="SZQ40"/>
      <c r="SZR40"/>
      <c r="SZS40"/>
      <c r="SZT40"/>
      <c r="SZU40"/>
      <c r="SZV40"/>
      <c r="SZW40"/>
      <c r="SZX40"/>
      <c r="SZY40"/>
      <c r="SZZ40"/>
      <c r="TAA40"/>
      <c r="TAB40"/>
      <c r="TAC40"/>
      <c r="TAD40"/>
      <c r="TAE40"/>
      <c r="TAF40"/>
      <c r="TAG40"/>
      <c r="TAH40"/>
      <c r="TAI40"/>
      <c r="TAJ40"/>
      <c r="TAK40"/>
      <c r="TAL40"/>
      <c r="TAM40"/>
      <c r="TAN40"/>
      <c r="TAO40"/>
      <c r="TAP40"/>
      <c r="TAQ40"/>
      <c r="TAR40"/>
      <c r="TAS40"/>
      <c r="TAT40"/>
      <c r="TAU40"/>
      <c r="TAV40"/>
      <c r="TAW40"/>
      <c r="TAX40"/>
      <c r="TAY40"/>
      <c r="TAZ40"/>
      <c r="TBA40"/>
      <c r="TBB40"/>
      <c r="TBC40"/>
      <c r="TBD40"/>
      <c r="TBE40"/>
      <c r="TBF40"/>
      <c r="TBG40"/>
      <c r="TBH40"/>
      <c r="TBI40"/>
      <c r="TBJ40"/>
      <c r="TBK40"/>
      <c r="TBL40"/>
      <c r="TBM40"/>
      <c r="TBN40"/>
      <c r="TBO40"/>
      <c r="TBP40"/>
      <c r="TBQ40"/>
      <c r="TBR40"/>
      <c r="TBS40"/>
      <c r="TBT40"/>
      <c r="TBU40"/>
      <c r="TBV40"/>
      <c r="TBW40"/>
      <c r="TBX40"/>
      <c r="TBY40"/>
      <c r="TBZ40"/>
      <c r="TCA40"/>
      <c r="TCB40"/>
      <c r="TCC40"/>
      <c r="TCD40"/>
      <c r="TCE40"/>
      <c r="TCF40"/>
      <c r="TCG40"/>
      <c r="TCH40"/>
      <c r="TCI40"/>
      <c r="TCJ40"/>
      <c r="TCK40"/>
      <c r="TCL40"/>
      <c r="TCM40"/>
      <c r="TCN40"/>
      <c r="TCO40"/>
      <c r="TCP40"/>
      <c r="TCQ40"/>
      <c r="TCR40"/>
      <c r="TCS40"/>
      <c r="TCT40"/>
      <c r="TCU40"/>
      <c r="TCV40"/>
      <c r="TCW40"/>
      <c r="TCX40"/>
      <c r="TCY40"/>
      <c r="TCZ40"/>
      <c r="TDA40"/>
      <c r="TDB40"/>
      <c r="TDC40"/>
      <c r="TDD40"/>
      <c r="TDE40"/>
      <c r="TDF40"/>
      <c r="TDG40"/>
      <c r="TDH40"/>
      <c r="TDI40"/>
      <c r="TDJ40"/>
      <c r="TDK40"/>
      <c r="TDL40"/>
      <c r="TDM40"/>
      <c r="TDN40"/>
      <c r="TDO40"/>
      <c r="TDP40"/>
      <c r="TDQ40"/>
      <c r="TDR40"/>
      <c r="TDS40"/>
      <c r="TDT40"/>
      <c r="TDU40"/>
      <c r="TDV40"/>
      <c r="TDW40"/>
      <c r="TDX40"/>
      <c r="TDY40"/>
      <c r="TDZ40"/>
      <c r="TEA40"/>
      <c r="TEB40"/>
      <c r="TEC40"/>
      <c r="TED40"/>
      <c r="TEE40"/>
      <c r="TEF40"/>
      <c r="TEG40"/>
      <c r="TEH40"/>
      <c r="TEI40"/>
      <c r="TEJ40"/>
      <c r="TEK40"/>
      <c r="TEL40"/>
      <c r="TEM40"/>
      <c r="TEN40"/>
      <c r="TEO40"/>
      <c r="TEP40"/>
      <c r="TEQ40"/>
      <c r="TER40"/>
      <c r="TES40"/>
      <c r="TET40"/>
      <c r="TEU40"/>
      <c r="TEV40"/>
      <c r="TEW40"/>
      <c r="TEX40"/>
      <c r="TEY40"/>
      <c r="TEZ40"/>
      <c r="TFA40"/>
      <c r="TFB40"/>
      <c r="TFC40"/>
      <c r="TFD40"/>
      <c r="TFE40"/>
      <c r="TFF40"/>
      <c r="TFG40"/>
      <c r="TFH40"/>
      <c r="TFI40"/>
      <c r="TFJ40"/>
      <c r="TFK40"/>
      <c r="TFL40"/>
      <c r="TFM40"/>
      <c r="TFN40"/>
      <c r="TFO40"/>
      <c r="TFP40"/>
      <c r="TFQ40"/>
      <c r="TFR40"/>
      <c r="TFS40"/>
      <c r="TFT40"/>
      <c r="TFU40"/>
      <c r="TFV40"/>
      <c r="TFW40"/>
      <c r="TFX40"/>
      <c r="TFY40"/>
      <c r="TFZ40"/>
      <c r="TGA40"/>
      <c r="TGB40"/>
      <c r="TGC40"/>
      <c r="TGD40"/>
      <c r="TGE40"/>
      <c r="TGF40"/>
      <c r="TGG40"/>
      <c r="TGH40"/>
      <c r="TGI40"/>
      <c r="TGJ40"/>
      <c r="TGK40"/>
      <c r="TGL40"/>
      <c r="TGM40"/>
      <c r="TGN40"/>
      <c r="TGO40"/>
      <c r="TGP40"/>
      <c r="TGQ40"/>
      <c r="TGR40"/>
      <c r="TGS40"/>
      <c r="TGT40"/>
      <c r="TGU40"/>
      <c r="TGV40"/>
      <c r="TGW40"/>
      <c r="TGX40"/>
      <c r="TGY40"/>
      <c r="TGZ40"/>
      <c r="THA40"/>
      <c r="THB40"/>
      <c r="THC40"/>
      <c r="THD40"/>
      <c r="THE40"/>
      <c r="THF40"/>
      <c r="THG40"/>
      <c r="THH40"/>
      <c r="THI40"/>
      <c r="THJ40"/>
      <c r="THK40"/>
      <c r="THL40"/>
      <c r="THM40"/>
      <c r="THN40"/>
      <c r="THO40"/>
      <c r="THP40"/>
      <c r="THQ40"/>
      <c r="THR40"/>
      <c r="THS40"/>
      <c r="THT40"/>
      <c r="THU40"/>
      <c r="THV40"/>
      <c r="THW40"/>
      <c r="THX40"/>
      <c r="THY40"/>
      <c r="THZ40"/>
      <c r="TIA40"/>
      <c r="TIB40"/>
      <c r="TIC40"/>
      <c r="TID40"/>
      <c r="TIE40"/>
      <c r="TIF40"/>
      <c r="TIG40"/>
      <c r="TIH40"/>
      <c r="TII40"/>
      <c r="TIJ40"/>
      <c r="TIK40"/>
      <c r="TIL40"/>
      <c r="TIM40"/>
      <c r="TIN40"/>
      <c r="TIO40"/>
      <c r="TIP40"/>
      <c r="TIQ40"/>
      <c r="TIR40"/>
      <c r="TIS40"/>
      <c r="TIT40"/>
      <c r="TIU40"/>
      <c r="TIV40"/>
      <c r="TIW40"/>
      <c r="TIX40"/>
      <c r="TIY40"/>
      <c r="TIZ40"/>
      <c r="TJA40"/>
      <c r="TJB40"/>
      <c r="TJC40"/>
      <c r="TJD40"/>
      <c r="TJE40"/>
      <c r="TJF40"/>
      <c r="TJG40"/>
      <c r="TJH40"/>
      <c r="TJI40"/>
      <c r="TJJ40"/>
      <c r="TJK40"/>
      <c r="TJL40"/>
      <c r="TJM40"/>
      <c r="TJN40"/>
      <c r="TJO40"/>
      <c r="TJP40"/>
      <c r="TJQ40"/>
      <c r="TJR40"/>
      <c r="TJS40"/>
      <c r="TJT40"/>
      <c r="TJU40"/>
      <c r="TJV40"/>
      <c r="TJW40"/>
      <c r="TJX40"/>
      <c r="TJY40"/>
      <c r="TJZ40"/>
      <c r="TKA40"/>
      <c r="TKB40"/>
      <c r="TKC40"/>
      <c r="TKD40"/>
      <c r="TKE40"/>
      <c r="TKF40"/>
      <c r="TKG40"/>
      <c r="TKH40"/>
      <c r="TKI40"/>
      <c r="TKJ40"/>
      <c r="TKK40"/>
      <c r="TKL40"/>
      <c r="TKM40"/>
      <c r="TKN40"/>
      <c r="TKO40"/>
      <c r="TKP40"/>
      <c r="TKQ40"/>
      <c r="TKR40"/>
      <c r="TKS40"/>
      <c r="TKT40"/>
      <c r="TKU40"/>
      <c r="TKV40"/>
      <c r="TKW40"/>
      <c r="TKX40"/>
      <c r="TKY40"/>
      <c r="TKZ40"/>
      <c r="TLA40"/>
      <c r="TLB40"/>
      <c r="TLC40"/>
      <c r="TLD40"/>
      <c r="TLE40"/>
      <c r="TLF40"/>
      <c r="TLG40"/>
      <c r="TLH40"/>
      <c r="TLI40"/>
      <c r="TLJ40"/>
      <c r="TLK40"/>
      <c r="TLL40"/>
      <c r="TLM40"/>
      <c r="TLN40"/>
      <c r="TLO40"/>
      <c r="TLP40"/>
      <c r="TLQ40"/>
      <c r="TLR40"/>
      <c r="TLS40"/>
      <c r="TLT40"/>
      <c r="TLU40"/>
      <c r="TLV40"/>
      <c r="TLW40"/>
      <c r="TLX40"/>
      <c r="TLY40"/>
      <c r="TLZ40"/>
      <c r="TMA40"/>
      <c r="TMB40"/>
      <c r="TMC40"/>
      <c r="TMD40"/>
      <c r="TME40"/>
      <c r="TMF40"/>
      <c r="TMG40"/>
      <c r="TMH40"/>
      <c r="TMI40"/>
      <c r="TMJ40"/>
      <c r="TMK40"/>
      <c r="TML40"/>
      <c r="TMM40"/>
      <c r="TMN40"/>
      <c r="TMO40"/>
      <c r="TMP40"/>
      <c r="TMQ40"/>
      <c r="TMR40"/>
      <c r="TMS40"/>
      <c r="TMT40"/>
      <c r="TMU40"/>
      <c r="TMV40"/>
      <c r="TMW40"/>
      <c r="TMX40"/>
      <c r="TMY40"/>
      <c r="TMZ40"/>
      <c r="TNA40"/>
      <c r="TNB40"/>
      <c r="TNC40"/>
      <c r="TND40"/>
      <c r="TNE40"/>
      <c r="TNF40"/>
      <c r="TNG40"/>
      <c r="TNH40"/>
      <c r="TNI40"/>
      <c r="TNJ40"/>
      <c r="TNK40"/>
      <c r="TNL40"/>
      <c r="TNM40"/>
      <c r="TNN40"/>
      <c r="TNO40"/>
      <c r="TNP40"/>
      <c r="TNQ40"/>
      <c r="TNR40"/>
      <c r="TNS40"/>
      <c r="TNT40"/>
      <c r="TNU40"/>
      <c r="TNV40"/>
      <c r="TNW40"/>
      <c r="TNX40"/>
      <c r="TNY40"/>
      <c r="TNZ40"/>
      <c r="TOA40"/>
      <c r="TOB40"/>
      <c r="TOC40"/>
      <c r="TOD40"/>
      <c r="TOE40"/>
      <c r="TOF40"/>
      <c r="TOG40"/>
      <c r="TOH40"/>
      <c r="TOI40"/>
      <c r="TOJ40"/>
      <c r="TOK40"/>
      <c r="TOL40"/>
      <c r="TOM40"/>
      <c r="TON40"/>
      <c r="TOO40"/>
      <c r="TOP40"/>
      <c r="TOQ40"/>
      <c r="TOR40"/>
      <c r="TOS40"/>
      <c r="TOT40"/>
      <c r="TOU40"/>
      <c r="TOV40"/>
      <c r="TOW40"/>
      <c r="TOX40"/>
      <c r="TOY40"/>
      <c r="TOZ40"/>
      <c r="TPA40"/>
      <c r="TPB40"/>
      <c r="TPC40"/>
      <c r="TPD40"/>
      <c r="TPE40"/>
      <c r="TPF40"/>
      <c r="TPG40"/>
      <c r="TPH40"/>
      <c r="TPI40"/>
      <c r="TPJ40"/>
      <c r="TPK40"/>
      <c r="TPL40"/>
      <c r="TPM40"/>
      <c r="TPN40"/>
      <c r="TPO40"/>
      <c r="TPP40"/>
      <c r="TPQ40"/>
      <c r="TPR40"/>
      <c r="TPS40"/>
      <c r="TPT40"/>
      <c r="TPU40"/>
      <c r="TPV40"/>
      <c r="TPW40"/>
      <c r="TPX40"/>
      <c r="TPY40"/>
      <c r="TPZ40"/>
      <c r="TQA40"/>
      <c r="TQB40"/>
      <c r="TQC40"/>
      <c r="TQD40"/>
      <c r="TQE40"/>
      <c r="TQF40"/>
      <c r="TQG40"/>
      <c r="TQH40"/>
      <c r="TQI40"/>
      <c r="TQJ40"/>
      <c r="TQK40"/>
      <c r="TQL40"/>
      <c r="TQM40"/>
      <c r="TQN40"/>
      <c r="TQO40"/>
      <c r="TQP40"/>
      <c r="TQQ40"/>
      <c r="TQR40"/>
      <c r="TQS40"/>
      <c r="TQT40"/>
      <c r="TQU40"/>
      <c r="TQV40"/>
      <c r="TQW40"/>
      <c r="TQX40"/>
      <c r="TQY40"/>
      <c r="TQZ40"/>
      <c r="TRA40"/>
      <c r="TRB40"/>
      <c r="TRC40"/>
      <c r="TRD40"/>
      <c r="TRE40"/>
      <c r="TRF40"/>
      <c r="TRG40"/>
      <c r="TRH40"/>
      <c r="TRI40"/>
      <c r="TRJ40"/>
      <c r="TRK40"/>
      <c r="TRL40"/>
      <c r="TRM40"/>
      <c r="TRN40"/>
      <c r="TRO40"/>
      <c r="TRP40"/>
      <c r="TRQ40"/>
      <c r="TRR40"/>
      <c r="TRS40"/>
      <c r="TRT40"/>
      <c r="TRU40"/>
      <c r="TRV40"/>
      <c r="TRW40"/>
      <c r="TRX40"/>
      <c r="TRY40"/>
      <c r="TRZ40"/>
      <c r="TSA40"/>
      <c r="TSB40"/>
      <c r="TSC40"/>
      <c r="TSD40"/>
      <c r="TSE40"/>
      <c r="TSF40"/>
      <c r="TSG40"/>
      <c r="TSH40"/>
      <c r="TSI40"/>
      <c r="TSJ40"/>
      <c r="TSK40"/>
      <c r="TSL40"/>
      <c r="TSM40"/>
      <c r="TSN40"/>
      <c r="TSO40"/>
      <c r="TSP40"/>
      <c r="TSQ40"/>
      <c r="TSR40"/>
      <c r="TSS40"/>
      <c r="TST40"/>
      <c r="TSU40"/>
      <c r="TSV40"/>
      <c r="TSW40"/>
      <c r="TSX40"/>
      <c r="TSY40"/>
      <c r="TSZ40"/>
      <c r="TTA40"/>
      <c r="TTB40"/>
      <c r="TTC40"/>
      <c r="TTD40"/>
      <c r="TTE40"/>
      <c r="TTF40"/>
      <c r="TTG40"/>
      <c r="TTH40"/>
      <c r="TTI40"/>
      <c r="TTJ40"/>
      <c r="TTK40"/>
      <c r="TTL40"/>
      <c r="TTM40"/>
      <c r="TTN40"/>
      <c r="TTO40"/>
      <c r="TTP40"/>
      <c r="TTQ40"/>
      <c r="TTR40"/>
      <c r="TTS40"/>
      <c r="TTT40"/>
      <c r="TTU40"/>
      <c r="TTV40"/>
      <c r="TTW40"/>
      <c r="TTX40"/>
      <c r="TTY40"/>
      <c r="TTZ40"/>
      <c r="TUA40"/>
      <c r="TUB40"/>
      <c r="TUC40"/>
      <c r="TUD40"/>
      <c r="TUE40"/>
      <c r="TUF40"/>
      <c r="TUG40"/>
      <c r="TUH40"/>
      <c r="TUI40"/>
      <c r="TUJ40"/>
      <c r="TUK40"/>
      <c r="TUL40"/>
      <c r="TUM40"/>
      <c r="TUN40"/>
      <c r="TUO40"/>
      <c r="TUP40"/>
      <c r="TUQ40"/>
      <c r="TUR40"/>
      <c r="TUS40"/>
      <c r="TUT40"/>
      <c r="TUU40"/>
      <c r="TUV40"/>
      <c r="TUW40"/>
      <c r="TUX40"/>
      <c r="TUY40"/>
      <c r="TUZ40"/>
      <c r="TVA40"/>
      <c r="TVB40"/>
      <c r="TVC40"/>
      <c r="TVD40"/>
      <c r="TVE40"/>
      <c r="TVF40"/>
      <c r="TVG40"/>
      <c r="TVH40"/>
      <c r="TVI40"/>
      <c r="TVJ40"/>
      <c r="TVK40"/>
      <c r="TVL40"/>
      <c r="TVM40"/>
      <c r="TVN40"/>
      <c r="TVO40"/>
      <c r="TVP40"/>
      <c r="TVQ40"/>
      <c r="TVR40"/>
      <c r="TVS40"/>
      <c r="TVT40"/>
      <c r="TVU40"/>
      <c r="TVV40"/>
      <c r="TVW40"/>
      <c r="TVX40"/>
      <c r="TVY40"/>
      <c r="TVZ40"/>
      <c r="TWA40"/>
      <c r="TWB40"/>
      <c r="TWC40"/>
      <c r="TWD40"/>
      <c r="TWE40"/>
      <c r="TWF40"/>
      <c r="TWG40"/>
      <c r="TWH40"/>
      <c r="TWI40"/>
      <c r="TWJ40"/>
      <c r="TWK40"/>
      <c r="TWL40"/>
      <c r="TWM40"/>
      <c r="TWN40"/>
      <c r="TWO40"/>
      <c r="TWP40"/>
      <c r="TWQ40"/>
      <c r="TWR40"/>
      <c r="TWS40"/>
      <c r="TWT40"/>
      <c r="TWU40"/>
      <c r="TWV40"/>
      <c r="TWW40"/>
      <c r="TWX40"/>
      <c r="TWY40"/>
      <c r="TWZ40"/>
      <c r="TXA40"/>
      <c r="TXB40"/>
      <c r="TXC40"/>
      <c r="TXD40"/>
      <c r="TXE40"/>
      <c r="TXF40"/>
      <c r="TXG40"/>
      <c r="TXH40"/>
      <c r="TXI40"/>
      <c r="TXJ40"/>
      <c r="TXK40"/>
      <c r="TXL40"/>
      <c r="TXM40"/>
      <c r="TXN40"/>
      <c r="TXO40"/>
      <c r="TXP40"/>
      <c r="TXQ40"/>
      <c r="TXR40"/>
      <c r="TXS40"/>
      <c r="TXT40"/>
      <c r="TXU40"/>
      <c r="TXV40"/>
      <c r="TXW40"/>
      <c r="TXX40"/>
      <c r="TXY40"/>
      <c r="TXZ40"/>
      <c r="TYA40"/>
      <c r="TYB40"/>
      <c r="TYC40"/>
      <c r="TYD40"/>
      <c r="TYE40"/>
      <c r="TYF40"/>
      <c r="TYG40"/>
      <c r="TYH40"/>
      <c r="TYI40"/>
      <c r="TYJ40"/>
      <c r="TYK40"/>
      <c r="TYL40"/>
      <c r="TYM40"/>
      <c r="TYN40"/>
      <c r="TYO40"/>
      <c r="TYP40"/>
      <c r="TYQ40"/>
      <c r="TYR40"/>
      <c r="TYS40"/>
      <c r="TYT40"/>
      <c r="TYU40"/>
      <c r="TYV40"/>
      <c r="TYW40"/>
      <c r="TYX40"/>
      <c r="TYY40"/>
      <c r="TYZ40"/>
      <c r="TZA40"/>
      <c r="TZB40"/>
      <c r="TZC40"/>
      <c r="TZD40"/>
      <c r="TZE40"/>
      <c r="TZF40"/>
      <c r="TZG40"/>
      <c r="TZH40"/>
      <c r="TZI40"/>
      <c r="TZJ40"/>
      <c r="TZK40"/>
      <c r="TZL40"/>
      <c r="TZM40"/>
      <c r="TZN40"/>
      <c r="TZO40"/>
      <c r="TZP40"/>
      <c r="TZQ40"/>
      <c r="TZR40"/>
      <c r="TZS40"/>
      <c r="TZT40"/>
      <c r="TZU40"/>
      <c r="TZV40"/>
      <c r="TZW40"/>
      <c r="TZX40"/>
      <c r="TZY40"/>
      <c r="TZZ40"/>
      <c r="UAA40"/>
      <c r="UAB40"/>
      <c r="UAC40"/>
      <c r="UAD40"/>
      <c r="UAE40"/>
      <c r="UAF40"/>
      <c r="UAG40"/>
      <c r="UAH40"/>
      <c r="UAI40"/>
      <c r="UAJ40"/>
      <c r="UAK40"/>
      <c r="UAL40"/>
      <c r="UAM40"/>
      <c r="UAN40"/>
      <c r="UAO40"/>
      <c r="UAP40"/>
      <c r="UAQ40"/>
      <c r="UAR40"/>
      <c r="UAS40"/>
      <c r="UAT40"/>
      <c r="UAU40"/>
      <c r="UAV40"/>
      <c r="UAW40"/>
      <c r="UAX40"/>
      <c r="UAY40"/>
      <c r="UAZ40"/>
      <c r="UBA40"/>
      <c r="UBB40"/>
      <c r="UBC40"/>
      <c r="UBD40"/>
      <c r="UBE40"/>
      <c r="UBF40"/>
      <c r="UBG40"/>
      <c r="UBH40"/>
      <c r="UBI40"/>
      <c r="UBJ40"/>
      <c r="UBK40"/>
      <c r="UBL40"/>
      <c r="UBM40"/>
      <c r="UBN40"/>
      <c r="UBO40"/>
      <c r="UBP40"/>
      <c r="UBQ40"/>
      <c r="UBR40"/>
      <c r="UBS40"/>
      <c r="UBT40"/>
      <c r="UBU40"/>
      <c r="UBV40"/>
      <c r="UBW40"/>
      <c r="UBX40"/>
      <c r="UBY40"/>
      <c r="UBZ40"/>
      <c r="UCA40"/>
      <c r="UCB40"/>
      <c r="UCC40"/>
      <c r="UCD40"/>
      <c r="UCE40"/>
      <c r="UCF40"/>
      <c r="UCG40"/>
      <c r="UCH40"/>
      <c r="UCI40"/>
      <c r="UCJ40"/>
      <c r="UCK40"/>
      <c r="UCL40"/>
      <c r="UCM40"/>
      <c r="UCN40"/>
      <c r="UCO40"/>
      <c r="UCP40"/>
      <c r="UCQ40"/>
      <c r="UCR40"/>
      <c r="UCS40"/>
      <c r="UCT40"/>
      <c r="UCU40"/>
      <c r="UCV40"/>
      <c r="UCW40"/>
      <c r="UCX40"/>
      <c r="UCY40"/>
      <c r="UCZ40"/>
      <c r="UDA40"/>
      <c r="UDB40"/>
      <c r="UDC40"/>
      <c r="UDD40"/>
      <c r="UDE40"/>
      <c r="UDF40"/>
      <c r="UDG40"/>
      <c r="UDH40"/>
      <c r="UDI40"/>
      <c r="UDJ40"/>
      <c r="UDK40"/>
      <c r="UDL40"/>
      <c r="UDM40"/>
      <c r="UDN40"/>
      <c r="UDO40"/>
      <c r="UDP40"/>
      <c r="UDQ40"/>
      <c r="UDR40"/>
      <c r="UDS40"/>
      <c r="UDT40"/>
      <c r="UDU40"/>
      <c r="UDV40"/>
      <c r="UDW40"/>
      <c r="UDX40"/>
      <c r="UDY40"/>
      <c r="UDZ40"/>
      <c r="UEA40"/>
      <c r="UEB40"/>
      <c r="UEC40"/>
      <c r="UED40"/>
      <c r="UEE40"/>
      <c r="UEF40"/>
      <c r="UEG40"/>
      <c r="UEH40"/>
      <c r="UEI40"/>
      <c r="UEJ40"/>
      <c r="UEK40"/>
      <c r="UEL40"/>
      <c r="UEM40"/>
      <c r="UEN40"/>
      <c r="UEO40"/>
      <c r="UEP40"/>
      <c r="UEQ40"/>
      <c r="UER40"/>
      <c r="UES40"/>
      <c r="UET40"/>
      <c r="UEU40"/>
      <c r="UEV40"/>
      <c r="UEW40"/>
      <c r="UEX40"/>
      <c r="UEY40"/>
      <c r="UEZ40"/>
      <c r="UFA40"/>
      <c r="UFB40"/>
      <c r="UFC40"/>
      <c r="UFD40"/>
      <c r="UFE40"/>
      <c r="UFF40"/>
      <c r="UFG40"/>
      <c r="UFH40"/>
      <c r="UFI40"/>
      <c r="UFJ40"/>
      <c r="UFK40"/>
      <c r="UFL40"/>
      <c r="UFM40"/>
      <c r="UFN40"/>
      <c r="UFO40"/>
      <c r="UFP40"/>
      <c r="UFQ40"/>
      <c r="UFR40"/>
      <c r="UFS40"/>
      <c r="UFT40"/>
      <c r="UFU40"/>
      <c r="UFV40"/>
      <c r="UFW40"/>
      <c r="UFX40"/>
      <c r="UFY40"/>
      <c r="UFZ40"/>
      <c r="UGA40"/>
      <c r="UGB40"/>
      <c r="UGC40"/>
      <c r="UGD40"/>
      <c r="UGE40"/>
      <c r="UGF40"/>
      <c r="UGG40"/>
      <c r="UGH40"/>
      <c r="UGI40"/>
      <c r="UGJ40"/>
      <c r="UGK40"/>
      <c r="UGL40"/>
      <c r="UGM40"/>
      <c r="UGN40"/>
      <c r="UGO40"/>
      <c r="UGP40"/>
      <c r="UGQ40"/>
      <c r="UGR40"/>
      <c r="UGS40"/>
      <c r="UGT40"/>
      <c r="UGU40"/>
      <c r="UGV40"/>
      <c r="UGW40"/>
      <c r="UGX40"/>
      <c r="UGY40"/>
      <c r="UGZ40"/>
      <c r="UHA40"/>
      <c r="UHB40"/>
      <c r="UHC40"/>
      <c r="UHD40"/>
      <c r="UHE40"/>
      <c r="UHF40"/>
      <c r="UHG40"/>
      <c r="UHH40"/>
      <c r="UHI40"/>
      <c r="UHJ40"/>
      <c r="UHK40"/>
      <c r="UHL40"/>
      <c r="UHM40"/>
      <c r="UHN40"/>
      <c r="UHO40"/>
      <c r="UHP40"/>
      <c r="UHQ40"/>
      <c r="UHR40"/>
      <c r="UHS40"/>
      <c r="UHT40"/>
      <c r="UHU40"/>
      <c r="UHV40"/>
      <c r="UHW40"/>
      <c r="UHX40"/>
      <c r="UHY40"/>
      <c r="UHZ40"/>
      <c r="UIA40"/>
      <c r="UIB40"/>
      <c r="UIC40"/>
      <c r="UID40"/>
      <c r="UIE40"/>
      <c r="UIF40"/>
      <c r="UIG40"/>
      <c r="UIH40"/>
      <c r="UII40"/>
      <c r="UIJ40"/>
      <c r="UIK40"/>
      <c r="UIL40"/>
      <c r="UIM40"/>
      <c r="UIN40"/>
      <c r="UIO40"/>
      <c r="UIP40"/>
      <c r="UIQ40"/>
      <c r="UIR40"/>
      <c r="UIS40"/>
      <c r="UIT40"/>
      <c r="UIU40"/>
      <c r="UIV40"/>
      <c r="UIW40"/>
      <c r="UIX40"/>
      <c r="UIY40"/>
      <c r="UIZ40"/>
      <c r="UJA40"/>
      <c r="UJB40"/>
      <c r="UJC40"/>
      <c r="UJD40"/>
      <c r="UJE40"/>
      <c r="UJF40"/>
      <c r="UJG40"/>
      <c r="UJH40"/>
      <c r="UJI40"/>
      <c r="UJJ40"/>
      <c r="UJK40"/>
      <c r="UJL40"/>
      <c r="UJM40"/>
      <c r="UJN40"/>
      <c r="UJO40"/>
      <c r="UJP40"/>
      <c r="UJQ40"/>
      <c r="UJR40"/>
      <c r="UJS40"/>
      <c r="UJT40"/>
      <c r="UJU40"/>
      <c r="UJV40"/>
      <c r="UJW40"/>
      <c r="UJX40"/>
      <c r="UJY40"/>
      <c r="UJZ40"/>
      <c r="UKA40"/>
      <c r="UKB40"/>
      <c r="UKC40"/>
      <c r="UKD40"/>
      <c r="UKE40"/>
      <c r="UKF40"/>
      <c r="UKG40"/>
      <c r="UKH40"/>
      <c r="UKI40"/>
      <c r="UKJ40"/>
      <c r="UKK40"/>
      <c r="UKL40"/>
      <c r="UKM40"/>
      <c r="UKN40"/>
      <c r="UKO40"/>
      <c r="UKP40"/>
      <c r="UKQ40"/>
      <c r="UKR40"/>
      <c r="UKS40"/>
      <c r="UKT40"/>
      <c r="UKU40"/>
      <c r="UKV40"/>
      <c r="UKW40"/>
      <c r="UKX40"/>
      <c r="UKY40"/>
      <c r="UKZ40"/>
      <c r="ULA40"/>
      <c r="ULB40"/>
      <c r="ULC40"/>
      <c r="ULD40"/>
      <c r="ULE40"/>
      <c r="ULF40"/>
      <c r="ULG40"/>
      <c r="ULH40"/>
      <c r="ULI40"/>
      <c r="ULJ40"/>
      <c r="ULK40"/>
      <c r="ULL40"/>
      <c r="ULM40"/>
      <c r="ULN40"/>
      <c r="ULO40"/>
      <c r="ULP40"/>
      <c r="ULQ40"/>
      <c r="ULR40"/>
      <c r="ULS40"/>
      <c r="ULT40"/>
      <c r="ULU40"/>
      <c r="ULV40"/>
      <c r="ULW40"/>
      <c r="ULX40"/>
      <c r="ULY40"/>
      <c r="ULZ40"/>
      <c r="UMA40"/>
      <c r="UMB40"/>
      <c r="UMC40"/>
      <c r="UMD40"/>
      <c r="UME40"/>
      <c r="UMF40"/>
      <c r="UMG40"/>
      <c r="UMH40"/>
      <c r="UMI40"/>
      <c r="UMJ40"/>
      <c r="UMK40"/>
      <c r="UML40"/>
      <c r="UMM40"/>
      <c r="UMN40"/>
      <c r="UMO40"/>
      <c r="UMP40"/>
      <c r="UMQ40"/>
      <c r="UMR40"/>
      <c r="UMS40"/>
      <c r="UMT40"/>
      <c r="UMU40"/>
      <c r="UMV40"/>
      <c r="UMW40"/>
      <c r="UMX40"/>
      <c r="UMY40"/>
      <c r="UMZ40"/>
      <c r="UNA40"/>
      <c r="UNB40"/>
      <c r="UNC40"/>
      <c r="UND40"/>
      <c r="UNE40"/>
      <c r="UNF40"/>
      <c r="UNG40"/>
      <c r="UNH40"/>
      <c r="UNI40"/>
      <c r="UNJ40"/>
      <c r="UNK40"/>
      <c r="UNL40"/>
      <c r="UNM40"/>
      <c r="UNN40"/>
      <c r="UNO40"/>
      <c r="UNP40"/>
      <c r="UNQ40"/>
      <c r="UNR40"/>
      <c r="UNS40"/>
      <c r="UNT40"/>
      <c r="UNU40"/>
      <c r="UNV40"/>
      <c r="UNW40"/>
      <c r="UNX40"/>
      <c r="UNY40"/>
      <c r="UNZ40"/>
      <c r="UOA40"/>
      <c r="UOB40"/>
      <c r="UOC40"/>
      <c r="UOD40"/>
      <c r="UOE40"/>
      <c r="UOF40"/>
      <c r="UOG40"/>
      <c r="UOH40"/>
      <c r="UOI40"/>
      <c r="UOJ40"/>
      <c r="UOK40"/>
      <c r="UOL40"/>
      <c r="UOM40"/>
      <c r="UON40"/>
      <c r="UOO40"/>
      <c r="UOP40"/>
      <c r="UOQ40"/>
      <c r="UOR40"/>
      <c r="UOS40"/>
      <c r="UOT40"/>
      <c r="UOU40"/>
      <c r="UOV40"/>
      <c r="UOW40"/>
      <c r="UOX40"/>
      <c r="UOY40"/>
      <c r="UOZ40"/>
      <c r="UPA40"/>
      <c r="UPB40"/>
      <c r="UPC40"/>
      <c r="UPD40"/>
      <c r="UPE40"/>
      <c r="UPF40"/>
      <c r="UPG40"/>
      <c r="UPH40"/>
      <c r="UPI40"/>
      <c r="UPJ40"/>
      <c r="UPK40"/>
      <c r="UPL40"/>
      <c r="UPM40"/>
      <c r="UPN40"/>
      <c r="UPO40"/>
      <c r="UPP40"/>
      <c r="UPQ40"/>
      <c r="UPR40"/>
      <c r="UPS40"/>
      <c r="UPT40"/>
      <c r="UPU40"/>
      <c r="UPV40"/>
      <c r="UPW40"/>
      <c r="UPX40"/>
      <c r="UPY40"/>
      <c r="UPZ40"/>
      <c r="UQA40"/>
      <c r="UQB40"/>
      <c r="UQC40"/>
      <c r="UQD40"/>
      <c r="UQE40"/>
      <c r="UQF40"/>
      <c r="UQG40"/>
      <c r="UQH40"/>
      <c r="UQI40"/>
      <c r="UQJ40"/>
      <c r="UQK40"/>
      <c r="UQL40"/>
      <c r="UQM40"/>
      <c r="UQN40"/>
      <c r="UQO40"/>
      <c r="UQP40"/>
      <c r="UQQ40"/>
      <c r="UQR40"/>
      <c r="UQS40"/>
      <c r="UQT40"/>
      <c r="UQU40"/>
      <c r="UQV40"/>
      <c r="UQW40"/>
      <c r="UQX40"/>
      <c r="UQY40"/>
      <c r="UQZ40"/>
      <c r="URA40"/>
      <c r="URB40"/>
      <c r="URC40"/>
      <c r="URD40"/>
      <c r="URE40"/>
      <c r="URF40"/>
      <c r="URG40"/>
      <c r="URH40"/>
      <c r="URI40"/>
      <c r="URJ40"/>
      <c r="URK40"/>
      <c r="URL40"/>
      <c r="URM40"/>
      <c r="URN40"/>
      <c r="URO40"/>
      <c r="URP40"/>
      <c r="URQ40"/>
      <c r="URR40"/>
      <c r="URS40"/>
      <c r="URT40"/>
      <c r="URU40"/>
      <c r="URV40"/>
      <c r="URW40"/>
      <c r="URX40"/>
      <c r="URY40"/>
      <c r="URZ40"/>
      <c r="USA40"/>
      <c r="USB40"/>
      <c r="USC40"/>
      <c r="USD40"/>
      <c r="USE40"/>
      <c r="USF40"/>
      <c r="USG40"/>
      <c r="USH40"/>
      <c r="USI40"/>
      <c r="USJ40"/>
      <c r="USK40"/>
      <c r="USL40"/>
      <c r="USM40"/>
      <c r="USN40"/>
      <c r="USO40"/>
      <c r="USP40"/>
      <c r="USQ40"/>
      <c r="USR40"/>
      <c r="USS40"/>
      <c r="UST40"/>
      <c r="USU40"/>
      <c r="USV40"/>
      <c r="USW40"/>
      <c r="USX40"/>
      <c r="USY40"/>
      <c r="USZ40"/>
      <c r="UTA40"/>
      <c r="UTB40"/>
      <c r="UTC40"/>
      <c r="UTD40"/>
      <c r="UTE40"/>
      <c r="UTF40"/>
      <c r="UTG40"/>
      <c r="UTH40"/>
      <c r="UTI40"/>
      <c r="UTJ40"/>
      <c r="UTK40"/>
      <c r="UTL40"/>
      <c r="UTM40"/>
      <c r="UTN40"/>
      <c r="UTO40"/>
      <c r="UTP40"/>
      <c r="UTQ40"/>
      <c r="UTR40"/>
      <c r="UTS40"/>
      <c r="UTT40"/>
      <c r="UTU40"/>
      <c r="UTV40"/>
      <c r="UTW40"/>
      <c r="UTX40"/>
      <c r="UTY40"/>
      <c r="UTZ40"/>
      <c r="UUA40"/>
      <c r="UUB40"/>
      <c r="UUC40"/>
      <c r="UUD40"/>
      <c r="UUE40"/>
      <c r="UUF40"/>
      <c r="UUG40"/>
      <c r="UUH40"/>
      <c r="UUI40"/>
      <c r="UUJ40"/>
      <c r="UUK40"/>
      <c r="UUL40"/>
      <c r="UUM40"/>
      <c r="UUN40"/>
      <c r="UUO40"/>
      <c r="UUP40"/>
      <c r="UUQ40"/>
      <c r="UUR40"/>
      <c r="UUS40"/>
      <c r="UUT40"/>
      <c r="UUU40"/>
      <c r="UUV40"/>
      <c r="UUW40"/>
      <c r="UUX40"/>
      <c r="UUY40"/>
      <c r="UUZ40"/>
      <c r="UVA40"/>
      <c r="UVB40"/>
      <c r="UVC40"/>
      <c r="UVD40"/>
      <c r="UVE40"/>
      <c r="UVF40"/>
      <c r="UVG40"/>
      <c r="UVH40"/>
      <c r="UVI40"/>
      <c r="UVJ40"/>
      <c r="UVK40"/>
      <c r="UVL40"/>
      <c r="UVM40"/>
      <c r="UVN40"/>
      <c r="UVO40"/>
      <c r="UVP40"/>
      <c r="UVQ40"/>
      <c r="UVR40"/>
      <c r="UVS40"/>
      <c r="UVT40"/>
      <c r="UVU40"/>
      <c r="UVV40"/>
      <c r="UVW40"/>
      <c r="UVX40"/>
      <c r="UVY40"/>
      <c r="UVZ40"/>
      <c r="UWA40"/>
      <c r="UWB40"/>
      <c r="UWC40"/>
      <c r="UWD40"/>
      <c r="UWE40"/>
      <c r="UWF40"/>
      <c r="UWG40"/>
      <c r="UWH40"/>
      <c r="UWI40"/>
      <c r="UWJ40"/>
      <c r="UWK40"/>
      <c r="UWL40"/>
      <c r="UWM40"/>
      <c r="UWN40"/>
      <c r="UWO40"/>
      <c r="UWP40"/>
      <c r="UWQ40"/>
      <c r="UWR40"/>
      <c r="UWS40"/>
      <c r="UWT40"/>
      <c r="UWU40"/>
      <c r="UWV40"/>
      <c r="UWW40"/>
      <c r="UWX40"/>
      <c r="UWY40"/>
      <c r="UWZ40"/>
      <c r="UXA40"/>
      <c r="UXB40"/>
      <c r="UXC40"/>
      <c r="UXD40"/>
      <c r="UXE40"/>
      <c r="UXF40"/>
      <c r="UXG40"/>
      <c r="UXH40"/>
      <c r="UXI40"/>
      <c r="UXJ40"/>
      <c r="UXK40"/>
      <c r="UXL40"/>
      <c r="UXM40"/>
      <c r="UXN40"/>
      <c r="UXO40"/>
      <c r="UXP40"/>
      <c r="UXQ40"/>
      <c r="UXR40"/>
      <c r="UXS40"/>
      <c r="UXT40"/>
      <c r="UXU40"/>
      <c r="UXV40"/>
      <c r="UXW40"/>
      <c r="UXX40"/>
      <c r="UXY40"/>
      <c r="UXZ40"/>
      <c r="UYA40"/>
      <c r="UYB40"/>
      <c r="UYC40"/>
      <c r="UYD40"/>
      <c r="UYE40"/>
      <c r="UYF40"/>
      <c r="UYG40"/>
      <c r="UYH40"/>
      <c r="UYI40"/>
      <c r="UYJ40"/>
      <c r="UYK40"/>
      <c r="UYL40"/>
      <c r="UYM40"/>
      <c r="UYN40"/>
      <c r="UYO40"/>
      <c r="UYP40"/>
      <c r="UYQ40"/>
      <c r="UYR40"/>
      <c r="UYS40"/>
      <c r="UYT40"/>
      <c r="UYU40"/>
      <c r="UYV40"/>
      <c r="UYW40"/>
      <c r="UYX40"/>
      <c r="UYY40"/>
      <c r="UYZ40"/>
      <c r="UZA40"/>
      <c r="UZB40"/>
      <c r="UZC40"/>
      <c r="UZD40"/>
      <c r="UZE40"/>
      <c r="UZF40"/>
      <c r="UZG40"/>
      <c r="UZH40"/>
      <c r="UZI40"/>
      <c r="UZJ40"/>
      <c r="UZK40"/>
      <c r="UZL40"/>
      <c r="UZM40"/>
      <c r="UZN40"/>
      <c r="UZO40"/>
      <c r="UZP40"/>
      <c r="UZQ40"/>
      <c r="UZR40"/>
      <c r="UZS40"/>
      <c r="UZT40"/>
      <c r="UZU40"/>
      <c r="UZV40"/>
      <c r="UZW40"/>
      <c r="UZX40"/>
      <c r="UZY40"/>
      <c r="UZZ40"/>
      <c r="VAA40"/>
      <c r="VAB40"/>
      <c r="VAC40"/>
      <c r="VAD40"/>
      <c r="VAE40"/>
      <c r="VAF40"/>
      <c r="VAG40"/>
      <c r="VAH40"/>
      <c r="VAI40"/>
      <c r="VAJ40"/>
      <c r="VAK40"/>
      <c r="VAL40"/>
      <c r="VAM40"/>
      <c r="VAN40"/>
      <c r="VAO40"/>
      <c r="VAP40"/>
      <c r="VAQ40"/>
      <c r="VAR40"/>
      <c r="VAS40"/>
      <c r="VAT40"/>
      <c r="VAU40"/>
      <c r="VAV40"/>
      <c r="VAW40"/>
      <c r="VAX40"/>
      <c r="VAY40"/>
      <c r="VAZ40"/>
      <c r="VBA40"/>
      <c r="VBB40"/>
      <c r="VBC40"/>
      <c r="VBD40"/>
      <c r="VBE40"/>
      <c r="VBF40"/>
      <c r="VBG40"/>
      <c r="VBH40"/>
      <c r="VBI40"/>
      <c r="VBJ40"/>
      <c r="VBK40"/>
      <c r="VBL40"/>
      <c r="VBM40"/>
      <c r="VBN40"/>
      <c r="VBO40"/>
      <c r="VBP40"/>
      <c r="VBQ40"/>
      <c r="VBR40"/>
      <c r="VBS40"/>
      <c r="VBT40"/>
      <c r="VBU40"/>
      <c r="VBV40"/>
      <c r="VBW40"/>
      <c r="VBX40"/>
      <c r="VBY40"/>
      <c r="VBZ40"/>
      <c r="VCA40"/>
      <c r="VCB40"/>
      <c r="VCC40"/>
      <c r="VCD40"/>
      <c r="VCE40"/>
      <c r="VCF40"/>
      <c r="VCG40"/>
      <c r="VCH40"/>
      <c r="VCI40"/>
      <c r="VCJ40"/>
      <c r="VCK40"/>
      <c r="VCL40"/>
      <c r="VCM40"/>
      <c r="VCN40"/>
      <c r="VCO40"/>
      <c r="VCP40"/>
      <c r="VCQ40"/>
      <c r="VCR40"/>
      <c r="VCS40"/>
      <c r="VCT40"/>
      <c r="VCU40"/>
      <c r="VCV40"/>
      <c r="VCW40"/>
      <c r="VCX40"/>
      <c r="VCY40"/>
      <c r="VCZ40"/>
      <c r="VDA40"/>
      <c r="VDB40"/>
      <c r="VDC40"/>
      <c r="VDD40"/>
      <c r="VDE40"/>
      <c r="VDF40"/>
      <c r="VDG40"/>
      <c r="VDH40"/>
      <c r="VDI40"/>
      <c r="VDJ40"/>
      <c r="VDK40"/>
      <c r="VDL40"/>
      <c r="VDM40"/>
      <c r="VDN40"/>
      <c r="VDO40"/>
      <c r="VDP40"/>
      <c r="VDQ40"/>
      <c r="VDR40"/>
      <c r="VDS40"/>
      <c r="VDT40"/>
      <c r="VDU40"/>
      <c r="VDV40"/>
      <c r="VDW40"/>
      <c r="VDX40"/>
      <c r="VDY40"/>
      <c r="VDZ40"/>
      <c r="VEA40"/>
      <c r="VEB40"/>
      <c r="VEC40"/>
      <c r="VED40"/>
      <c r="VEE40"/>
      <c r="VEF40"/>
      <c r="VEG40"/>
      <c r="VEH40"/>
      <c r="VEI40"/>
      <c r="VEJ40"/>
      <c r="VEK40"/>
      <c r="VEL40"/>
      <c r="VEM40"/>
      <c r="VEN40"/>
      <c r="VEO40"/>
      <c r="VEP40"/>
      <c r="VEQ40"/>
      <c r="VER40"/>
      <c r="VES40"/>
      <c r="VET40"/>
      <c r="VEU40"/>
      <c r="VEV40"/>
      <c r="VEW40"/>
      <c r="VEX40"/>
      <c r="VEY40"/>
      <c r="VEZ40"/>
      <c r="VFA40"/>
      <c r="VFB40"/>
      <c r="VFC40"/>
      <c r="VFD40"/>
      <c r="VFE40"/>
      <c r="VFF40"/>
      <c r="VFG40"/>
      <c r="VFH40"/>
      <c r="VFI40"/>
      <c r="VFJ40"/>
      <c r="VFK40"/>
      <c r="VFL40"/>
      <c r="VFM40"/>
      <c r="VFN40"/>
      <c r="VFO40"/>
      <c r="VFP40"/>
      <c r="VFQ40"/>
      <c r="VFR40"/>
      <c r="VFS40"/>
      <c r="VFT40"/>
      <c r="VFU40"/>
      <c r="VFV40"/>
      <c r="VFW40"/>
      <c r="VFX40"/>
      <c r="VFY40"/>
      <c r="VFZ40"/>
      <c r="VGA40"/>
      <c r="VGB40"/>
      <c r="VGC40"/>
      <c r="VGD40"/>
      <c r="VGE40"/>
      <c r="VGF40"/>
      <c r="VGG40"/>
      <c r="VGH40"/>
      <c r="VGI40"/>
      <c r="VGJ40"/>
      <c r="VGK40"/>
      <c r="VGL40"/>
      <c r="VGM40"/>
      <c r="VGN40"/>
      <c r="VGO40"/>
      <c r="VGP40"/>
      <c r="VGQ40"/>
      <c r="VGR40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  <c r="VIZ40"/>
      <c r="VJA40"/>
      <c r="VJB40"/>
      <c r="VJC40"/>
      <c r="VJD40"/>
      <c r="VJE40"/>
      <c r="VJF40"/>
      <c r="VJG40"/>
      <c r="VJH40"/>
      <c r="VJI40"/>
      <c r="VJJ40"/>
      <c r="VJK40"/>
      <c r="VJL40"/>
      <c r="VJM40"/>
      <c r="VJN40"/>
      <c r="VJO40"/>
      <c r="VJP40"/>
      <c r="VJQ40"/>
      <c r="VJR40"/>
      <c r="VJS40"/>
      <c r="VJT40"/>
      <c r="VJU40"/>
      <c r="VJV40"/>
      <c r="VJW40"/>
      <c r="VJX40"/>
      <c r="VJY40"/>
      <c r="VJZ40"/>
      <c r="VKA40"/>
      <c r="VKB40"/>
      <c r="VKC40"/>
      <c r="VKD40"/>
      <c r="VKE40"/>
      <c r="VKF40"/>
      <c r="VKG40"/>
      <c r="VKH40"/>
      <c r="VKI40"/>
      <c r="VKJ40"/>
      <c r="VKK40"/>
      <c r="VKL40"/>
      <c r="VKM40"/>
      <c r="VKN40"/>
      <c r="VKO40"/>
      <c r="VKP40"/>
      <c r="VKQ40"/>
      <c r="VKR40"/>
      <c r="VKS40"/>
      <c r="VKT40"/>
      <c r="VKU40"/>
      <c r="VKV40"/>
      <c r="VKW40"/>
      <c r="VKX40"/>
      <c r="VKY40"/>
      <c r="VKZ40"/>
      <c r="VLA40"/>
      <c r="VLB40"/>
      <c r="VLC40"/>
      <c r="VLD40"/>
      <c r="VLE40"/>
      <c r="VLF40"/>
      <c r="VLG40"/>
      <c r="VLH40"/>
      <c r="VLI40"/>
      <c r="VLJ40"/>
      <c r="VLK40"/>
      <c r="VLL40"/>
      <c r="VLM40"/>
      <c r="VLN40"/>
      <c r="VLO40"/>
      <c r="VLP40"/>
      <c r="VLQ40"/>
      <c r="VLR40"/>
      <c r="VLS40"/>
      <c r="VLT40"/>
      <c r="VLU40"/>
      <c r="VLV40"/>
      <c r="VLW40"/>
      <c r="VLX40"/>
      <c r="VLY40"/>
      <c r="VLZ40"/>
      <c r="VMA40"/>
      <c r="VMB40"/>
      <c r="VMC40"/>
      <c r="VMD40"/>
      <c r="VME40"/>
      <c r="VMF40"/>
      <c r="VMG40"/>
      <c r="VMH40"/>
      <c r="VMI40"/>
      <c r="VMJ40"/>
      <c r="VMK40"/>
      <c r="VML40"/>
      <c r="VMM40"/>
      <c r="VMN40"/>
      <c r="VMO40"/>
      <c r="VMP40"/>
      <c r="VMQ40"/>
      <c r="VMR40"/>
      <c r="VMS40"/>
      <c r="VMT40"/>
      <c r="VMU40"/>
      <c r="VMV40"/>
      <c r="VMW40"/>
      <c r="VMX40"/>
      <c r="VMY40"/>
      <c r="VMZ40"/>
      <c r="VNA40"/>
      <c r="VNB40"/>
      <c r="VNC40"/>
      <c r="VND40"/>
      <c r="VNE40"/>
      <c r="VNF40"/>
      <c r="VNG40"/>
      <c r="VNH40"/>
      <c r="VNI40"/>
      <c r="VNJ40"/>
      <c r="VNK40"/>
      <c r="VNL40"/>
      <c r="VNM40"/>
      <c r="VNN40"/>
      <c r="VNO40"/>
      <c r="VNP40"/>
      <c r="VNQ40"/>
      <c r="VNR40"/>
      <c r="VNS40"/>
      <c r="VNT40"/>
      <c r="VNU40"/>
      <c r="VNV40"/>
      <c r="VNW40"/>
      <c r="VNX40"/>
      <c r="VNY40"/>
      <c r="VNZ40"/>
      <c r="VOA40"/>
      <c r="VOB40"/>
      <c r="VOC40"/>
      <c r="VOD40"/>
      <c r="VOE40"/>
      <c r="VOF40"/>
      <c r="VOG40"/>
      <c r="VOH40"/>
      <c r="VOI40"/>
      <c r="VOJ40"/>
      <c r="VOK40"/>
      <c r="VOL40"/>
      <c r="VOM40"/>
      <c r="VON40"/>
      <c r="VOO40"/>
      <c r="VOP40"/>
      <c r="VOQ40"/>
      <c r="VOR40"/>
      <c r="VOS40"/>
      <c r="VOT40"/>
      <c r="VOU40"/>
      <c r="VOV40"/>
      <c r="VOW40"/>
      <c r="VOX40"/>
      <c r="VOY40"/>
      <c r="VOZ40"/>
      <c r="VPA40"/>
      <c r="VPB40"/>
      <c r="VPC40"/>
      <c r="VPD40"/>
      <c r="VPE40"/>
      <c r="VPF40"/>
      <c r="VPG40"/>
      <c r="VPH40"/>
      <c r="VPI40"/>
      <c r="VPJ40"/>
      <c r="VPK40"/>
      <c r="VPL40"/>
      <c r="VPM40"/>
      <c r="VPN40"/>
      <c r="VPO40"/>
      <c r="VPP40"/>
      <c r="VPQ40"/>
      <c r="VPR40"/>
      <c r="VPS40"/>
      <c r="VPT40"/>
      <c r="VPU40"/>
      <c r="VPV40"/>
      <c r="VPW40"/>
      <c r="VPX40"/>
      <c r="VPY40"/>
      <c r="VPZ40"/>
      <c r="VQA40"/>
      <c r="VQB40"/>
      <c r="VQC40"/>
      <c r="VQD40"/>
      <c r="VQE40"/>
      <c r="VQF40"/>
      <c r="VQG40"/>
      <c r="VQH40"/>
      <c r="VQI40"/>
      <c r="VQJ40"/>
      <c r="VQK40"/>
      <c r="VQL40"/>
      <c r="VQM40"/>
      <c r="VQN40"/>
      <c r="VQO40"/>
      <c r="VQP40"/>
      <c r="VQQ40"/>
      <c r="VQR40"/>
      <c r="VQS40"/>
      <c r="VQT40"/>
      <c r="VQU40"/>
      <c r="VQV40"/>
      <c r="VQW40"/>
      <c r="VQX40"/>
      <c r="VQY40"/>
      <c r="VQZ40"/>
      <c r="VRA40"/>
      <c r="VRB40"/>
      <c r="VRC40"/>
      <c r="VRD40"/>
      <c r="VRE40"/>
      <c r="VRF40"/>
      <c r="VRG40"/>
      <c r="VRH40"/>
      <c r="VRI40"/>
      <c r="VRJ40"/>
      <c r="VRK40"/>
      <c r="VRL40"/>
      <c r="VRM40"/>
      <c r="VRN40"/>
      <c r="VRO40"/>
      <c r="VRP40"/>
      <c r="VRQ40"/>
      <c r="VRR40"/>
      <c r="VRS40"/>
      <c r="VRT40"/>
      <c r="VRU40"/>
      <c r="VRV40"/>
      <c r="VRW40"/>
      <c r="VRX40"/>
      <c r="VRY40"/>
      <c r="VRZ40"/>
      <c r="VSA40"/>
      <c r="VSB40"/>
      <c r="VSC40"/>
      <c r="VSD40"/>
      <c r="VSE40"/>
      <c r="VSF40"/>
      <c r="VSG40"/>
      <c r="VSH40"/>
      <c r="VSI40"/>
      <c r="VSJ40"/>
      <c r="VSK40"/>
      <c r="VSL40"/>
      <c r="VSM40"/>
      <c r="VSN40"/>
      <c r="VSO40"/>
      <c r="VSP40"/>
      <c r="VSQ40"/>
      <c r="VSR40"/>
      <c r="VSS40"/>
      <c r="VST40"/>
      <c r="VSU40"/>
      <c r="VSV40"/>
      <c r="VSW40"/>
      <c r="VSX40"/>
      <c r="VSY40"/>
      <c r="VSZ40"/>
      <c r="VTA40"/>
      <c r="VTB40"/>
      <c r="VTC40"/>
      <c r="VTD40"/>
      <c r="VTE40"/>
      <c r="VTF40"/>
      <c r="VTG40"/>
      <c r="VTH40"/>
      <c r="VTI40"/>
      <c r="VTJ40"/>
      <c r="VTK40"/>
      <c r="VTL40"/>
      <c r="VTM40"/>
      <c r="VTN40"/>
      <c r="VTO40"/>
      <c r="VTP40"/>
      <c r="VTQ40"/>
      <c r="VTR40"/>
      <c r="VTS40"/>
      <c r="VTT40"/>
      <c r="VTU40"/>
      <c r="VTV40"/>
      <c r="VTW40"/>
      <c r="VTX40"/>
      <c r="VTY40"/>
      <c r="VTZ40"/>
      <c r="VUA40"/>
      <c r="VUB40"/>
      <c r="VUC40"/>
      <c r="VUD40"/>
      <c r="VUE40"/>
      <c r="VUF40"/>
      <c r="VUG40"/>
      <c r="VUH40"/>
      <c r="VUI40"/>
      <c r="VUJ40"/>
      <c r="VUK40"/>
      <c r="VUL40"/>
      <c r="VUM40"/>
      <c r="VUN40"/>
      <c r="VUO40"/>
      <c r="VUP40"/>
      <c r="VUQ40"/>
      <c r="VUR40"/>
      <c r="VUS40"/>
      <c r="VUT40"/>
      <c r="VUU40"/>
      <c r="VUV40"/>
      <c r="VUW40"/>
      <c r="VUX40"/>
      <c r="VUY40"/>
      <c r="VUZ40"/>
      <c r="VVA40"/>
      <c r="VVB40"/>
      <c r="VVC40"/>
      <c r="VVD40"/>
      <c r="VVE40"/>
      <c r="VVF40"/>
      <c r="VVG40"/>
      <c r="VVH40"/>
      <c r="VVI40"/>
      <c r="VVJ40"/>
      <c r="VVK40"/>
      <c r="VVL40"/>
      <c r="VVM40"/>
      <c r="VVN40"/>
      <c r="VVO40"/>
      <c r="VVP40"/>
      <c r="VVQ40"/>
      <c r="VVR40"/>
      <c r="VVS40"/>
      <c r="VVT40"/>
      <c r="VVU40"/>
      <c r="VVV40"/>
      <c r="VVW40"/>
      <c r="VVX40"/>
      <c r="VVY40"/>
      <c r="VVZ40"/>
      <c r="VWA40"/>
      <c r="VWB40"/>
      <c r="VWC40"/>
      <c r="VWD40"/>
      <c r="VWE40"/>
      <c r="VWF40"/>
      <c r="VWG40"/>
      <c r="VWH40"/>
      <c r="VWI40"/>
      <c r="VWJ40"/>
      <c r="VWK40"/>
      <c r="VWL40"/>
      <c r="VWM40"/>
      <c r="VWN40"/>
      <c r="VWO40"/>
      <c r="VWP40"/>
      <c r="VWQ40"/>
      <c r="VWR40"/>
      <c r="VWS40"/>
      <c r="VWT40"/>
      <c r="VWU40"/>
      <c r="VWV40"/>
      <c r="VWW40"/>
      <c r="VWX40"/>
      <c r="VWY40"/>
      <c r="VWZ40"/>
      <c r="VXA40"/>
      <c r="VXB40"/>
      <c r="VXC40"/>
      <c r="VXD40"/>
      <c r="VXE40"/>
      <c r="VXF40"/>
      <c r="VXG40"/>
      <c r="VXH40"/>
      <c r="VXI40"/>
      <c r="VXJ40"/>
      <c r="VXK40"/>
      <c r="VXL40"/>
      <c r="VXM40"/>
      <c r="VXN40"/>
      <c r="VXO40"/>
      <c r="VXP40"/>
      <c r="VXQ40"/>
      <c r="VXR40"/>
      <c r="VXS40"/>
      <c r="VXT40"/>
      <c r="VXU40"/>
      <c r="VXV40"/>
      <c r="VXW40"/>
      <c r="VXX40"/>
      <c r="VXY40"/>
      <c r="VXZ40"/>
      <c r="VYA40"/>
      <c r="VYB40"/>
      <c r="VYC40"/>
      <c r="VYD40"/>
      <c r="VYE40"/>
      <c r="VYF40"/>
      <c r="VYG40"/>
      <c r="VYH40"/>
      <c r="VYI40"/>
      <c r="VYJ40"/>
      <c r="VYK40"/>
      <c r="VYL40"/>
      <c r="VYM40"/>
      <c r="VYN40"/>
      <c r="VYO40"/>
      <c r="VYP40"/>
      <c r="VYQ40"/>
      <c r="VYR40"/>
      <c r="VYS40"/>
      <c r="VYT40"/>
      <c r="VYU40"/>
      <c r="VYV40"/>
      <c r="VYW40"/>
      <c r="VYX40"/>
      <c r="VYY40"/>
      <c r="VYZ40"/>
      <c r="VZA40"/>
      <c r="VZB40"/>
      <c r="VZC40"/>
      <c r="VZD40"/>
      <c r="VZE40"/>
      <c r="VZF40"/>
      <c r="VZG40"/>
      <c r="VZH40"/>
      <c r="VZI40"/>
      <c r="VZJ40"/>
      <c r="VZK40"/>
      <c r="VZL40"/>
      <c r="VZM40"/>
      <c r="VZN40"/>
      <c r="VZO40"/>
      <c r="VZP40"/>
      <c r="VZQ40"/>
      <c r="VZR40"/>
      <c r="VZS40"/>
      <c r="VZT40"/>
      <c r="VZU40"/>
      <c r="VZV40"/>
      <c r="VZW40"/>
      <c r="VZX40"/>
      <c r="VZY40"/>
      <c r="VZZ40"/>
      <c r="WAA40"/>
      <c r="WAB40"/>
      <c r="WAC40"/>
      <c r="WAD40"/>
      <c r="WAE40"/>
      <c r="WAF40"/>
      <c r="WAG40"/>
      <c r="WAH40"/>
      <c r="WAI40"/>
      <c r="WAJ40"/>
      <c r="WAK40"/>
      <c r="WAL40"/>
      <c r="WAM40"/>
      <c r="WAN40"/>
      <c r="WAO40"/>
      <c r="WAP40"/>
      <c r="WAQ40"/>
      <c r="WAR40"/>
      <c r="WAS40"/>
      <c r="WAT40"/>
      <c r="WAU40"/>
      <c r="WAV40"/>
      <c r="WAW40"/>
      <c r="WAX40"/>
      <c r="WAY40"/>
      <c r="WAZ40"/>
      <c r="WBA40"/>
      <c r="WBB40"/>
      <c r="WBC40"/>
      <c r="WBD40"/>
      <c r="WBE40"/>
      <c r="WBF40"/>
      <c r="WBG40"/>
      <c r="WBH40"/>
      <c r="WBI40"/>
      <c r="WBJ40"/>
      <c r="WBK40"/>
      <c r="WBL40"/>
      <c r="WBM40"/>
      <c r="WBN40"/>
      <c r="WBO40"/>
      <c r="WBP40"/>
      <c r="WBQ40"/>
      <c r="WBR40"/>
      <c r="WBS40"/>
      <c r="WBT40"/>
      <c r="WBU40"/>
      <c r="WBV40"/>
      <c r="WBW40"/>
      <c r="WBX40"/>
      <c r="WBY40"/>
      <c r="WBZ40"/>
      <c r="WCA40"/>
      <c r="WCB40"/>
      <c r="WCC40"/>
      <c r="WCD40"/>
      <c r="WCE40"/>
      <c r="WCF40"/>
      <c r="WCG40"/>
      <c r="WCH40"/>
      <c r="WCI40"/>
      <c r="WCJ40"/>
      <c r="WCK40"/>
      <c r="WCL40"/>
      <c r="WCM40"/>
      <c r="WCN40"/>
      <c r="WCO40"/>
      <c r="WCP40"/>
      <c r="WCQ40"/>
      <c r="WCR40"/>
      <c r="WCS40"/>
      <c r="WCT40"/>
      <c r="WCU40"/>
      <c r="WCV40"/>
      <c r="WCW40"/>
      <c r="WCX40"/>
      <c r="WCY40"/>
      <c r="WCZ40"/>
      <c r="WDA40"/>
      <c r="WDB40"/>
      <c r="WDC40"/>
      <c r="WDD40"/>
      <c r="WDE40"/>
      <c r="WDF40"/>
      <c r="WDG40"/>
      <c r="WDH40"/>
      <c r="WDI40"/>
      <c r="WDJ40"/>
      <c r="WDK40"/>
      <c r="WDL40"/>
      <c r="WDM40"/>
      <c r="WDN40"/>
      <c r="WDO40"/>
      <c r="WDP40"/>
      <c r="WDQ40"/>
      <c r="WDR40"/>
      <c r="WDS40"/>
      <c r="WDT40"/>
      <c r="WDU40"/>
      <c r="WDV40"/>
      <c r="WDW40"/>
      <c r="WDX40"/>
      <c r="WDY40"/>
      <c r="WDZ40"/>
      <c r="WEA40"/>
      <c r="WEB40"/>
      <c r="WEC40"/>
      <c r="WED40"/>
      <c r="WEE40"/>
      <c r="WEF40"/>
      <c r="WEG40"/>
      <c r="WEH40"/>
      <c r="WEI40"/>
      <c r="WEJ40"/>
      <c r="WEK40"/>
      <c r="WEL40"/>
      <c r="WEM40"/>
      <c r="WEN40"/>
      <c r="WEO40"/>
      <c r="WEP40"/>
      <c r="WEQ40"/>
      <c r="WER40"/>
      <c r="WES40"/>
      <c r="WET40"/>
      <c r="WEU40"/>
      <c r="WEV40"/>
      <c r="WEW40"/>
      <c r="WEX40"/>
      <c r="WEY40"/>
      <c r="WEZ40"/>
      <c r="WFA40"/>
      <c r="WFB40"/>
      <c r="WFC40"/>
      <c r="WFD40"/>
      <c r="WFE40"/>
      <c r="WFF40"/>
      <c r="WFG40"/>
      <c r="WFH40"/>
      <c r="WFI40"/>
      <c r="WFJ40"/>
      <c r="WFK40"/>
      <c r="WFL40"/>
      <c r="WFM40"/>
      <c r="WFN40"/>
      <c r="WFO40"/>
      <c r="WFP40"/>
      <c r="WFQ40"/>
      <c r="WFR40"/>
      <c r="WFS40"/>
      <c r="WFT40"/>
      <c r="WFU40"/>
      <c r="WFV40"/>
      <c r="WFW40"/>
      <c r="WFX40"/>
      <c r="WFY40"/>
      <c r="WFZ40"/>
      <c r="WGA40"/>
      <c r="WGB40"/>
      <c r="WGC40"/>
      <c r="WGD40"/>
      <c r="WGE40"/>
      <c r="WGF40"/>
      <c r="WGG40"/>
      <c r="WGH40"/>
      <c r="WGI40"/>
      <c r="WGJ40"/>
      <c r="WGK40"/>
      <c r="WGL40"/>
      <c r="WGM40"/>
      <c r="WGN40"/>
      <c r="WGO40"/>
      <c r="WGP40"/>
      <c r="WGQ40"/>
      <c r="WGR40"/>
      <c r="WGS40"/>
      <c r="WGT40"/>
      <c r="WGU40"/>
      <c r="WGV40"/>
      <c r="WGW40"/>
      <c r="WGX40"/>
      <c r="WGY40"/>
      <c r="WGZ40"/>
      <c r="WHA40"/>
      <c r="WHB40"/>
      <c r="WHC40"/>
      <c r="WHD40"/>
      <c r="WHE40"/>
      <c r="WHF40"/>
      <c r="WHG40"/>
      <c r="WHH40"/>
      <c r="WHI40"/>
      <c r="WHJ40"/>
      <c r="WHK40"/>
      <c r="WHL40"/>
      <c r="WHM40"/>
      <c r="WHN40"/>
      <c r="WHO40"/>
      <c r="WHP40"/>
      <c r="WHQ40"/>
      <c r="WHR40"/>
      <c r="WHS40"/>
      <c r="WHT40"/>
      <c r="WHU40"/>
      <c r="WHV40"/>
      <c r="WHW40"/>
      <c r="WHX40"/>
      <c r="WHY40"/>
      <c r="WHZ40"/>
      <c r="WIA40"/>
      <c r="WIB40"/>
      <c r="WIC40"/>
      <c r="WID40"/>
      <c r="WIE40"/>
      <c r="WIF40"/>
      <c r="WIG40"/>
      <c r="WIH40"/>
      <c r="WII40"/>
      <c r="WIJ40"/>
      <c r="WIK40"/>
      <c r="WIL40"/>
      <c r="WIM40"/>
      <c r="WIN40"/>
      <c r="WIO40"/>
      <c r="WIP40"/>
      <c r="WIQ40"/>
      <c r="WIR40"/>
      <c r="WIS40"/>
      <c r="WIT40"/>
      <c r="WIU40"/>
      <c r="WIV40"/>
      <c r="WIW40"/>
      <c r="WIX40"/>
      <c r="WIY40"/>
      <c r="WIZ40"/>
      <c r="WJA40"/>
      <c r="WJB40"/>
      <c r="WJC40"/>
      <c r="WJD40"/>
      <c r="WJE40"/>
      <c r="WJF40"/>
      <c r="WJG40"/>
      <c r="WJH40"/>
      <c r="WJI40"/>
      <c r="WJJ40"/>
      <c r="WJK40"/>
      <c r="WJL40"/>
      <c r="WJM40"/>
      <c r="WJN40"/>
      <c r="WJO40"/>
      <c r="WJP40"/>
      <c r="WJQ40"/>
      <c r="WJR40"/>
      <c r="WJS40"/>
      <c r="WJT40"/>
      <c r="WJU40"/>
      <c r="WJV40"/>
      <c r="WJW40"/>
      <c r="WJX40"/>
      <c r="WJY40"/>
      <c r="WJZ40"/>
      <c r="WKA40"/>
      <c r="WKB40"/>
      <c r="WKC40"/>
      <c r="WKD40"/>
      <c r="WKE40"/>
      <c r="WKF40"/>
      <c r="WKG40"/>
      <c r="WKH40"/>
      <c r="WKI40"/>
      <c r="WKJ40"/>
      <c r="WKK40"/>
      <c r="WKL40"/>
      <c r="WKM40"/>
      <c r="WKN40"/>
      <c r="WKO40"/>
      <c r="WKP40"/>
      <c r="WKQ40"/>
      <c r="WKR40"/>
      <c r="WKS40"/>
      <c r="WKT40"/>
      <c r="WKU40"/>
      <c r="WKV40"/>
      <c r="WKW40"/>
      <c r="WKX40"/>
      <c r="WKY40"/>
      <c r="WKZ40"/>
      <c r="WLA40"/>
      <c r="WLB40"/>
      <c r="WLC40"/>
      <c r="WLD40"/>
      <c r="WLE40"/>
      <c r="WLF40"/>
      <c r="WLG40"/>
      <c r="WLH40"/>
      <c r="WLI40"/>
      <c r="WLJ40"/>
      <c r="WLK40"/>
      <c r="WLL40"/>
      <c r="WLM40"/>
      <c r="WLN40"/>
      <c r="WLO40"/>
      <c r="WLP40"/>
      <c r="WLQ40"/>
      <c r="WLR40"/>
      <c r="WLS40"/>
      <c r="WLT40"/>
      <c r="WLU40"/>
      <c r="WLV40"/>
      <c r="WLW40"/>
      <c r="WLX40"/>
      <c r="WLY40"/>
      <c r="WLZ40"/>
      <c r="WMA40"/>
      <c r="WMB40"/>
      <c r="WMC40"/>
      <c r="WMD40"/>
      <c r="WME40"/>
      <c r="WMF40"/>
      <c r="WMG40"/>
      <c r="WMH40"/>
      <c r="WMI40"/>
      <c r="WMJ40"/>
      <c r="WMK40"/>
      <c r="WML40"/>
      <c r="WMM40"/>
      <c r="WMN40"/>
      <c r="WMO40"/>
      <c r="WMP40"/>
      <c r="WMQ40"/>
      <c r="WMR40"/>
      <c r="WMS40"/>
      <c r="WMT40"/>
      <c r="WMU40"/>
      <c r="WMV40"/>
      <c r="WMW40"/>
      <c r="WMX40"/>
      <c r="WMY40"/>
      <c r="WMZ40"/>
      <c r="WNA40"/>
      <c r="WNB40"/>
      <c r="WNC40"/>
      <c r="WND40"/>
      <c r="WNE40"/>
      <c r="WNF40"/>
      <c r="WNG40"/>
      <c r="WNH40"/>
      <c r="WNI40"/>
      <c r="WNJ40"/>
      <c r="WNK40"/>
      <c r="WNL40"/>
      <c r="WNM40"/>
      <c r="WNN40"/>
      <c r="WNO40"/>
      <c r="WNP40"/>
      <c r="WNQ40"/>
      <c r="WNR40"/>
      <c r="WNS40"/>
      <c r="WNT40"/>
      <c r="WNU40"/>
      <c r="WNV40"/>
      <c r="WNW40"/>
      <c r="WNX40"/>
      <c r="WNY40"/>
      <c r="WNZ40"/>
      <c r="WOA40"/>
      <c r="WOB40"/>
      <c r="WOC40"/>
      <c r="WOD40"/>
      <c r="WOE40"/>
      <c r="WOF40"/>
      <c r="WOG40"/>
      <c r="WOH40"/>
      <c r="WOI40"/>
      <c r="WOJ40"/>
      <c r="WOK40"/>
      <c r="WOL40"/>
      <c r="WOM40"/>
      <c r="WON40"/>
      <c r="WOO40"/>
      <c r="WOP40"/>
      <c r="WOQ40"/>
      <c r="WOR40"/>
      <c r="WOS40"/>
      <c r="WOT40"/>
      <c r="WOU40"/>
      <c r="WOV40"/>
      <c r="WOW40"/>
      <c r="WOX40"/>
      <c r="WOY40"/>
      <c r="WOZ40"/>
      <c r="WPA40"/>
      <c r="WPB40"/>
      <c r="WPC40"/>
      <c r="WPD40"/>
      <c r="WPE40"/>
      <c r="WPF40"/>
      <c r="WPG40"/>
      <c r="WPH40"/>
      <c r="WPI40"/>
      <c r="WPJ40"/>
      <c r="WPK40"/>
      <c r="WPL40"/>
      <c r="WPM40"/>
      <c r="WPN40"/>
      <c r="WPO40"/>
      <c r="WPP40"/>
      <c r="WPQ40"/>
      <c r="WPR40"/>
      <c r="WPS40"/>
      <c r="WPT40"/>
      <c r="WPU40"/>
      <c r="WPV40"/>
      <c r="WPW40"/>
      <c r="WPX40"/>
      <c r="WPY40"/>
      <c r="WPZ40"/>
      <c r="WQA40"/>
      <c r="WQB40"/>
      <c r="WQC40"/>
      <c r="WQD40"/>
      <c r="WQE40"/>
      <c r="WQF40"/>
      <c r="WQG40"/>
      <c r="WQH40"/>
      <c r="WQI40"/>
      <c r="WQJ40"/>
      <c r="WQK40"/>
      <c r="WQL40"/>
      <c r="WQM40"/>
      <c r="WQN40"/>
      <c r="WQO40"/>
      <c r="WQP40"/>
      <c r="WQQ40"/>
      <c r="WQR40"/>
      <c r="WQS40"/>
      <c r="WQT40"/>
      <c r="WQU40"/>
      <c r="WQV40"/>
      <c r="WQW40"/>
      <c r="WQX40"/>
      <c r="WQY40"/>
      <c r="WQZ40"/>
      <c r="WRA40"/>
      <c r="WRB40"/>
      <c r="WRC40"/>
      <c r="WRD40"/>
      <c r="WRE40"/>
      <c r="WRF40"/>
      <c r="WRG40"/>
      <c r="WRH40"/>
      <c r="WRI40"/>
      <c r="WRJ40"/>
      <c r="WRK40"/>
      <c r="WRL40"/>
      <c r="WRM40"/>
      <c r="WRN40"/>
      <c r="WRO40"/>
      <c r="WRP40"/>
      <c r="WRQ40"/>
      <c r="WRR40"/>
      <c r="WRS40"/>
      <c r="WRT40"/>
      <c r="WRU40"/>
      <c r="WRV40"/>
      <c r="WRW40"/>
      <c r="WRX40"/>
      <c r="WRY40"/>
      <c r="WRZ40"/>
      <c r="WSA40"/>
      <c r="WSB40"/>
      <c r="WSC40"/>
      <c r="WSD40"/>
      <c r="WSE40"/>
      <c r="WSF40"/>
      <c r="WSG40"/>
      <c r="WSH40"/>
      <c r="WSI40"/>
      <c r="WSJ40"/>
      <c r="WSK40"/>
      <c r="WSL40"/>
      <c r="WSM40"/>
      <c r="WSN40"/>
      <c r="WSO40"/>
      <c r="WSP40"/>
      <c r="WSQ40"/>
      <c r="WSR40"/>
      <c r="WSS40"/>
      <c r="WST40"/>
      <c r="WSU40"/>
      <c r="WSV40"/>
      <c r="WSW40"/>
      <c r="WSX40"/>
      <c r="WSY40"/>
      <c r="WSZ40"/>
      <c r="WTA40"/>
      <c r="WTB40"/>
      <c r="WTC40"/>
      <c r="WTD40"/>
      <c r="WTE40"/>
      <c r="WTF40"/>
      <c r="WTG40"/>
      <c r="WTH40"/>
      <c r="WTI40"/>
      <c r="WTJ40"/>
      <c r="WTK40"/>
      <c r="WTL40"/>
      <c r="WTM40"/>
      <c r="WTN40"/>
      <c r="WTO40"/>
      <c r="WTP40"/>
      <c r="WTQ40"/>
      <c r="WTR40"/>
      <c r="WTS40"/>
      <c r="WTT40"/>
      <c r="WTU40"/>
      <c r="WTV40"/>
      <c r="WTW40"/>
      <c r="WTX40"/>
      <c r="WTY40"/>
      <c r="WTZ40"/>
      <c r="WUA40"/>
      <c r="WUB40"/>
      <c r="WUC40"/>
      <c r="WUD40"/>
      <c r="WUE40"/>
      <c r="WUF40"/>
      <c r="WUG40"/>
      <c r="WUH40"/>
      <c r="WUI40"/>
      <c r="WUJ40"/>
      <c r="WUK40"/>
      <c r="WUL40"/>
      <c r="WUM40"/>
      <c r="WUN40"/>
      <c r="WUO40"/>
      <c r="WUP40"/>
      <c r="WUQ40"/>
      <c r="WUR40"/>
      <c r="WUS40"/>
      <c r="WUT40"/>
      <c r="WUU40"/>
      <c r="WUV40"/>
      <c r="WUW40"/>
      <c r="WUX40"/>
      <c r="WUY40"/>
      <c r="WUZ40"/>
      <c r="WVA40"/>
      <c r="WVB40"/>
      <c r="WVC40"/>
      <c r="WVD40"/>
      <c r="WVE40"/>
      <c r="WVF40"/>
      <c r="WVG40"/>
      <c r="WVH40"/>
      <c r="WVI40"/>
      <c r="WVJ40"/>
      <c r="WVK40"/>
      <c r="WVL40"/>
      <c r="WVM40"/>
      <c r="WVN40"/>
      <c r="WVO40"/>
      <c r="WVP40"/>
      <c r="WVQ40"/>
      <c r="WVR40"/>
      <c r="WVS40"/>
      <c r="WVT40"/>
      <c r="WVU40"/>
      <c r="WVV40"/>
      <c r="WVW40"/>
      <c r="WVX40"/>
      <c r="WVY40"/>
      <c r="WVZ40"/>
      <c r="WWA40"/>
      <c r="WWB40"/>
      <c r="WWC40"/>
      <c r="WWD40"/>
      <c r="WWE40"/>
      <c r="WWF40"/>
      <c r="WWG40"/>
      <c r="WWH40"/>
      <c r="WWI40"/>
      <c r="WWJ40"/>
      <c r="WWK40"/>
      <c r="WWL40"/>
      <c r="WWM40"/>
      <c r="WWN40"/>
      <c r="WWO40"/>
      <c r="WWP40"/>
      <c r="WWQ40"/>
      <c r="WWR40"/>
      <c r="WWS40"/>
      <c r="WWT40"/>
      <c r="WWU40"/>
      <c r="WWV40"/>
      <c r="WWW40"/>
      <c r="WWX40"/>
      <c r="WWY40"/>
      <c r="WWZ40"/>
      <c r="WXA40"/>
      <c r="WXB40"/>
      <c r="WXC40"/>
      <c r="WXD40"/>
      <c r="WXE40"/>
      <c r="WXF40"/>
      <c r="WXG40"/>
      <c r="WXH40"/>
      <c r="WXI40"/>
      <c r="WXJ40"/>
      <c r="WXK40"/>
      <c r="WXL40"/>
      <c r="WXM40"/>
      <c r="WXN40"/>
      <c r="WXO40"/>
      <c r="WXP40"/>
      <c r="WXQ40"/>
      <c r="WXR40"/>
      <c r="WXS40"/>
      <c r="WXT40"/>
      <c r="WXU40"/>
      <c r="WXV40"/>
      <c r="WXW40"/>
      <c r="WXX40"/>
      <c r="WXY40"/>
      <c r="WXZ40"/>
      <c r="WYA40"/>
      <c r="WYB40"/>
      <c r="WYC40"/>
      <c r="WYD40"/>
      <c r="WYE40"/>
      <c r="WYF40"/>
      <c r="WYG40"/>
      <c r="WYH40"/>
      <c r="WYI40"/>
      <c r="WYJ40"/>
      <c r="WYK40"/>
      <c r="WYL40"/>
      <c r="WYM40"/>
      <c r="WYN40"/>
      <c r="WYO40"/>
      <c r="WYP40"/>
      <c r="WYQ40"/>
      <c r="WYR40"/>
      <c r="WYS40"/>
      <c r="WYT40"/>
      <c r="WYU40"/>
      <c r="WYV40"/>
      <c r="WYW40"/>
      <c r="WYX40"/>
      <c r="WYY40"/>
      <c r="WYZ40"/>
      <c r="WZA40"/>
      <c r="WZB40"/>
      <c r="WZC40"/>
      <c r="WZD40"/>
      <c r="WZE40"/>
      <c r="WZF40"/>
      <c r="WZG40"/>
      <c r="WZH40"/>
      <c r="WZI40"/>
      <c r="WZJ40"/>
      <c r="WZK40"/>
      <c r="WZL40"/>
      <c r="WZM40"/>
      <c r="WZN40"/>
      <c r="WZO40"/>
      <c r="WZP40"/>
      <c r="WZQ40"/>
      <c r="WZR40"/>
      <c r="WZS40"/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/>
      <c r="XBT40"/>
      <c r="XBU40"/>
      <c r="XBV40"/>
      <c r="XBW40"/>
      <c r="XBX40"/>
      <c r="XBY40"/>
      <c r="XBZ40"/>
      <c r="XCA40"/>
      <c r="XCB40"/>
      <c r="XCC40"/>
      <c r="XCD40"/>
      <c r="XCE40"/>
      <c r="XCF40"/>
      <c r="XCG40"/>
      <c r="XCH40"/>
      <c r="XCI40"/>
      <c r="XCJ40"/>
      <c r="XCK40"/>
      <c r="XCL40"/>
      <c r="XCM40"/>
      <c r="XCN40"/>
      <c r="XCO40"/>
      <c r="XCP40"/>
      <c r="XCQ40"/>
      <c r="XCR40"/>
      <c r="XCS40"/>
      <c r="XCT40"/>
      <c r="XCU40"/>
      <c r="XCV40"/>
      <c r="XCW40"/>
      <c r="XCX40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</row>
    <row r="41" spans="1:16380" x14ac:dyDescent="0.35">
      <c r="A41" s="49" t="s">
        <v>77</v>
      </c>
      <c r="B41" s="25" t="s">
        <v>153</v>
      </c>
      <c r="C41" s="59" t="s">
        <v>200</v>
      </c>
      <c r="D41" s="33" t="s">
        <v>242</v>
      </c>
      <c r="E41" s="19">
        <v>30407112300519</v>
      </c>
      <c r="F41" s="14" t="s">
        <v>36</v>
      </c>
      <c r="G41" s="30">
        <v>4000</v>
      </c>
      <c r="H41" s="30">
        <v>3000</v>
      </c>
      <c r="I41" s="30">
        <v>0</v>
      </c>
      <c r="J41" s="53">
        <v>1</v>
      </c>
      <c r="K41" s="9">
        <f t="shared" si="1"/>
        <v>3000</v>
      </c>
      <c r="L41" s="9">
        <v>0</v>
      </c>
      <c r="M41" s="9">
        <f t="shared" si="2"/>
        <v>30</v>
      </c>
      <c r="N41" s="9">
        <f t="shared" si="23"/>
        <v>0</v>
      </c>
      <c r="O41" s="10">
        <f t="shared" si="4"/>
        <v>133.33333333333334</v>
      </c>
      <c r="P41" s="10">
        <f t="shared" si="5"/>
        <v>100</v>
      </c>
      <c r="Q41" s="10">
        <f t="shared" si="6"/>
        <v>233.33333333333334</v>
      </c>
      <c r="R41" s="10">
        <f t="shared" si="7"/>
        <v>16.666666666666668</v>
      </c>
      <c r="S41" s="9">
        <v>32</v>
      </c>
      <c r="T41" s="9">
        <f t="shared" si="8"/>
        <v>533.33333333333337</v>
      </c>
      <c r="U41" s="9">
        <v>0</v>
      </c>
      <c r="V41" s="15">
        <f t="shared" si="9"/>
        <v>7533.333333333333</v>
      </c>
      <c r="W41" s="52">
        <v>0</v>
      </c>
      <c r="X41" s="29">
        <f t="shared" si="10"/>
        <v>0</v>
      </c>
      <c r="Y41" s="43">
        <v>1</v>
      </c>
      <c r="Z41" s="29">
        <f t="shared" si="24"/>
        <v>133.33333333333334</v>
      </c>
      <c r="AA41" s="29">
        <v>0</v>
      </c>
      <c r="AB41" s="29">
        <f t="shared" si="12"/>
        <v>0</v>
      </c>
      <c r="AC41" s="11">
        <f t="shared" si="13"/>
        <v>133.33333333333334</v>
      </c>
      <c r="AD41" s="4">
        <f t="shared" si="0"/>
        <v>7400</v>
      </c>
      <c r="AE41" s="3">
        <f t="shared" si="14"/>
        <v>5384.6153846153848</v>
      </c>
      <c r="AF41" s="3">
        <f t="shared" si="15"/>
        <v>592.30769230769238</v>
      </c>
      <c r="AG41" s="1">
        <v>1666.6666666666667</v>
      </c>
      <c r="AH41" s="1">
        <f t="shared" si="16"/>
        <v>61692.307692307688</v>
      </c>
      <c r="AI41" s="1">
        <f t="shared" si="17"/>
        <v>208.6538461538461</v>
      </c>
      <c r="AJ41" s="3">
        <f t="shared" si="18"/>
        <v>3.7</v>
      </c>
      <c r="AK41" s="4">
        <f t="shared" si="19"/>
        <v>6595.3384615384621</v>
      </c>
      <c r="AL41" s="3">
        <v>0</v>
      </c>
      <c r="AM41" s="4">
        <f t="shared" si="20"/>
        <v>6595.3384615384621</v>
      </c>
      <c r="AN41" s="1">
        <f t="shared" si="25"/>
        <v>1009.6153846153846</v>
      </c>
      <c r="AO41" s="46"/>
      <c r="AP41" s="55">
        <f t="shared" si="22"/>
        <v>8409.6153846153848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</row>
    <row r="42" spans="1:16380" x14ac:dyDescent="0.35">
      <c r="A42" s="49" t="s">
        <v>78</v>
      </c>
      <c r="B42" s="25" t="s">
        <v>155</v>
      </c>
      <c r="C42" s="40" t="s">
        <v>33</v>
      </c>
      <c r="D42" s="33" t="s">
        <v>243</v>
      </c>
      <c r="E42" s="19">
        <v>29903210106242</v>
      </c>
      <c r="F42" s="14" t="s">
        <v>36</v>
      </c>
      <c r="G42" s="30">
        <v>4000</v>
      </c>
      <c r="H42" s="30">
        <v>3000</v>
      </c>
      <c r="I42" s="30">
        <v>850</v>
      </c>
      <c r="J42" s="53">
        <v>1</v>
      </c>
      <c r="K42" s="9">
        <f t="shared" si="1"/>
        <v>3000</v>
      </c>
      <c r="L42" s="9">
        <v>0</v>
      </c>
      <c r="M42" s="9">
        <f t="shared" si="2"/>
        <v>30</v>
      </c>
      <c r="N42" s="9">
        <f t="shared" si="23"/>
        <v>0</v>
      </c>
      <c r="O42" s="10">
        <f t="shared" si="4"/>
        <v>133.33333333333334</v>
      </c>
      <c r="P42" s="10">
        <f t="shared" si="5"/>
        <v>100</v>
      </c>
      <c r="Q42" s="10">
        <f t="shared" si="6"/>
        <v>233.33333333333334</v>
      </c>
      <c r="R42" s="10">
        <f t="shared" si="7"/>
        <v>16.666666666666668</v>
      </c>
      <c r="S42" s="9">
        <v>16</v>
      </c>
      <c r="T42" s="9">
        <f t="shared" si="8"/>
        <v>266.66666666666669</v>
      </c>
      <c r="U42" s="9">
        <v>0</v>
      </c>
      <c r="V42" s="15">
        <f t="shared" si="9"/>
        <v>8116.666666666667</v>
      </c>
      <c r="W42" s="52">
        <v>0</v>
      </c>
      <c r="X42" s="29">
        <f t="shared" si="10"/>
        <v>0</v>
      </c>
      <c r="Y42" s="43">
        <v>0</v>
      </c>
      <c r="Z42" s="29">
        <f t="shared" si="24"/>
        <v>0</v>
      </c>
      <c r="AA42" s="29">
        <v>0</v>
      </c>
      <c r="AB42" s="29">
        <f t="shared" si="12"/>
        <v>0</v>
      </c>
      <c r="AC42" s="11">
        <f t="shared" si="13"/>
        <v>0</v>
      </c>
      <c r="AD42" s="4">
        <f t="shared" si="0"/>
        <v>8116.666666666667</v>
      </c>
      <c r="AE42" s="3">
        <f t="shared" si="14"/>
        <v>5384.6153846153848</v>
      </c>
      <c r="AF42" s="3">
        <f t="shared" si="15"/>
        <v>592.30769230769238</v>
      </c>
      <c r="AG42" s="1">
        <v>1666.6666666666667</v>
      </c>
      <c r="AH42" s="1">
        <f t="shared" si="16"/>
        <v>70292.307692307688</v>
      </c>
      <c r="AI42" s="1">
        <f t="shared" si="17"/>
        <v>317.3717948717948</v>
      </c>
      <c r="AJ42" s="3">
        <f t="shared" si="18"/>
        <v>4.0583333333333336</v>
      </c>
      <c r="AK42" s="4">
        <f t="shared" si="19"/>
        <v>7202.9288461538463</v>
      </c>
      <c r="AL42" s="3">
        <v>0</v>
      </c>
      <c r="AM42" s="4">
        <f t="shared" si="20"/>
        <v>7202.9288461538463</v>
      </c>
      <c r="AN42" s="1">
        <f t="shared" si="25"/>
        <v>1009.6153846153846</v>
      </c>
      <c r="AO42" s="46"/>
      <c r="AP42" s="55">
        <f t="shared" si="22"/>
        <v>9126.2820512820508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  <c r="AST42"/>
      <c r="ASU42"/>
      <c r="ASV42"/>
      <c r="ASW42"/>
      <c r="ASX42"/>
      <c r="ASY42"/>
      <c r="ASZ42"/>
      <c r="ATA42"/>
      <c r="ATB42"/>
      <c r="ATC42"/>
      <c r="ATD42"/>
      <c r="ATE42"/>
      <c r="ATF42"/>
      <c r="ATG42"/>
      <c r="ATH42"/>
      <c r="ATI42"/>
      <c r="ATJ42"/>
      <c r="ATK42"/>
      <c r="ATL42"/>
      <c r="ATM42"/>
      <c r="ATN42"/>
      <c r="ATO42"/>
      <c r="ATP42"/>
      <c r="ATQ42"/>
      <c r="ATR42"/>
      <c r="ATS42"/>
      <c r="ATT42"/>
      <c r="ATU42"/>
      <c r="ATV42"/>
      <c r="ATW42"/>
      <c r="ATX42"/>
      <c r="ATY42"/>
      <c r="ATZ42"/>
      <c r="AUA42"/>
      <c r="AUB42"/>
      <c r="AUC42"/>
      <c r="AUD42"/>
      <c r="AUE42"/>
      <c r="AUF42"/>
      <c r="AUG42"/>
      <c r="AUH42"/>
      <c r="AUI42"/>
      <c r="AUJ42"/>
      <c r="AUK42"/>
      <c r="AUL42"/>
      <c r="AUM42"/>
      <c r="AUN42"/>
      <c r="AUO42"/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/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/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/>
      <c r="BEN42"/>
      <c r="BEO42"/>
      <c r="BEP42"/>
      <c r="BEQ42"/>
      <c r="BER42"/>
      <c r="BES42"/>
      <c r="BET42"/>
      <c r="BEU42"/>
      <c r="BEV42"/>
      <c r="BEW42"/>
      <c r="BEX42"/>
      <c r="BEY42"/>
      <c r="BEZ42"/>
      <c r="BFA42"/>
      <c r="BFB42"/>
      <c r="BFC42"/>
      <c r="BFD42"/>
      <c r="BFE42"/>
      <c r="BFF42"/>
      <c r="BFG42"/>
      <c r="BFH42"/>
      <c r="BFI42"/>
      <c r="BFJ42"/>
      <c r="BFK42"/>
      <c r="BFL42"/>
      <c r="BFM42"/>
      <c r="BFN42"/>
      <c r="BFO42"/>
      <c r="BFP42"/>
      <c r="BFQ42"/>
      <c r="BFR42"/>
      <c r="BFS42"/>
      <c r="BFT42"/>
      <c r="BFU42"/>
      <c r="BFV42"/>
      <c r="BFW42"/>
      <c r="BFX42"/>
      <c r="BFY42"/>
      <c r="BFZ42"/>
      <c r="BGA42"/>
      <c r="BGB42"/>
      <c r="BGC42"/>
      <c r="BGD42"/>
      <c r="BGE42"/>
      <c r="BGF42"/>
      <c r="BGG42"/>
      <c r="BGH42"/>
      <c r="BGI42"/>
      <c r="BGJ42"/>
      <c r="BGK42"/>
      <c r="BGL42"/>
      <c r="BGM42"/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/>
      <c r="BHB42"/>
      <c r="BHC42"/>
      <c r="BHD42"/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/>
      <c r="BHT42"/>
      <c r="BHU42"/>
      <c r="BHV42"/>
      <c r="BHW42"/>
      <c r="BHX42"/>
      <c r="BHY42"/>
      <c r="BHZ42"/>
      <c r="BIA42"/>
      <c r="BIB42"/>
      <c r="BIC42"/>
      <c r="BID42"/>
      <c r="BIE42"/>
      <c r="BIF42"/>
      <c r="BIG42"/>
      <c r="BIH42"/>
      <c r="BII42"/>
      <c r="BIJ42"/>
      <c r="BIK42"/>
      <c r="BIL42"/>
      <c r="BIM42"/>
      <c r="BIN42"/>
      <c r="BIO42"/>
      <c r="BIP42"/>
      <c r="BIQ42"/>
      <c r="BIR42"/>
      <c r="BIS42"/>
      <c r="BIT42"/>
      <c r="BIU42"/>
      <c r="BIV42"/>
      <c r="BIW42"/>
      <c r="BIX42"/>
      <c r="BIY42"/>
      <c r="BIZ42"/>
      <c r="BJA42"/>
      <c r="BJB42"/>
      <c r="BJC42"/>
      <c r="BJD42"/>
      <c r="BJE42"/>
      <c r="BJF42"/>
      <c r="BJG42"/>
      <c r="BJH42"/>
      <c r="BJI42"/>
      <c r="BJJ42"/>
      <c r="BJK42"/>
      <c r="BJL42"/>
      <c r="BJM42"/>
      <c r="BJN42"/>
      <c r="BJO42"/>
      <c r="BJP42"/>
      <c r="BJQ42"/>
      <c r="BJR42"/>
      <c r="BJS42"/>
      <c r="BJT42"/>
      <c r="BJU42"/>
      <c r="BJV42"/>
      <c r="BJW42"/>
      <c r="BJX42"/>
      <c r="BJY42"/>
      <c r="BJZ42"/>
      <c r="BKA42"/>
      <c r="BKB42"/>
      <c r="BKC42"/>
      <c r="BKD42"/>
      <c r="BKE42"/>
      <c r="BKF42"/>
      <c r="BKG42"/>
      <c r="BKH42"/>
      <c r="BKI42"/>
      <c r="BKJ42"/>
      <c r="BKK42"/>
      <c r="BKL42"/>
      <c r="BKM42"/>
      <c r="BKN42"/>
      <c r="BKO42"/>
      <c r="BKP42"/>
      <c r="BKQ42"/>
      <c r="BKR42"/>
      <c r="BKS42"/>
      <c r="BKT42"/>
      <c r="BKU42"/>
      <c r="BKV42"/>
      <c r="BKW42"/>
      <c r="BKX42"/>
      <c r="BKY42"/>
      <c r="BKZ42"/>
      <c r="BLA42"/>
      <c r="BLB42"/>
      <c r="BLC42"/>
      <c r="BLD42"/>
      <c r="BLE42"/>
      <c r="BLF42"/>
      <c r="BLG42"/>
      <c r="BLH42"/>
      <c r="BLI42"/>
      <c r="BLJ42"/>
      <c r="BLK42"/>
      <c r="BLL42"/>
      <c r="BLM42"/>
      <c r="BLN42"/>
      <c r="BLO42"/>
      <c r="BLP42"/>
      <c r="BLQ42"/>
      <c r="BLR42"/>
      <c r="BLS42"/>
      <c r="BLT42"/>
      <c r="BLU42"/>
      <c r="BLV42"/>
      <c r="BLW42"/>
      <c r="BLX42"/>
      <c r="BLY42"/>
      <c r="BLZ42"/>
      <c r="BMA42"/>
      <c r="BMB42"/>
      <c r="BMC42"/>
      <c r="BMD42"/>
      <c r="BME42"/>
      <c r="BMF42"/>
      <c r="BMG42"/>
      <c r="BMH42"/>
      <c r="BMI42"/>
      <c r="BMJ42"/>
      <c r="BMK42"/>
      <c r="BML42"/>
      <c r="BMM42"/>
      <c r="BMN42"/>
      <c r="BMO42"/>
      <c r="BMP42"/>
      <c r="BMQ42"/>
      <c r="BMR42"/>
      <c r="BMS42"/>
      <c r="BMT42"/>
      <c r="BMU42"/>
      <c r="BMV42"/>
      <c r="BMW42"/>
      <c r="BMX42"/>
      <c r="BMY42"/>
      <c r="BMZ42"/>
      <c r="BNA42"/>
      <c r="BNB42"/>
      <c r="BNC42"/>
      <c r="BND42"/>
      <c r="BNE42"/>
      <c r="BNF42"/>
      <c r="BNG42"/>
      <c r="BNH42"/>
      <c r="BNI42"/>
      <c r="BNJ42"/>
      <c r="BNK42"/>
      <c r="BNL42"/>
      <c r="BNM42"/>
      <c r="BNN42"/>
      <c r="BNO42"/>
      <c r="BNP42"/>
      <c r="BNQ42"/>
      <c r="BNR42"/>
      <c r="BNS42"/>
      <c r="BNT42"/>
      <c r="BNU42"/>
      <c r="BNV42"/>
      <c r="BNW42"/>
      <c r="BNX42"/>
      <c r="BNY42"/>
      <c r="BNZ42"/>
      <c r="BOA42"/>
      <c r="BOB42"/>
      <c r="BOC42"/>
      <c r="BOD42"/>
      <c r="BOE42"/>
      <c r="BOF42"/>
      <c r="BOG42"/>
      <c r="BOH42"/>
      <c r="BOI42"/>
      <c r="BOJ42"/>
      <c r="BOK42"/>
      <c r="BOL42"/>
      <c r="BOM42"/>
      <c r="BON42"/>
      <c r="BOO42"/>
      <c r="BOP42"/>
      <c r="BOQ42"/>
      <c r="BOR42"/>
      <c r="BOS42"/>
      <c r="BOT42"/>
      <c r="BOU42"/>
      <c r="BOV42"/>
      <c r="BOW42"/>
      <c r="BOX42"/>
      <c r="BOY42"/>
      <c r="BOZ42"/>
      <c r="BPA42"/>
      <c r="BPB42"/>
      <c r="BPC42"/>
      <c r="BPD42"/>
      <c r="BPE42"/>
      <c r="BPF42"/>
      <c r="BPG42"/>
      <c r="BPH42"/>
      <c r="BPI42"/>
      <c r="BPJ42"/>
      <c r="BPK42"/>
      <c r="BPL42"/>
      <c r="BPM42"/>
      <c r="BPN42"/>
      <c r="BPO42"/>
      <c r="BPP42"/>
      <c r="BPQ42"/>
      <c r="BPR42"/>
      <c r="BPS42"/>
      <c r="BPT42"/>
      <c r="BPU42"/>
      <c r="BPV42"/>
      <c r="BPW42"/>
      <c r="BPX42"/>
      <c r="BPY42"/>
      <c r="BPZ42"/>
      <c r="BQA42"/>
      <c r="BQB42"/>
      <c r="BQC42"/>
      <c r="BQD42"/>
      <c r="BQE42"/>
      <c r="BQF42"/>
      <c r="BQG42"/>
      <c r="BQH42"/>
      <c r="BQI42"/>
      <c r="BQJ42"/>
      <c r="BQK42"/>
      <c r="BQL42"/>
      <c r="BQM42"/>
      <c r="BQN42"/>
      <c r="BQO42"/>
      <c r="BQP42"/>
      <c r="BQQ42"/>
      <c r="BQR42"/>
      <c r="BQS42"/>
      <c r="BQT42"/>
      <c r="BQU42"/>
      <c r="BQV42"/>
      <c r="BQW42"/>
      <c r="BQX42"/>
      <c r="BQY42"/>
      <c r="BQZ42"/>
      <c r="BRA42"/>
      <c r="BRB42"/>
      <c r="BRC42"/>
      <c r="BRD42"/>
      <c r="BRE42"/>
      <c r="BRF42"/>
      <c r="BRG42"/>
      <c r="BRH42"/>
      <c r="BRI42"/>
      <c r="BRJ42"/>
      <c r="BRK42"/>
      <c r="BRL42"/>
      <c r="BRM42"/>
      <c r="BRN42"/>
      <c r="BRO42"/>
      <c r="BRP42"/>
      <c r="BRQ42"/>
      <c r="BRR42"/>
      <c r="BRS42"/>
      <c r="BRT42"/>
      <c r="BRU42"/>
      <c r="BRV42"/>
      <c r="BRW42"/>
      <c r="BRX42"/>
      <c r="BRY42"/>
      <c r="BRZ42"/>
      <c r="BSA42"/>
      <c r="BSB42"/>
      <c r="BSC42"/>
      <c r="BSD42"/>
      <c r="BSE42"/>
      <c r="BSF42"/>
      <c r="BSG42"/>
      <c r="BSH42"/>
      <c r="BSI42"/>
      <c r="BSJ42"/>
      <c r="BSK42"/>
      <c r="BSL42"/>
      <c r="BSM42"/>
      <c r="BSN42"/>
      <c r="BSO42"/>
      <c r="BSP42"/>
      <c r="BSQ42"/>
      <c r="BSR42"/>
      <c r="BSS42"/>
      <c r="BST42"/>
      <c r="BSU42"/>
      <c r="BSV42"/>
      <c r="BSW42"/>
      <c r="BSX42"/>
      <c r="BSY42"/>
      <c r="BSZ42"/>
      <c r="BTA42"/>
      <c r="BTB42"/>
      <c r="BTC42"/>
      <c r="BTD42"/>
      <c r="BTE42"/>
      <c r="BTF42"/>
      <c r="BTG42"/>
      <c r="BTH42"/>
      <c r="BTI42"/>
      <c r="BTJ42"/>
      <c r="BTK42"/>
      <c r="BTL42"/>
      <c r="BTM42"/>
      <c r="BTN42"/>
      <c r="BTO42"/>
      <c r="BTP42"/>
      <c r="BTQ42"/>
      <c r="BTR42"/>
      <c r="BTS42"/>
      <c r="BTT42"/>
      <c r="BTU42"/>
      <c r="BTV42"/>
      <c r="BTW42"/>
      <c r="BTX42"/>
      <c r="BTY42"/>
      <c r="BTZ42"/>
      <c r="BUA42"/>
      <c r="BUB42"/>
      <c r="BUC42"/>
      <c r="BUD42"/>
      <c r="BUE42"/>
      <c r="BUF42"/>
      <c r="BUG42"/>
      <c r="BUH42"/>
      <c r="BUI42"/>
      <c r="BUJ42"/>
      <c r="BUK42"/>
      <c r="BUL42"/>
      <c r="BUM42"/>
      <c r="BUN42"/>
      <c r="BUO42"/>
      <c r="BUP42"/>
      <c r="BUQ42"/>
      <c r="BUR42"/>
      <c r="BUS42"/>
      <c r="BUT42"/>
      <c r="BUU42"/>
      <c r="BUV42"/>
      <c r="BUW42"/>
      <c r="BUX42"/>
      <c r="BUY42"/>
      <c r="BUZ42"/>
      <c r="BVA42"/>
      <c r="BVB42"/>
      <c r="BVC42"/>
      <c r="BVD42"/>
      <c r="BVE42"/>
      <c r="BVF42"/>
      <c r="BVG42"/>
      <c r="BVH42"/>
      <c r="BVI42"/>
      <c r="BVJ42"/>
      <c r="BVK42"/>
      <c r="BVL42"/>
      <c r="BVM42"/>
      <c r="BVN42"/>
      <c r="BVO42"/>
      <c r="BVP42"/>
      <c r="BVQ42"/>
      <c r="BVR42"/>
      <c r="BVS42"/>
      <c r="BVT42"/>
      <c r="BVU42"/>
      <c r="BVV42"/>
      <c r="BVW42"/>
      <c r="BVX42"/>
      <c r="BVY42"/>
      <c r="BVZ42"/>
      <c r="BWA42"/>
      <c r="BWB42"/>
      <c r="BWC42"/>
      <c r="BWD42"/>
      <c r="BWE42"/>
      <c r="BWF42"/>
      <c r="BWG42"/>
      <c r="BWH42"/>
      <c r="BWI42"/>
      <c r="BWJ42"/>
      <c r="BWK42"/>
      <c r="BWL42"/>
      <c r="BWM42"/>
      <c r="BWN42"/>
      <c r="BWO42"/>
      <c r="BWP42"/>
      <c r="BWQ42"/>
      <c r="BWR42"/>
      <c r="BWS42"/>
      <c r="BWT42"/>
      <c r="BWU42"/>
      <c r="BWV42"/>
      <c r="BWW42"/>
      <c r="BWX42"/>
      <c r="BWY42"/>
      <c r="BWZ42"/>
      <c r="BXA42"/>
      <c r="BXB42"/>
      <c r="BXC42"/>
      <c r="BXD42"/>
      <c r="BXE42"/>
      <c r="BXF42"/>
      <c r="BXG42"/>
      <c r="BXH42"/>
      <c r="BXI42"/>
      <c r="BXJ42"/>
      <c r="BXK42"/>
      <c r="BXL42"/>
      <c r="BXM42"/>
      <c r="BXN42"/>
      <c r="BXO42"/>
      <c r="BXP42"/>
      <c r="BXQ42"/>
      <c r="BXR42"/>
      <c r="BXS42"/>
      <c r="BXT42"/>
      <c r="BXU42"/>
      <c r="BXV42"/>
      <c r="BXW42"/>
      <c r="BXX42"/>
      <c r="BXY42"/>
      <c r="BXZ42"/>
      <c r="BYA42"/>
      <c r="BYB42"/>
      <c r="BYC42"/>
      <c r="BYD42"/>
      <c r="BYE42"/>
      <c r="BYF42"/>
      <c r="BYG42"/>
      <c r="BYH42"/>
      <c r="BYI42"/>
      <c r="BYJ42"/>
      <c r="BYK42"/>
      <c r="BYL42"/>
      <c r="BYM42"/>
      <c r="BYN42"/>
      <c r="BYO42"/>
      <c r="BYP42"/>
      <c r="BYQ42"/>
      <c r="BYR42"/>
      <c r="BYS42"/>
      <c r="BYT42"/>
      <c r="BYU42"/>
      <c r="BYV42"/>
      <c r="BYW42"/>
      <c r="BYX42"/>
      <c r="BYY42"/>
      <c r="BYZ42"/>
      <c r="BZA42"/>
      <c r="BZB42"/>
      <c r="BZC42"/>
      <c r="BZD42"/>
      <c r="BZE42"/>
      <c r="BZF42"/>
      <c r="BZG42"/>
      <c r="BZH42"/>
      <c r="BZI42"/>
      <c r="BZJ42"/>
      <c r="BZK42"/>
      <c r="BZL42"/>
      <c r="BZM42"/>
      <c r="BZN42"/>
      <c r="BZO42"/>
      <c r="BZP42"/>
      <c r="BZQ42"/>
      <c r="BZR42"/>
      <c r="BZS42"/>
      <c r="BZT42"/>
      <c r="BZU42"/>
      <c r="BZV42"/>
      <c r="BZW42"/>
      <c r="BZX42"/>
      <c r="BZY42"/>
      <c r="BZZ42"/>
      <c r="CAA42"/>
      <c r="CAB42"/>
      <c r="CAC42"/>
      <c r="CAD42"/>
      <c r="CAE42"/>
      <c r="CAF42"/>
      <c r="CAG42"/>
      <c r="CAH42"/>
      <c r="CAI42"/>
      <c r="CAJ42"/>
      <c r="CAK42"/>
      <c r="CAL42"/>
      <c r="CAM42"/>
      <c r="CAN42"/>
      <c r="CAO42"/>
      <c r="CAP42"/>
      <c r="CAQ42"/>
      <c r="CAR42"/>
      <c r="CAS42"/>
      <c r="CAT42"/>
      <c r="CAU42"/>
      <c r="CAV42"/>
      <c r="CAW42"/>
      <c r="CAX42"/>
      <c r="CAY42"/>
      <c r="CAZ42"/>
      <c r="CBA42"/>
      <c r="CBB42"/>
      <c r="CBC42"/>
      <c r="CBD42"/>
      <c r="CBE42"/>
      <c r="CBF42"/>
      <c r="CBG42"/>
      <c r="CBH42"/>
      <c r="CBI42"/>
      <c r="CBJ42"/>
      <c r="CBK42"/>
      <c r="CBL42"/>
      <c r="CBM42"/>
      <c r="CBN42"/>
      <c r="CBO42"/>
      <c r="CBP42"/>
      <c r="CBQ42"/>
      <c r="CBR42"/>
      <c r="CBS42"/>
      <c r="CBT42"/>
      <c r="CBU42"/>
      <c r="CBV42"/>
      <c r="CBW42"/>
      <c r="CBX42"/>
      <c r="CBY42"/>
      <c r="CBZ42"/>
      <c r="CCA42"/>
      <c r="CCB42"/>
      <c r="CCC42"/>
      <c r="CCD42"/>
      <c r="CCE42"/>
      <c r="CCF42"/>
      <c r="CCG42"/>
      <c r="CCH42"/>
      <c r="CCI42"/>
      <c r="CCJ42"/>
      <c r="CCK42"/>
      <c r="CCL42"/>
      <c r="CCM42"/>
      <c r="CCN42"/>
      <c r="CCO42"/>
      <c r="CCP42"/>
      <c r="CCQ42"/>
      <c r="CCR42"/>
      <c r="CCS42"/>
      <c r="CCT42"/>
      <c r="CCU42"/>
      <c r="CCV42"/>
      <c r="CCW42"/>
      <c r="CCX42"/>
      <c r="CCY42"/>
      <c r="CCZ42"/>
      <c r="CDA42"/>
      <c r="CDB42"/>
      <c r="CDC42"/>
      <c r="CDD42"/>
      <c r="CDE42"/>
      <c r="CDF42"/>
      <c r="CDG42"/>
      <c r="CDH42"/>
      <c r="CDI42"/>
      <c r="CDJ42"/>
      <c r="CDK42"/>
      <c r="CDL42"/>
      <c r="CDM42"/>
      <c r="CDN42"/>
      <c r="CDO42"/>
      <c r="CDP42"/>
      <c r="CDQ42"/>
      <c r="CDR42"/>
      <c r="CDS42"/>
      <c r="CDT42"/>
      <c r="CDU42"/>
      <c r="CDV42"/>
      <c r="CDW42"/>
      <c r="CDX42"/>
      <c r="CDY42"/>
      <c r="CDZ42"/>
      <c r="CEA42"/>
      <c r="CEB42"/>
      <c r="CEC42"/>
      <c r="CED42"/>
      <c r="CEE42"/>
      <c r="CEF42"/>
      <c r="CEG42"/>
      <c r="CEH42"/>
      <c r="CEI42"/>
      <c r="CEJ42"/>
      <c r="CEK42"/>
      <c r="CEL42"/>
      <c r="CEM42"/>
      <c r="CEN42"/>
      <c r="CEO42"/>
      <c r="CEP42"/>
      <c r="CEQ42"/>
      <c r="CER42"/>
      <c r="CES42"/>
      <c r="CET42"/>
      <c r="CEU42"/>
      <c r="CEV42"/>
      <c r="CEW42"/>
      <c r="CEX42"/>
      <c r="CEY42"/>
      <c r="CEZ42"/>
      <c r="CFA42"/>
      <c r="CFB42"/>
      <c r="CFC42"/>
      <c r="CFD42"/>
      <c r="CFE42"/>
      <c r="CFF42"/>
      <c r="CFG42"/>
      <c r="CFH42"/>
      <c r="CFI42"/>
      <c r="CFJ42"/>
      <c r="CFK42"/>
      <c r="CFL42"/>
      <c r="CFM42"/>
      <c r="CFN42"/>
      <c r="CFO42"/>
      <c r="CFP42"/>
      <c r="CFQ42"/>
      <c r="CFR42"/>
      <c r="CFS42"/>
      <c r="CFT42"/>
      <c r="CFU42"/>
      <c r="CFV42"/>
      <c r="CFW42"/>
      <c r="CFX42"/>
      <c r="CFY42"/>
      <c r="CFZ42"/>
      <c r="CGA42"/>
      <c r="CGB42"/>
      <c r="CGC42"/>
      <c r="CGD42"/>
      <c r="CGE42"/>
      <c r="CGF42"/>
      <c r="CGG42"/>
      <c r="CGH42"/>
      <c r="CGI42"/>
      <c r="CGJ42"/>
      <c r="CGK42"/>
      <c r="CGL42"/>
      <c r="CGM42"/>
      <c r="CGN42"/>
      <c r="CGO42"/>
      <c r="CGP42"/>
      <c r="CGQ42"/>
      <c r="CGR42"/>
      <c r="CGS42"/>
      <c r="CGT42"/>
      <c r="CGU42"/>
      <c r="CGV42"/>
      <c r="CGW42"/>
      <c r="CGX42"/>
      <c r="CGY42"/>
      <c r="CGZ42"/>
      <c r="CHA42"/>
      <c r="CHB42"/>
      <c r="CHC42"/>
      <c r="CHD42"/>
      <c r="CHE42"/>
      <c r="CHF42"/>
      <c r="CHG42"/>
      <c r="CHH42"/>
      <c r="CHI42"/>
      <c r="CHJ42"/>
      <c r="CHK42"/>
      <c r="CHL42"/>
      <c r="CHM42"/>
      <c r="CHN42"/>
      <c r="CHO42"/>
      <c r="CHP42"/>
      <c r="CHQ42"/>
      <c r="CHR42"/>
      <c r="CHS42"/>
      <c r="CHT42"/>
      <c r="CHU42"/>
      <c r="CHV42"/>
      <c r="CHW42"/>
      <c r="CHX42"/>
      <c r="CHY42"/>
      <c r="CHZ42"/>
      <c r="CIA42"/>
      <c r="CIB42"/>
      <c r="CIC42"/>
      <c r="CID42"/>
      <c r="CIE42"/>
      <c r="CIF42"/>
      <c r="CIG42"/>
      <c r="CIH42"/>
      <c r="CII42"/>
      <c r="CIJ42"/>
      <c r="CIK42"/>
      <c r="CIL42"/>
      <c r="CIM42"/>
      <c r="CIN42"/>
      <c r="CIO42"/>
      <c r="CIP42"/>
      <c r="CIQ42"/>
      <c r="CIR42"/>
      <c r="CIS42"/>
      <c r="CIT42"/>
      <c r="CIU42"/>
      <c r="CIV42"/>
      <c r="CIW42"/>
      <c r="CIX42"/>
      <c r="CIY42"/>
      <c r="CIZ42"/>
      <c r="CJA42"/>
      <c r="CJB42"/>
      <c r="CJC42"/>
      <c r="CJD42"/>
      <c r="CJE42"/>
      <c r="CJF42"/>
      <c r="CJG42"/>
      <c r="CJH42"/>
      <c r="CJI42"/>
      <c r="CJJ42"/>
      <c r="CJK42"/>
      <c r="CJL42"/>
      <c r="CJM42"/>
      <c r="CJN42"/>
      <c r="CJO42"/>
      <c r="CJP42"/>
      <c r="CJQ42"/>
      <c r="CJR42"/>
      <c r="CJS42"/>
      <c r="CJT42"/>
      <c r="CJU42"/>
      <c r="CJV42"/>
      <c r="CJW42"/>
      <c r="CJX42"/>
      <c r="CJY42"/>
      <c r="CJZ42"/>
      <c r="CKA42"/>
      <c r="CKB42"/>
      <c r="CKC42"/>
      <c r="CKD42"/>
      <c r="CKE42"/>
      <c r="CKF42"/>
      <c r="CKG42"/>
      <c r="CKH42"/>
      <c r="CKI42"/>
      <c r="CKJ42"/>
      <c r="CKK42"/>
      <c r="CKL42"/>
      <c r="CKM42"/>
      <c r="CKN42"/>
      <c r="CKO42"/>
      <c r="CKP42"/>
      <c r="CKQ42"/>
      <c r="CKR42"/>
      <c r="CKS42"/>
      <c r="CKT42"/>
      <c r="CKU42"/>
      <c r="CKV42"/>
      <c r="CKW42"/>
      <c r="CKX42"/>
      <c r="CKY42"/>
      <c r="CKZ42"/>
      <c r="CLA42"/>
      <c r="CLB42"/>
      <c r="CLC42"/>
      <c r="CLD42"/>
      <c r="CLE42"/>
      <c r="CLF42"/>
      <c r="CLG42"/>
      <c r="CLH42"/>
      <c r="CLI42"/>
      <c r="CLJ42"/>
      <c r="CLK42"/>
      <c r="CLL42"/>
      <c r="CLM42"/>
      <c r="CLN42"/>
      <c r="CLO42"/>
      <c r="CLP42"/>
      <c r="CLQ42"/>
      <c r="CLR42"/>
      <c r="CLS42"/>
      <c r="CLT42"/>
      <c r="CLU42"/>
      <c r="CLV42"/>
      <c r="CLW42"/>
      <c r="CLX42"/>
      <c r="CLY42"/>
      <c r="CLZ42"/>
      <c r="CMA42"/>
      <c r="CMB42"/>
      <c r="CMC42"/>
      <c r="CMD42"/>
      <c r="CME42"/>
      <c r="CMF42"/>
      <c r="CMG42"/>
      <c r="CMH42"/>
      <c r="CMI42"/>
      <c r="CMJ42"/>
      <c r="CMK42"/>
      <c r="CML42"/>
      <c r="CMM42"/>
      <c r="CMN42"/>
      <c r="CMO42"/>
      <c r="CMP42"/>
      <c r="CMQ42"/>
      <c r="CMR42"/>
      <c r="CMS42"/>
      <c r="CMT42"/>
      <c r="CMU42"/>
      <c r="CMV42"/>
      <c r="CMW42"/>
      <c r="CMX42"/>
      <c r="CMY42"/>
      <c r="CMZ42"/>
      <c r="CNA42"/>
      <c r="CNB42"/>
      <c r="CNC42"/>
      <c r="CND42"/>
      <c r="CNE42"/>
      <c r="CNF42"/>
      <c r="CNG42"/>
      <c r="CNH42"/>
      <c r="CNI42"/>
      <c r="CNJ42"/>
      <c r="CNK42"/>
      <c r="CNL42"/>
      <c r="CNM42"/>
      <c r="CNN42"/>
      <c r="CNO42"/>
      <c r="CNP42"/>
      <c r="CNQ42"/>
      <c r="CNR42"/>
      <c r="CNS42"/>
      <c r="CNT42"/>
      <c r="CNU42"/>
      <c r="CNV42"/>
      <c r="CNW42"/>
      <c r="CNX42"/>
      <c r="CNY42"/>
      <c r="CNZ42"/>
      <c r="COA42"/>
      <c r="COB42"/>
      <c r="COC42"/>
      <c r="COD42"/>
      <c r="COE42"/>
      <c r="COF42"/>
      <c r="COG42"/>
      <c r="COH42"/>
      <c r="COI42"/>
      <c r="COJ42"/>
      <c r="COK42"/>
      <c r="COL42"/>
      <c r="COM42"/>
      <c r="CON42"/>
      <c r="COO42"/>
      <c r="COP42"/>
      <c r="COQ42"/>
      <c r="COR42"/>
      <c r="COS42"/>
      <c r="COT42"/>
      <c r="COU42"/>
      <c r="COV42"/>
      <c r="COW42"/>
      <c r="COX42"/>
      <c r="COY42"/>
      <c r="COZ42"/>
      <c r="CPA42"/>
      <c r="CPB42"/>
      <c r="CPC42"/>
      <c r="CPD42"/>
      <c r="CPE42"/>
      <c r="CPF42"/>
      <c r="CPG42"/>
      <c r="CPH42"/>
      <c r="CPI42"/>
      <c r="CPJ42"/>
      <c r="CPK42"/>
      <c r="CPL42"/>
      <c r="CPM42"/>
      <c r="CPN42"/>
      <c r="CPO42"/>
      <c r="CPP42"/>
      <c r="CPQ42"/>
      <c r="CPR42"/>
      <c r="CPS42"/>
      <c r="CPT42"/>
      <c r="CPU42"/>
      <c r="CPV42"/>
      <c r="CPW42"/>
      <c r="CPX42"/>
      <c r="CPY42"/>
      <c r="CPZ42"/>
      <c r="CQA42"/>
      <c r="CQB42"/>
      <c r="CQC42"/>
      <c r="CQD42"/>
      <c r="CQE42"/>
      <c r="CQF42"/>
      <c r="CQG42"/>
      <c r="CQH42"/>
      <c r="CQI42"/>
      <c r="CQJ42"/>
      <c r="CQK42"/>
      <c r="CQL42"/>
      <c r="CQM42"/>
      <c r="CQN42"/>
      <c r="CQO42"/>
      <c r="CQP42"/>
      <c r="CQQ42"/>
      <c r="CQR42"/>
      <c r="CQS42"/>
      <c r="CQT42"/>
      <c r="CQU42"/>
      <c r="CQV42"/>
      <c r="CQW42"/>
      <c r="CQX42"/>
      <c r="CQY42"/>
      <c r="CQZ42"/>
      <c r="CRA42"/>
      <c r="CRB42"/>
      <c r="CRC42"/>
      <c r="CRD42"/>
      <c r="CRE42"/>
      <c r="CRF42"/>
      <c r="CRG42"/>
      <c r="CRH42"/>
      <c r="CRI42"/>
      <c r="CRJ42"/>
      <c r="CRK42"/>
      <c r="CRL42"/>
      <c r="CRM42"/>
      <c r="CRN42"/>
      <c r="CRO42"/>
      <c r="CRP42"/>
      <c r="CRQ42"/>
      <c r="CRR42"/>
      <c r="CRS42"/>
      <c r="CRT42"/>
      <c r="CRU42"/>
      <c r="CRV42"/>
      <c r="CRW42"/>
      <c r="CRX42"/>
      <c r="CRY42"/>
      <c r="CRZ42"/>
      <c r="CSA42"/>
      <c r="CSB42"/>
      <c r="CSC42"/>
      <c r="CSD42"/>
      <c r="CSE42"/>
      <c r="CSF42"/>
      <c r="CSG42"/>
      <c r="CSH42"/>
      <c r="CSI42"/>
      <c r="CSJ42"/>
      <c r="CSK42"/>
      <c r="CSL42"/>
      <c r="CSM42"/>
      <c r="CSN42"/>
      <c r="CSO42"/>
      <c r="CSP42"/>
      <c r="CSQ42"/>
      <c r="CSR42"/>
      <c r="CSS42"/>
      <c r="CST42"/>
      <c r="CSU42"/>
      <c r="CSV42"/>
      <c r="CSW42"/>
      <c r="CSX42"/>
      <c r="CSY42"/>
      <c r="CSZ42"/>
      <c r="CTA42"/>
      <c r="CTB42"/>
      <c r="CTC42"/>
      <c r="CTD42"/>
      <c r="CTE42"/>
      <c r="CTF42"/>
      <c r="CTG42"/>
      <c r="CTH42"/>
      <c r="CTI42"/>
      <c r="CTJ42"/>
      <c r="CTK42"/>
      <c r="CTL42"/>
      <c r="CTM42"/>
      <c r="CTN42"/>
      <c r="CTO42"/>
      <c r="CTP42"/>
      <c r="CTQ42"/>
      <c r="CTR42"/>
      <c r="CTS42"/>
      <c r="CTT42"/>
      <c r="CTU42"/>
      <c r="CTV42"/>
      <c r="CTW42"/>
      <c r="CTX42"/>
      <c r="CTY42"/>
      <c r="CTZ42"/>
      <c r="CUA42"/>
      <c r="CUB42"/>
      <c r="CUC42"/>
      <c r="CUD42"/>
      <c r="CUE42"/>
      <c r="CUF42"/>
      <c r="CUG42"/>
      <c r="CUH42"/>
      <c r="CUI42"/>
      <c r="CUJ42"/>
      <c r="CUK42"/>
      <c r="CUL42"/>
      <c r="CUM42"/>
      <c r="CUN42"/>
      <c r="CUO42"/>
      <c r="CUP42"/>
      <c r="CUQ42"/>
      <c r="CUR42"/>
      <c r="CUS42"/>
      <c r="CUT42"/>
      <c r="CUU42"/>
      <c r="CUV42"/>
      <c r="CUW42"/>
      <c r="CUX42"/>
      <c r="CUY42"/>
      <c r="CUZ42"/>
      <c r="CVA42"/>
      <c r="CVB42"/>
      <c r="CVC42"/>
      <c r="CVD42"/>
      <c r="CVE42"/>
      <c r="CVF42"/>
      <c r="CVG42"/>
      <c r="CVH42"/>
      <c r="CVI42"/>
      <c r="CVJ42"/>
      <c r="CVK42"/>
      <c r="CVL42"/>
      <c r="CVM42"/>
      <c r="CVN42"/>
      <c r="CVO42"/>
      <c r="CVP42"/>
      <c r="CVQ42"/>
      <c r="CVR42"/>
      <c r="CVS42"/>
      <c r="CVT42"/>
      <c r="CVU42"/>
      <c r="CVV42"/>
      <c r="CVW42"/>
      <c r="CVX42"/>
      <c r="CVY42"/>
      <c r="CVZ42"/>
      <c r="CWA42"/>
      <c r="CWB42"/>
      <c r="CWC42"/>
      <c r="CWD42"/>
      <c r="CWE42"/>
      <c r="CWF42"/>
      <c r="CWG42"/>
      <c r="CWH42"/>
      <c r="CWI42"/>
      <c r="CWJ42"/>
      <c r="CWK42"/>
      <c r="CWL42"/>
      <c r="CWM42"/>
      <c r="CWN42"/>
      <c r="CWO42"/>
      <c r="CWP42"/>
      <c r="CWQ42"/>
      <c r="CWR42"/>
      <c r="CWS42"/>
      <c r="CWT42"/>
      <c r="CWU42"/>
      <c r="CWV42"/>
      <c r="CWW42"/>
      <c r="CWX42"/>
      <c r="CWY42"/>
      <c r="CWZ42"/>
      <c r="CXA42"/>
      <c r="CXB42"/>
      <c r="CXC42"/>
      <c r="CXD42"/>
      <c r="CXE42"/>
      <c r="CXF42"/>
      <c r="CXG42"/>
      <c r="CXH42"/>
      <c r="CXI42"/>
      <c r="CXJ42"/>
      <c r="CXK42"/>
      <c r="CXL42"/>
      <c r="CXM42"/>
      <c r="CXN42"/>
      <c r="CXO42"/>
      <c r="CXP42"/>
      <c r="CXQ42"/>
      <c r="CXR42"/>
      <c r="CXS42"/>
      <c r="CXT42"/>
      <c r="CXU42"/>
      <c r="CXV42"/>
      <c r="CXW42"/>
      <c r="CXX42"/>
      <c r="CXY42"/>
      <c r="CXZ42"/>
      <c r="CYA42"/>
      <c r="CYB42"/>
      <c r="CYC42"/>
      <c r="CYD42"/>
      <c r="CYE42"/>
      <c r="CYF42"/>
      <c r="CYG42"/>
      <c r="CYH42"/>
      <c r="CYI42"/>
      <c r="CYJ42"/>
      <c r="CYK42"/>
      <c r="CYL42"/>
      <c r="CYM42"/>
      <c r="CYN42"/>
      <c r="CYO42"/>
      <c r="CYP42"/>
      <c r="CYQ42"/>
      <c r="CYR42"/>
      <c r="CYS42"/>
      <c r="CYT42"/>
      <c r="CYU42"/>
      <c r="CYV42"/>
      <c r="CYW42"/>
      <c r="CYX42"/>
      <c r="CYY42"/>
      <c r="CYZ42"/>
      <c r="CZA42"/>
      <c r="CZB42"/>
      <c r="CZC42"/>
      <c r="CZD42"/>
      <c r="CZE42"/>
      <c r="CZF42"/>
      <c r="CZG42"/>
      <c r="CZH42"/>
      <c r="CZI42"/>
      <c r="CZJ42"/>
      <c r="CZK42"/>
      <c r="CZL42"/>
      <c r="CZM42"/>
      <c r="CZN42"/>
      <c r="CZO42"/>
      <c r="CZP42"/>
      <c r="CZQ42"/>
      <c r="CZR42"/>
      <c r="CZS42"/>
      <c r="CZT42"/>
      <c r="CZU42"/>
      <c r="CZV42"/>
      <c r="CZW42"/>
      <c r="CZX42"/>
      <c r="CZY42"/>
      <c r="CZZ42"/>
      <c r="DAA42"/>
      <c r="DAB42"/>
      <c r="DAC42"/>
      <c r="DAD42"/>
      <c r="DAE42"/>
      <c r="DAF42"/>
      <c r="DAG42"/>
      <c r="DAH42"/>
      <c r="DAI42"/>
      <c r="DAJ42"/>
      <c r="DAK42"/>
      <c r="DAL42"/>
      <c r="DAM42"/>
      <c r="DAN42"/>
      <c r="DAO42"/>
      <c r="DAP42"/>
      <c r="DAQ42"/>
      <c r="DAR42"/>
      <c r="DAS42"/>
      <c r="DAT42"/>
      <c r="DAU42"/>
      <c r="DAV42"/>
      <c r="DAW42"/>
      <c r="DAX42"/>
      <c r="DAY42"/>
      <c r="DAZ42"/>
      <c r="DBA42"/>
      <c r="DBB42"/>
      <c r="DBC42"/>
      <c r="DBD42"/>
      <c r="DBE42"/>
      <c r="DBF42"/>
      <c r="DBG42"/>
      <c r="DBH42"/>
      <c r="DBI42"/>
      <c r="DBJ42"/>
      <c r="DBK42"/>
      <c r="DBL42"/>
      <c r="DBM42"/>
      <c r="DBN42"/>
      <c r="DBO42"/>
      <c r="DBP42"/>
      <c r="DBQ42"/>
      <c r="DBR42"/>
      <c r="DBS42"/>
      <c r="DBT42"/>
      <c r="DBU42"/>
      <c r="DBV42"/>
      <c r="DBW42"/>
      <c r="DBX42"/>
      <c r="DBY42"/>
      <c r="DBZ42"/>
      <c r="DCA42"/>
      <c r="DCB42"/>
      <c r="DCC42"/>
      <c r="DCD42"/>
      <c r="DCE42"/>
      <c r="DCF42"/>
      <c r="DCG42"/>
      <c r="DCH42"/>
      <c r="DCI42"/>
      <c r="DCJ42"/>
      <c r="DCK42"/>
      <c r="DCL42"/>
      <c r="DCM42"/>
      <c r="DCN42"/>
      <c r="DCO42"/>
      <c r="DCP42"/>
      <c r="DCQ42"/>
      <c r="DCR42"/>
      <c r="DCS42"/>
      <c r="DCT42"/>
      <c r="DCU42"/>
      <c r="DCV42"/>
      <c r="DCW42"/>
      <c r="DCX42"/>
      <c r="DCY42"/>
      <c r="DCZ42"/>
      <c r="DDA42"/>
      <c r="DDB42"/>
      <c r="DDC42"/>
      <c r="DDD42"/>
      <c r="DDE42"/>
      <c r="DDF42"/>
      <c r="DDG42"/>
      <c r="DDH42"/>
      <c r="DDI42"/>
      <c r="DDJ42"/>
      <c r="DDK42"/>
      <c r="DDL42"/>
      <c r="DDM42"/>
      <c r="DDN42"/>
      <c r="DDO42"/>
      <c r="DDP42"/>
      <c r="DDQ42"/>
      <c r="DDR42"/>
      <c r="DDS42"/>
      <c r="DDT42"/>
      <c r="DDU42"/>
      <c r="DDV42"/>
      <c r="DDW42"/>
      <c r="DDX42"/>
      <c r="DDY42"/>
      <c r="DDZ42"/>
      <c r="DEA42"/>
      <c r="DEB42"/>
      <c r="DEC42"/>
      <c r="DED42"/>
      <c r="DEE42"/>
      <c r="DEF42"/>
      <c r="DEG42"/>
      <c r="DEH42"/>
      <c r="DEI42"/>
      <c r="DEJ42"/>
      <c r="DEK42"/>
      <c r="DEL42"/>
      <c r="DEM42"/>
      <c r="DEN42"/>
      <c r="DEO42"/>
      <c r="DEP42"/>
      <c r="DEQ42"/>
      <c r="DER42"/>
      <c r="DES42"/>
      <c r="DET42"/>
      <c r="DEU42"/>
      <c r="DEV42"/>
      <c r="DEW42"/>
      <c r="DEX42"/>
      <c r="DEY42"/>
      <c r="DEZ42"/>
      <c r="DFA42"/>
      <c r="DFB42"/>
      <c r="DFC42"/>
      <c r="DFD42"/>
      <c r="DFE42"/>
      <c r="DFF42"/>
      <c r="DFG42"/>
      <c r="DFH42"/>
      <c r="DFI42"/>
      <c r="DFJ42"/>
      <c r="DFK42"/>
      <c r="DFL42"/>
      <c r="DFM42"/>
      <c r="DFN42"/>
      <c r="DFO42"/>
      <c r="DFP42"/>
      <c r="DFQ42"/>
      <c r="DFR42"/>
      <c r="DFS42"/>
      <c r="DFT42"/>
      <c r="DFU42"/>
      <c r="DFV42"/>
      <c r="DFW42"/>
      <c r="DFX42"/>
      <c r="DFY42"/>
      <c r="DFZ42"/>
      <c r="DGA42"/>
      <c r="DGB42"/>
      <c r="DGC42"/>
      <c r="DGD42"/>
      <c r="DGE42"/>
      <c r="DGF42"/>
      <c r="DGG42"/>
      <c r="DGH42"/>
      <c r="DGI42"/>
      <c r="DGJ42"/>
      <c r="DGK42"/>
      <c r="DGL42"/>
      <c r="DGM42"/>
      <c r="DGN42"/>
      <c r="DGO42"/>
      <c r="DGP42"/>
      <c r="DGQ42"/>
      <c r="DGR42"/>
      <c r="DGS42"/>
      <c r="DGT42"/>
      <c r="DGU42"/>
      <c r="DGV42"/>
      <c r="DGW42"/>
      <c r="DGX42"/>
      <c r="DGY42"/>
      <c r="DGZ42"/>
      <c r="DHA42"/>
      <c r="DHB42"/>
      <c r="DHC42"/>
      <c r="DHD42"/>
      <c r="DHE42"/>
      <c r="DHF42"/>
      <c r="DHG42"/>
      <c r="DHH42"/>
      <c r="DHI42"/>
      <c r="DHJ42"/>
      <c r="DHK42"/>
      <c r="DHL42"/>
      <c r="DHM42"/>
      <c r="DHN42"/>
      <c r="DHO42"/>
      <c r="DHP42"/>
      <c r="DHQ42"/>
      <c r="DHR42"/>
      <c r="DHS42"/>
      <c r="DHT42"/>
      <c r="DHU42"/>
      <c r="DHV42"/>
      <c r="DHW42"/>
      <c r="DHX42"/>
      <c r="DHY42"/>
      <c r="DHZ42"/>
      <c r="DIA42"/>
      <c r="DIB42"/>
      <c r="DIC42"/>
      <c r="DID42"/>
      <c r="DIE42"/>
      <c r="DIF42"/>
      <c r="DIG42"/>
      <c r="DIH42"/>
      <c r="DII42"/>
      <c r="DIJ42"/>
      <c r="DIK42"/>
      <c r="DIL42"/>
      <c r="DIM42"/>
      <c r="DIN42"/>
      <c r="DIO42"/>
      <c r="DIP42"/>
      <c r="DIQ42"/>
      <c r="DIR42"/>
      <c r="DIS42"/>
      <c r="DIT42"/>
      <c r="DIU42"/>
      <c r="DIV42"/>
      <c r="DIW42"/>
      <c r="DIX42"/>
      <c r="DIY42"/>
      <c r="DIZ42"/>
      <c r="DJA42"/>
      <c r="DJB42"/>
      <c r="DJC42"/>
      <c r="DJD42"/>
      <c r="DJE42"/>
      <c r="DJF42"/>
      <c r="DJG42"/>
      <c r="DJH42"/>
      <c r="DJI42"/>
      <c r="DJJ42"/>
      <c r="DJK42"/>
      <c r="DJL42"/>
      <c r="DJM42"/>
      <c r="DJN42"/>
      <c r="DJO42"/>
      <c r="DJP42"/>
      <c r="DJQ42"/>
      <c r="DJR42"/>
      <c r="DJS42"/>
      <c r="DJT42"/>
      <c r="DJU42"/>
      <c r="DJV42"/>
      <c r="DJW42"/>
      <c r="DJX42"/>
      <c r="DJY42"/>
      <c r="DJZ42"/>
      <c r="DKA42"/>
      <c r="DKB42"/>
      <c r="DKC42"/>
      <c r="DKD42"/>
      <c r="DKE42"/>
      <c r="DKF42"/>
      <c r="DKG42"/>
      <c r="DKH42"/>
      <c r="DKI42"/>
      <c r="DKJ42"/>
      <c r="DKK42"/>
      <c r="DKL42"/>
      <c r="DKM42"/>
      <c r="DKN42"/>
      <c r="DKO42"/>
      <c r="DKP42"/>
      <c r="DKQ42"/>
      <c r="DKR42"/>
      <c r="DKS42"/>
      <c r="DKT42"/>
      <c r="DKU42"/>
      <c r="DKV42"/>
      <c r="DKW42"/>
      <c r="DKX42"/>
      <c r="DKY42"/>
      <c r="DKZ42"/>
      <c r="DLA42"/>
      <c r="DLB42"/>
      <c r="DLC42"/>
      <c r="DLD42"/>
      <c r="DLE42"/>
      <c r="DLF42"/>
      <c r="DLG42"/>
      <c r="DLH42"/>
      <c r="DLI42"/>
      <c r="DLJ42"/>
      <c r="DLK42"/>
      <c r="DLL42"/>
      <c r="DLM42"/>
      <c r="DLN42"/>
      <c r="DLO42"/>
      <c r="DLP42"/>
      <c r="DLQ42"/>
      <c r="DLR42"/>
      <c r="DLS42"/>
      <c r="DLT42"/>
      <c r="DLU42"/>
      <c r="DLV42"/>
      <c r="DLW42"/>
      <c r="DLX42"/>
      <c r="DLY42"/>
      <c r="DLZ42"/>
      <c r="DMA42"/>
      <c r="DMB42"/>
      <c r="DMC42"/>
      <c r="DMD42"/>
      <c r="DME42"/>
      <c r="DMF42"/>
      <c r="DMG42"/>
      <c r="DMH42"/>
      <c r="DMI42"/>
      <c r="DMJ42"/>
      <c r="DMK42"/>
      <c r="DML42"/>
      <c r="DMM42"/>
      <c r="DMN42"/>
      <c r="DMO42"/>
      <c r="DMP42"/>
      <c r="DMQ42"/>
      <c r="DMR42"/>
      <c r="DMS42"/>
      <c r="DMT42"/>
      <c r="DMU42"/>
      <c r="DMV42"/>
      <c r="DMW42"/>
      <c r="DMX42"/>
      <c r="DMY42"/>
      <c r="DMZ42"/>
      <c r="DNA42"/>
      <c r="DNB42"/>
      <c r="DNC42"/>
      <c r="DND42"/>
      <c r="DNE42"/>
      <c r="DNF42"/>
      <c r="DNG42"/>
      <c r="DNH42"/>
      <c r="DNI42"/>
      <c r="DNJ42"/>
      <c r="DNK42"/>
      <c r="DNL42"/>
      <c r="DNM42"/>
      <c r="DNN42"/>
      <c r="DNO42"/>
      <c r="DNP42"/>
      <c r="DNQ42"/>
      <c r="DNR42"/>
      <c r="DNS42"/>
      <c r="DNT42"/>
      <c r="DNU42"/>
      <c r="DNV42"/>
      <c r="DNW42"/>
      <c r="DNX42"/>
      <c r="DNY42"/>
      <c r="DNZ42"/>
      <c r="DOA42"/>
      <c r="DOB42"/>
      <c r="DOC42"/>
      <c r="DOD42"/>
      <c r="DOE42"/>
      <c r="DOF42"/>
      <c r="DOG42"/>
      <c r="DOH42"/>
      <c r="DOI42"/>
      <c r="DOJ42"/>
      <c r="DOK42"/>
      <c r="DOL42"/>
      <c r="DOM42"/>
      <c r="DON42"/>
      <c r="DOO42"/>
      <c r="DOP42"/>
      <c r="DOQ42"/>
      <c r="DOR42"/>
      <c r="DOS42"/>
      <c r="DOT42"/>
      <c r="DOU42"/>
      <c r="DOV42"/>
      <c r="DOW42"/>
      <c r="DOX42"/>
      <c r="DOY42"/>
      <c r="DOZ42"/>
      <c r="DPA42"/>
      <c r="DPB42"/>
      <c r="DPC42"/>
      <c r="DPD42"/>
      <c r="DPE42"/>
      <c r="DPF42"/>
      <c r="DPG42"/>
      <c r="DPH42"/>
      <c r="DPI42"/>
      <c r="DPJ42"/>
      <c r="DPK42"/>
      <c r="DPL42"/>
      <c r="DPM42"/>
      <c r="DPN42"/>
      <c r="DPO42"/>
      <c r="DPP42"/>
      <c r="DPQ42"/>
      <c r="DPR42"/>
      <c r="DPS42"/>
      <c r="DPT42"/>
      <c r="DPU42"/>
      <c r="DPV42"/>
      <c r="DPW42"/>
      <c r="DPX42"/>
      <c r="DPY42"/>
      <c r="DPZ42"/>
      <c r="DQA42"/>
      <c r="DQB42"/>
      <c r="DQC42"/>
      <c r="DQD42"/>
      <c r="DQE42"/>
      <c r="DQF42"/>
      <c r="DQG42"/>
      <c r="DQH42"/>
      <c r="DQI42"/>
      <c r="DQJ42"/>
      <c r="DQK42"/>
      <c r="DQL42"/>
      <c r="DQM42"/>
      <c r="DQN42"/>
      <c r="DQO42"/>
      <c r="DQP42"/>
      <c r="DQQ42"/>
      <c r="DQR42"/>
      <c r="DQS42"/>
      <c r="DQT42"/>
      <c r="DQU42"/>
      <c r="DQV42"/>
      <c r="DQW42"/>
      <c r="DQX42"/>
      <c r="DQY42"/>
      <c r="DQZ42"/>
      <c r="DRA42"/>
      <c r="DRB42"/>
      <c r="DRC42"/>
      <c r="DRD42"/>
      <c r="DRE42"/>
      <c r="DRF42"/>
      <c r="DRG42"/>
      <c r="DRH42"/>
      <c r="DRI42"/>
      <c r="DRJ42"/>
      <c r="DRK42"/>
      <c r="DRL42"/>
      <c r="DRM42"/>
      <c r="DRN42"/>
      <c r="DRO42"/>
      <c r="DRP42"/>
      <c r="DRQ42"/>
      <c r="DRR42"/>
      <c r="DRS42"/>
      <c r="DRT42"/>
      <c r="DRU42"/>
      <c r="DRV42"/>
      <c r="DRW42"/>
      <c r="DRX42"/>
      <c r="DRY42"/>
      <c r="DRZ42"/>
      <c r="DSA42"/>
      <c r="DSB42"/>
      <c r="DSC42"/>
      <c r="DSD42"/>
      <c r="DSE42"/>
      <c r="DSF42"/>
      <c r="DSG42"/>
      <c r="DSH42"/>
      <c r="DSI42"/>
      <c r="DSJ42"/>
      <c r="DSK42"/>
      <c r="DSL42"/>
      <c r="DSM42"/>
      <c r="DSN42"/>
      <c r="DSO42"/>
      <c r="DSP42"/>
      <c r="DSQ42"/>
      <c r="DSR42"/>
      <c r="DSS42"/>
      <c r="DST42"/>
      <c r="DSU42"/>
      <c r="DSV42"/>
      <c r="DSW42"/>
      <c r="DSX42"/>
      <c r="DSY42"/>
      <c r="DSZ42"/>
      <c r="DTA42"/>
      <c r="DTB42"/>
      <c r="DTC42"/>
      <c r="DTD42"/>
      <c r="DTE42"/>
      <c r="DTF42"/>
      <c r="DTG42"/>
      <c r="DTH42"/>
      <c r="DTI42"/>
      <c r="DTJ42"/>
      <c r="DTK42"/>
      <c r="DTL42"/>
      <c r="DTM42"/>
      <c r="DTN42"/>
      <c r="DTO42"/>
      <c r="DTP42"/>
      <c r="DTQ42"/>
      <c r="DTR42"/>
      <c r="DTS42"/>
      <c r="DTT42"/>
      <c r="DTU42"/>
      <c r="DTV42"/>
      <c r="DTW42"/>
      <c r="DTX42"/>
      <c r="DTY42"/>
      <c r="DTZ42"/>
      <c r="DUA42"/>
      <c r="DUB42"/>
      <c r="DUC42"/>
      <c r="DUD42"/>
      <c r="DUE42"/>
      <c r="DUF42"/>
      <c r="DUG42"/>
      <c r="DUH42"/>
      <c r="DUI42"/>
      <c r="DUJ42"/>
      <c r="DUK42"/>
      <c r="DUL42"/>
      <c r="DUM42"/>
      <c r="DUN42"/>
      <c r="DUO42"/>
      <c r="DUP42"/>
      <c r="DUQ42"/>
      <c r="DUR42"/>
      <c r="DUS42"/>
      <c r="DUT42"/>
      <c r="DUU42"/>
      <c r="DUV42"/>
      <c r="DUW42"/>
      <c r="DUX42"/>
      <c r="DUY42"/>
      <c r="DUZ42"/>
      <c r="DVA42"/>
      <c r="DVB42"/>
      <c r="DVC42"/>
      <c r="DVD42"/>
      <c r="DVE42"/>
      <c r="DVF42"/>
      <c r="DVG42"/>
      <c r="DVH42"/>
      <c r="DVI42"/>
      <c r="DVJ42"/>
      <c r="DVK42"/>
      <c r="DVL42"/>
      <c r="DVM42"/>
      <c r="DVN42"/>
      <c r="DVO42"/>
      <c r="DVP42"/>
      <c r="DVQ42"/>
      <c r="DVR42"/>
      <c r="DVS42"/>
      <c r="DVT42"/>
      <c r="DVU42"/>
      <c r="DVV42"/>
      <c r="DVW42"/>
      <c r="DVX42"/>
      <c r="DVY42"/>
      <c r="DVZ42"/>
      <c r="DWA42"/>
      <c r="DWB42"/>
      <c r="DWC42"/>
      <c r="DWD42"/>
      <c r="DWE42"/>
      <c r="DWF42"/>
      <c r="DWG42"/>
      <c r="DWH42"/>
      <c r="DWI42"/>
      <c r="DWJ42"/>
      <c r="DWK42"/>
      <c r="DWL42"/>
      <c r="DWM42"/>
      <c r="DWN42"/>
      <c r="DWO42"/>
      <c r="DWP42"/>
      <c r="DWQ42"/>
      <c r="DWR42"/>
      <c r="DWS42"/>
      <c r="DWT42"/>
      <c r="DWU42"/>
      <c r="DWV42"/>
      <c r="DWW42"/>
      <c r="DWX42"/>
      <c r="DWY42"/>
      <c r="DWZ42"/>
      <c r="DXA42"/>
      <c r="DXB42"/>
      <c r="DXC42"/>
      <c r="DXD42"/>
      <c r="DXE42"/>
      <c r="DXF42"/>
      <c r="DXG42"/>
      <c r="DXH42"/>
      <c r="DXI42"/>
      <c r="DXJ42"/>
      <c r="DXK42"/>
      <c r="DXL42"/>
      <c r="DXM42"/>
      <c r="DXN42"/>
      <c r="DXO42"/>
      <c r="DXP42"/>
      <c r="DXQ42"/>
      <c r="DXR42"/>
      <c r="DXS42"/>
      <c r="DXT42"/>
      <c r="DXU42"/>
      <c r="DXV42"/>
      <c r="DXW42"/>
      <c r="DXX42"/>
      <c r="DXY42"/>
      <c r="DXZ42"/>
      <c r="DYA42"/>
      <c r="DYB42"/>
      <c r="DYC42"/>
      <c r="DYD42"/>
      <c r="DYE42"/>
      <c r="DYF42"/>
      <c r="DYG42"/>
      <c r="DYH42"/>
      <c r="DYI42"/>
      <c r="DYJ42"/>
      <c r="DYK42"/>
      <c r="DYL42"/>
      <c r="DYM42"/>
      <c r="DYN42"/>
      <c r="DYO42"/>
      <c r="DYP42"/>
      <c r="DYQ42"/>
      <c r="DYR42"/>
      <c r="DYS42"/>
      <c r="DYT42"/>
      <c r="DYU42"/>
      <c r="DYV42"/>
      <c r="DYW42"/>
      <c r="DYX42"/>
      <c r="DYY42"/>
      <c r="DYZ42"/>
      <c r="DZA42"/>
      <c r="DZB42"/>
      <c r="DZC42"/>
      <c r="DZD42"/>
      <c r="DZE42"/>
      <c r="DZF42"/>
      <c r="DZG42"/>
      <c r="DZH42"/>
      <c r="DZI42"/>
      <c r="DZJ42"/>
      <c r="DZK42"/>
      <c r="DZL42"/>
      <c r="DZM42"/>
      <c r="DZN42"/>
      <c r="DZO42"/>
      <c r="DZP42"/>
      <c r="DZQ42"/>
      <c r="DZR42"/>
      <c r="DZS42"/>
      <c r="DZT42"/>
      <c r="DZU42"/>
      <c r="DZV42"/>
      <c r="DZW42"/>
      <c r="DZX42"/>
      <c r="DZY42"/>
      <c r="DZZ42"/>
      <c r="EAA42"/>
      <c r="EAB42"/>
      <c r="EAC42"/>
      <c r="EAD42"/>
      <c r="EAE42"/>
      <c r="EAF42"/>
      <c r="EAG42"/>
      <c r="EAH42"/>
      <c r="EAI42"/>
      <c r="EAJ42"/>
      <c r="EAK42"/>
      <c r="EAL42"/>
      <c r="EAM42"/>
      <c r="EAN42"/>
      <c r="EAO42"/>
      <c r="EAP42"/>
      <c r="EAQ42"/>
      <c r="EAR42"/>
      <c r="EAS42"/>
      <c r="EAT42"/>
      <c r="EAU42"/>
      <c r="EAV42"/>
      <c r="EAW42"/>
      <c r="EAX42"/>
      <c r="EAY42"/>
      <c r="EAZ42"/>
      <c r="EBA42"/>
      <c r="EBB42"/>
      <c r="EBC42"/>
      <c r="EBD42"/>
      <c r="EBE42"/>
      <c r="EBF42"/>
      <c r="EBG42"/>
      <c r="EBH42"/>
      <c r="EBI42"/>
      <c r="EBJ42"/>
      <c r="EBK42"/>
      <c r="EBL42"/>
      <c r="EBM42"/>
      <c r="EBN42"/>
      <c r="EBO42"/>
      <c r="EBP42"/>
      <c r="EBQ42"/>
      <c r="EBR42"/>
      <c r="EBS42"/>
      <c r="EBT42"/>
      <c r="EBU42"/>
      <c r="EBV42"/>
      <c r="EBW42"/>
      <c r="EBX42"/>
      <c r="EBY42"/>
      <c r="EBZ42"/>
      <c r="ECA42"/>
      <c r="ECB42"/>
      <c r="ECC42"/>
      <c r="ECD42"/>
      <c r="ECE42"/>
      <c r="ECF42"/>
      <c r="ECG42"/>
      <c r="ECH42"/>
      <c r="ECI42"/>
      <c r="ECJ42"/>
      <c r="ECK42"/>
      <c r="ECL42"/>
      <c r="ECM42"/>
      <c r="ECN42"/>
      <c r="ECO42"/>
      <c r="ECP42"/>
      <c r="ECQ42"/>
      <c r="ECR42"/>
      <c r="ECS42"/>
      <c r="ECT42"/>
      <c r="ECU42"/>
      <c r="ECV42"/>
      <c r="ECW42"/>
      <c r="ECX42"/>
      <c r="ECY42"/>
      <c r="ECZ42"/>
      <c r="EDA42"/>
      <c r="EDB42"/>
      <c r="EDC42"/>
      <c r="EDD42"/>
      <c r="EDE42"/>
      <c r="EDF42"/>
      <c r="EDG42"/>
      <c r="EDH42"/>
      <c r="EDI42"/>
      <c r="EDJ42"/>
      <c r="EDK42"/>
      <c r="EDL42"/>
      <c r="EDM42"/>
      <c r="EDN42"/>
      <c r="EDO42"/>
      <c r="EDP42"/>
      <c r="EDQ42"/>
      <c r="EDR42"/>
      <c r="EDS42"/>
      <c r="EDT42"/>
      <c r="EDU42"/>
      <c r="EDV42"/>
      <c r="EDW42"/>
      <c r="EDX42"/>
      <c r="EDY42"/>
      <c r="EDZ42"/>
      <c r="EEA42"/>
      <c r="EEB42"/>
      <c r="EEC42"/>
      <c r="EED42"/>
      <c r="EEE42"/>
      <c r="EEF42"/>
      <c r="EEG42"/>
      <c r="EEH42"/>
      <c r="EEI42"/>
      <c r="EEJ42"/>
      <c r="EEK42"/>
      <c r="EEL42"/>
      <c r="EEM42"/>
      <c r="EEN42"/>
      <c r="EEO42"/>
      <c r="EEP42"/>
      <c r="EEQ42"/>
      <c r="EER42"/>
      <c r="EES42"/>
      <c r="EET42"/>
      <c r="EEU42"/>
      <c r="EEV42"/>
      <c r="EEW42"/>
      <c r="EEX42"/>
      <c r="EEY42"/>
      <c r="EEZ42"/>
      <c r="EFA42"/>
      <c r="EFB42"/>
      <c r="EFC42"/>
      <c r="EFD42"/>
      <c r="EFE42"/>
      <c r="EFF42"/>
      <c r="EFG42"/>
      <c r="EFH42"/>
      <c r="EFI42"/>
      <c r="EFJ42"/>
      <c r="EFK42"/>
      <c r="EFL42"/>
      <c r="EFM42"/>
      <c r="EFN42"/>
      <c r="EFO42"/>
      <c r="EFP42"/>
      <c r="EFQ42"/>
      <c r="EFR42"/>
      <c r="EFS42"/>
      <c r="EFT42"/>
      <c r="EFU42"/>
      <c r="EFV42"/>
      <c r="EFW42"/>
      <c r="EFX42"/>
      <c r="EFY42"/>
      <c r="EFZ42"/>
      <c r="EGA42"/>
      <c r="EGB42"/>
      <c r="EGC42"/>
      <c r="EGD42"/>
      <c r="EGE42"/>
      <c r="EGF42"/>
      <c r="EGG42"/>
      <c r="EGH42"/>
      <c r="EGI42"/>
      <c r="EGJ42"/>
      <c r="EGK42"/>
      <c r="EGL42"/>
      <c r="EGM42"/>
      <c r="EGN42"/>
      <c r="EGO42"/>
      <c r="EGP42"/>
      <c r="EGQ42"/>
      <c r="EGR42"/>
      <c r="EGS42"/>
      <c r="EGT42"/>
      <c r="EGU42"/>
      <c r="EGV42"/>
      <c r="EGW42"/>
      <c r="EGX42"/>
      <c r="EGY42"/>
      <c r="EGZ42"/>
      <c r="EHA42"/>
      <c r="EHB42"/>
      <c r="EHC42"/>
      <c r="EHD42"/>
      <c r="EHE42"/>
      <c r="EHF42"/>
      <c r="EHG42"/>
      <c r="EHH42"/>
      <c r="EHI42"/>
      <c r="EHJ42"/>
      <c r="EHK42"/>
      <c r="EHL42"/>
      <c r="EHM42"/>
      <c r="EHN42"/>
      <c r="EHO42"/>
      <c r="EHP42"/>
      <c r="EHQ42"/>
      <c r="EHR42"/>
      <c r="EHS42"/>
      <c r="EHT42"/>
      <c r="EHU42"/>
      <c r="EHV42"/>
      <c r="EHW42"/>
      <c r="EHX42"/>
      <c r="EHY42"/>
      <c r="EHZ42"/>
      <c r="EIA42"/>
      <c r="EIB42"/>
      <c r="EIC42"/>
      <c r="EID42"/>
      <c r="EIE42"/>
      <c r="EIF42"/>
      <c r="EIG42"/>
      <c r="EIH42"/>
      <c r="EII42"/>
      <c r="EIJ42"/>
      <c r="EIK42"/>
      <c r="EIL42"/>
      <c r="EIM42"/>
      <c r="EIN42"/>
      <c r="EIO42"/>
      <c r="EIP42"/>
      <c r="EIQ42"/>
      <c r="EIR42"/>
      <c r="EIS42"/>
      <c r="EIT42"/>
      <c r="EIU42"/>
      <c r="EIV42"/>
      <c r="EIW42"/>
      <c r="EIX42"/>
      <c r="EIY42"/>
      <c r="EIZ42"/>
      <c r="EJA42"/>
      <c r="EJB42"/>
      <c r="EJC42"/>
      <c r="EJD42"/>
      <c r="EJE42"/>
      <c r="EJF42"/>
      <c r="EJG42"/>
      <c r="EJH42"/>
      <c r="EJI42"/>
      <c r="EJJ42"/>
      <c r="EJK42"/>
      <c r="EJL42"/>
      <c r="EJM42"/>
      <c r="EJN42"/>
      <c r="EJO42"/>
      <c r="EJP42"/>
      <c r="EJQ42"/>
      <c r="EJR42"/>
      <c r="EJS42"/>
      <c r="EJT42"/>
      <c r="EJU42"/>
      <c r="EJV42"/>
      <c r="EJW42"/>
      <c r="EJX42"/>
      <c r="EJY42"/>
      <c r="EJZ42"/>
      <c r="EKA42"/>
      <c r="EKB42"/>
      <c r="EKC42"/>
      <c r="EKD42"/>
      <c r="EKE42"/>
      <c r="EKF42"/>
      <c r="EKG42"/>
      <c r="EKH42"/>
      <c r="EKI42"/>
      <c r="EKJ42"/>
      <c r="EKK42"/>
      <c r="EKL42"/>
      <c r="EKM42"/>
      <c r="EKN42"/>
      <c r="EKO42"/>
      <c r="EKP42"/>
      <c r="EKQ42"/>
      <c r="EKR42"/>
      <c r="EKS42"/>
      <c r="EKT42"/>
      <c r="EKU42"/>
      <c r="EKV42"/>
      <c r="EKW42"/>
      <c r="EKX42"/>
      <c r="EKY42"/>
      <c r="EKZ42"/>
      <c r="ELA42"/>
      <c r="ELB42"/>
      <c r="ELC42"/>
      <c r="ELD42"/>
      <c r="ELE42"/>
      <c r="ELF42"/>
      <c r="ELG42"/>
      <c r="ELH42"/>
      <c r="ELI42"/>
      <c r="ELJ42"/>
      <c r="ELK42"/>
      <c r="ELL42"/>
      <c r="ELM42"/>
      <c r="ELN42"/>
      <c r="ELO42"/>
      <c r="ELP42"/>
      <c r="ELQ42"/>
      <c r="ELR42"/>
      <c r="ELS42"/>
      <c r="ELT42"/>
      <c r="ELU42"/>
      <c r="ELV42"/>
      <c r="ELW42"/>
      <c r="ELX42"/>
      <c r="ELY42"/>
      <c r="ELZ42"/>
      <c r="EMA42"/>
      <c r="EMB42"/>
      <c r="EMC42"/>
      <c r="EMD42"/>
      <c r="EME42"/>
      <c r="EMF42"/>
      <c r="EMG42"/>
      <c r="EMH42"/>
      <c r="EMI42"/>
      <c r="EMJ42"/>
      <c r="EMK42"/>
      <c r="EML42"/>
      <c r="EMM42"/>
      <c r="EMN42"/>
      <c r="EMO42"/>
      <c r="EMP42"/>
      <c r="EMQ42"/>
      <c r="EMR42"/>
      <c r="EMS42"/>
      <c r="EMT42"/>
      <c r="EMU42"/>
      <c r="EMV42"/>
      <c r="EMW42"/>
      <c r="EMX42"/>
      <c r="EMY42"/>
      <c r="EMZ42"/>
      <c r="ENA42"/>
      <c r="ENB42"/>
      <c r="ENC42"/>
      <c r="END42"/>
      <c r="ENE42"/>
      <c r="ENF42"/>
      <c r="ENG42"/>
      <c r="ENH42"/>
      <c r="ENI42"/>
      <c r="ENJ42"/>
      <c r="ENK42"/>
      <c r="ENL42"/>
      <c r="ENM42"/>
      <c r="ENN42"/>
      <c r="ENO42"/>
      <c r="ENP42"/>
      <c r="ENQ42"/>
      <c r="ENR42"/>
      <c r="ENS42"/>
      <c r="ENT42"/>
      <c r="ENU42"/>
      <c r="ENV42"/>
      <c r="ENW42"/>
      <c r="ENX42"/>
      <c r="ENY42"/>
      <c r="ENZ42"/>
      <c r="EOA42"/>
      <c r="EOB42"/>
      <c r="EOC42"/>
      <c r="EOD42"/>
      <c r="EOE42"/>
      <c r="EOF42"/>
      <c r="EOG42"/>
      <c r="EOH42"/>
      <c r="EOI42"/>
      <c r="EOJ42"/>
      <c r="EOK42"/>
      <c r="EOL42"/>
      <c r="EOM42"/>
      <c r="EON42"/>
      <c r="EOO42"/>
      <c r="EOP42"/>
      <c r="EOQ42"/>
      <c r="EOR42"/>
      <c r="EOS42"/>
      <c r="EOT42"/>
      <c r="EOU42"/>
      <c r="EOV42"/>
      <c r="EOW42"/>
      <c r="EOX42"/>
      <c r="EOY42"/>
      <c r="EOZ42"/>
      <c r="EPA42"/>
      <c r="EPB42"/>
      <c r="EPC42"/>
      <c r="EPD42"/>
      <c r="EPE42"/>
      <c r="EPF42"/>
      <c r="EPG42"/>
      <c r="EPH42"/>
      <c r="EPI42"/>
      <c r="EPJ42"/>
      <c r="EPK42"/>
      <c r="EPL42"/>
      <c r="EPM42"/>
      <c r="EPN42"/>
      <c r="EPO42"/>
      <c r="EPP42"/>
      <c r="EPQ42"/>
      <c r="EPR42"/>
      <c r="EPS42"/>
      <c r="EPT42"/>
      <c r="EPU42"/>
      <c r="EPV42"/>
      <c r="EPW42"/>
      <c r="EPX42"/>
      <c r="EPY42"/>
      <c r="EPZ42"/>
      <c r="EQA42"/>
      <c r="EQB42"/>
      <c r="EQC42"/>
      <c r="EQD42"/>
      <c r="EQE42"/>
      <c r="EQF42"/>
      <c r="EQG42"/>
      <c r="EQH42"/>
      <c r="EQI42"/>
      <c r="EQJ42"/>
      <c r="EQK42"/>
      <c r="EQL42"/>
      <c r="EQM42"/>
      <c r="EQN42"/>
      <c r="EQO42"/>
      <c r="EQP42"/>
      <c r="EQQ42"/>
      <c r="EQR42"/>
      <c r="EQS42"/>
      <c r="EQT42"/>
      <c r="EQU42"/>
      <c r="EQV42"/>
      <c r="EQW42"/>
      <c r="EQX42"/>
      <c r="EQY42"/>
      <c r="EQZ42"/>
      <c r="ERA42"/>
      <c r="ERB42"/>
      <c r="ERC42"/>
      <c r="ERD42"/>
      <c r="ERE42"/>
      <c r="ERF42"/>
      <c r="ERG42"/>
      <c r="ERH42"/>
      <c r="ERI42"/>
      <c r="ERJ42"/>
      <c r="ERK42"/>
      <c r="ERL42"/>
      <c r="ERM42"/>
      <c r="ERN42"/>
      <c r="ERO42"/>
      <c r="ERP42"/>
      <c r="ERQ42"/>
      <c r="ERR42"/>
      <c r="ERS42"/>
      <c r="ERT42"/>
      <c r="ERU42"/>
      <c r="ERV42"/>
      <c r="ERW42"/>
      <c r="ERX42"/>
      <c r="ERY42"/>
      <c r="ERZ42"/>
      <c r="ESA42"/>
      <c r="ESB42"/>
      <c r="ESC42"/>
      <c r="ESD42"/>
      <c r="ESE42"/>
      <c r="ESF42"/>
      <c r="ESG42"/>
      <c r="ESH42"/>
      <c r="ESI42"/>
      <c r="ESJ42"/>
      <c r="ESK42"/>
      <c r="ESL42"/>
      <c r="ESM42"/>
      <c r="ESN42"/>
      <c r="ESO42"/>
      <c r="ESP42"/>
      <c r="ESQ42"/>
      <c r="ESR42"/>
      <c r="ESS42"/>
      <c r="EST42"/>
      <c r="ESU42"/>
      <c r="ESV42"/>
      <c r="ESW42"/>
      <c r="ESX42"/>
      <c r="ESY42"/>
      <c r="ESZ42"/>
      <c r="ETA42"/>
      <c r="ETB42"/>
      <c r="ETC42"/>
      <c r="ETD42"/>
      <c r="ETE42"/>
      <c r="ETF42"/>
      <c r="ETG42"/>
      <c r="ETH42"/>
      <c r="ETI42"/>
      <c r="ETJ42"/>
      <c r="ETK42"/>
      <c r="ETL42"/>
      <c r="ETM42"/>
      <c r="ETN42"/>
      <c r="ETO42"/>
      <c r="ETP42"/>
      <c r="ETQ42"/>
      <c r="ETR42"/>
      <c r="ETS42"/>
      <c r="ETT42"/>
      <c r="ETU42"/>
      <c r="ETV42"/>
      <c r="ETW42"/>
      <c r="ETX42"/>
      <c r="ETY42"/>
      <c r="ETZ42"/>
      <c r="EUA42"/>
      <c r="EUB42"/>
      <c r="EUC42"/>
      <c r="EUD42"/>
      <c r="EUE42"/>
      <c r="EUF42"/>
      <c r="EUG42"/>
      <c r="EUH42"/>
      <c r="EUI42"/>
      <c r="EUJ42"/>
      <c r="EUK42"/>
      <c r="EUL42"/>
      <c r="EUM42"/>
      <c r="EUN42"/>
      <c r="EUO42"/>
      <c r="EUP42"/>
      <c r="EUQ42"/>
      <c r="EUR42"/>
      <c r="EUS42"/>
      <c r="EUT42"/>
      <c r="EUU42"/>
      <c r="EUV42"/>
      <c r="EUW42"/>
      <c r="EUX42"/>
      <c r="EUY42"/>
      <c r="EUZ42"/>
      <c r="EVA42"/>
      <c r="EVB42"/>
      <c r="EVC42"/>
      <c r="EVD42"/>
      <c r="EVE42"/>
      <c r="EVF42"/>
      <c r="EVG42"/>
      <c r="EVH42"/>
      <c r="EVI42"/>
      <c r="EVJ42"/>
      <c r="EVK42"/>
      <c r="EVL42"/>
      <c r="EVM42"/>
      <c r="EVN42"/>
      <c r="EVO42"/>
      <c r="EVP42"/>
      <c r="EVQ42"/>
      <c r="EVR42"/>
      <c r="EVS42"/>
      <c r="EVT42"/>
      <c r="EVU42"/>
      <c r="EVV42"/>
      <c r="EVW42"/>
      <c r="EVX42"/>
      <c r="EVY42"/>
      <c r="EVZ42"/>
      <c r="EWA42"/>
      <c r="EWB42"/>
      <c r="EWC42"/>
      <c r="EWD42"/>
      <c r="EWE42"/>
      <c r="EWF42"/>
      <c r="EWG42"/>
      <c r="EWH42"/>
      <c r="EWI42"/>
      <c r="EWJ42"/>
      <c r="EWK42"/>
      <c r="EWL42"/>
      <c r="EWM42"/>
      <c r="EWN42"/>
      <c r="EWO42"/>
      <c r="EWP42"/>
      <c r="EWQ42"/>
      <c r="EWR42"/>
      <c r="EWS42"/>
      <c r="EWT42"/>
      <c r="EWU42"/>
      <c r="EWV42"/>
      <c r="EWW42"/>
      <c r="EWX42"/>
      <c r="EWY42"/>
      <c r="EWZ42"/>
      <c r="EXA42"/>
      <c r="EXB42"/>
      <c r="EXC42"/>
      <c r="EXD42"/>
      <c r="EXE42"/>
      <c r="EXF42"/>
      <c r="EXG42"/>
      <c r="EXH42"/>
      <c r="EXI42"/>
      <c r="EXJ42"/>
      <c r="EXK42"/>
      <c r="EXL42"/>
      <c r="EXM42"/>
      <c r="EXN42"/>
      <c r="EXO42"/>
      <c r="EXP42"/>
      <c r="EXQ42"/>
      <c r="EXR42"/>
      <c r="EXS42"/>
      <c r="EXT42"/>
      <c r="EXU42"/>
      <c r="EXV42"/>
      <c r="EXW42"/>
      <c r="EXX42"/>
      <c r="EXY42"/>
      <c r="EXZ42"/>
      <c r="EYA42"/>
      <c r="EYB42"/>
      <c r="EYC42"/>
      <c r="EYD42"/>
      <c r="EYE42"/>
      <c r="EYF42"/>
      <c r="EYG42"/>
      <c r="EYH42"/>
      <c r="EYI42"/>
      <c r="EYJ42"/>
      <c r="EYK42"/>
      <c r="EYL42"/>
      <c r="EYM42"/>
      <c r="EYN42"/>
      <c r="EYO42"/>
      <c r="EYP42"/>
      <c r="EYQ42"/>
      <c r="EYR42"/>
      <c r="EYS42"/>
      <c r="EYT42"/>
      <c r="EYU42"/>
      <c r="EYV42"/>
      <c r="EYW42"/>
      <c r="EYX42"/>
      <c r="EYY42"/>
      <c r="EYZ42"/>
      <c r="EZA42"/>
      <c r="EZB42"/>
      <c r="EZC42"/>
      <c r="EZD42"/>
      <c r="EZE42"/>
      <c r="EZF42"/>
      <c r="EZG42"/>
      <c r="EZH42"/>
      <c r="EZI42"/>
      <c r="EZJ42"/>
      <c r="EZK42"/>
      <c r="EZL42"/>
      <c r="EZM42"/>
      <c r="EZN42"/>
      <c r="EZO42"/>
      <c r="EZP42"/>
      <c r="EZQ42"/>
      <c r="EZR42"/>
      <c r="EZS42"/>
      <c r="EZT42"/>
      <c r="EZU42"/>
      <c r="EZV42"/>
      <c r="EZW42"/>
      <c r="EZX42"/>
      <c r="EZY42"/>
      <c r="EZZ42"/>
      <c r="FAA42"/>
      <c r="FAB42"/>
      <c r="FAC42"/>
      <c r="FAD42"/>
      <c r="FAE42"/>
      <c r="FAF42"/>
      <c r="FAG42"/>
      <c r="FAH42"/>
      <c r="FAI42"/>
      <c r="FAJ42"/>
      <c r="FAK42"/>
      <c r="FAL42"/>
      <c r="FAM42"/>
      <c r="FAN42"/>
      <c r="FAO42"/>
      <c r="FAP42"/>
      <c r="FAQ42"/>
      <c r="FAR42"/>
      <c r="FAS42"/>
      <c r="FAT42"/>
      <c r="FAU42"/>
      <c r="FAV42"/>
      <c r="FAW42"/>
      <c r="FAX42"/>
      <c r="FAY42"/>
      <c r="FAZ42"/>
      <c r="FBA42"/>
      <c r="FBB42"/>
      <c r="FBC42"/>
      <c r="FBD42"/>
      <c r="FBE42"/>
      <c r="FBF42"/>
      <c r="FBG42"/>
      <c r="FBH42"/>
      <c r="FBI42"/>
      <c r="FBJ42"/>
      <c r="FBK42"/>
      <c r="FBL42"/>
      <c r="FBM42"/>
      <c r="FBN42"/>
      <c r="FBO42"/>
      <c r="FBP42"/>
      <c r="FBQ42"/>
      <c r="FBR42"/>
      <c r="FBS42"/>
      <c r="FBT42"/>
      <c r="FBU42"/>
      <c r="FBV42"/>
      <c r="FBW42"/>
      <c r="FBX42"/>
      <c r="FBY42"/>
      <c r="FBZ42"/>
      <c r="FCA42"/>
      <c r="FCB42"/>
      <c r="FCC42"/>
      <c r="FCD42"/>
      <c r="FCE42"/>
      <c r="FCF42"/>
      <c r="FCG42"/>
      <c r="FCH42"/>
      <c r="FCI42"/>
      <c r="FCJ42"/>
      <c r="FCK42"/>
      <c r="FCL42"/>
      <c r="FCM42"/>
      <c r="FCN42"/>
      <c r="FCO42"/>
      <c r="FCP42"/>
      <c r="FCQ42"/>
      <c r="FCR42"/>
      <c r="FCS42"/>
      <c r="FCT42"/>
      <c r="FCU42"/>
      <c r="FCV42"/>
      <c r="FCW42"/>
      <c r="FCX42"/>
      <c r="FCY42"/>
      <c r="FCZ42"/>
      <c r="FDA42"/>
      <c r="FDB42"/>
      <c r="FDC42"/>
      <c r="FDD42"/>
      <c r="FDE42"/>
      <c r="FDF42"/>
      <c r="FDG42"/>
      <c r="FDH42"/>
      <c r="FDI42"/>
      <c r="FDJ42"/>
      <c r="FDK42"/>
      <c r="FDL42"/>
      <c r="FDM42"/>
      <c r="FDN42"/>
      <c r="FDO42"/>
      <c r="FDP42"/>
      <c r="FDQ42"/>
      <c r="FDR42"/>
      <c r="FDS42"/>
      <c r="FDT42"/>
      <c r="FDU42"/>
      <c r="FDV42"/>
      <c r="FDW42"/>
      <c r="FDX42"/>
      <c r="FDY42"/>
      <c r="FDZ42"/>
      <c r="FEA42"/>
      <c r="FEB42"/>
      <c r="FEC42"/>
      <c r="FED42"/>
      <c r="FEE42"/>
      <c r="FEF42"/>
      <c r="FEG42"/>
      <c r="FEH42"/>
      <c r="FEI42"/>
      <c r="FEJ42"/>
      <c r="FEK42"/>
      <c r="FEL42"/>
      <c r="FEM42"/>
      <c r="FEN42"/>
      <c r="FEO42"/>
      <c r="FEP42"/>
      <c r="FEQ42"/>
      <c r="FER42"/>
      <c r="FES42"/>
      <c r="FET42"/>
      <c r="FEU42"/>
      <c r="FEV42"/>
      <c r="FEW42"/>
      <c r="FEX42"/>
      <c r="FEY42"/>
      <c r="FEZ42"/>
      <c r="FFA42"/>
      <c r="FFB42"/>
      <c r="FFC42"/>
      <c r="FFD42"/>
      <c r="FFE42"/>
      <c r="FFF42"/>
      <c r="FFG42"/>
      <c r="FFH42"/>
      <c r="FFI42"/>
      <c r="FFJ42"/>
      <c r="FFK42"/>
      <c r="FFL42"/>
      <c r="FFM42"/>
      <c r="FFN42"/>
      <c r="FFO42"/>
      <c r="FFP42"/>
      <c r="FFQ42"/>
      <c r="FFR42"/>
      <c r="FFS42"/>
      <c r="FFT42"/>
      <c r="FFU42"/>
      <c r="FFV42"/>
      <c r="FFW42"/>
      <c r="FFX42"/>
      <c r="FFY42"/>
      <c r="FFZ42"/>
      <c r="FGA42"/>
      <c r="FGB42"/>
      <c r="FGC42"/>
      <c r="FGD42"/>
      <c r="FGE42"/>
      <c r="FGF42"/>
      <c r="FGG42"/>
      <c r="FGH42"/>
      <c r="FGI42"/>
      <c r="FGJ42"/>
      <c r="FGK42"/>
      <c r="FGL42"/>
      <c r="FGM42"/>
      <c r="FGN42"/>
      <c r="FGO42"/>
      <c r="FGP42"/>
      <c r="FGQ42"/>
      <c r="FGR42"/>
      <c r="FGS42"/>
      <c r="FGT42"/>
      <c r="FGU42"/>
      <c r="FGV42"/>
      <c r="FGW42"/>
      <c r="FGX42"/>
      <c r="FGY42"/>
      <c r="FGZ42"/>
      <c r="FHA42"/>
      <c r="FHB42"/>
      <c r="FHC42"/>
      <c r="FHD42"/>
      <c r="FHE42"/>
      <c r="FHF42"/>
      <c r="FHG42"/>
      <c r="FHH42"/>
      <c r="FHI42"/>
      <c r="FHJ42"/>
      <c r="FHK42"/>
      <c r="FHL42"/>
      <c r="FHM42"/>
      <c r="FHN42"/>
      <c r="FHO42"/>
      <c r="FHP42"/>
      <c r="FHQ42"/>
      <c r="FHR42"/>
      <c r="FHS42"/>
      <c r="FHT42"/>
      <c r="FHU42"/>
      <c r="FHV42"/>
      <c r="FHW42"/>
      <c r="FHX42"/>
      <c r="FHY42"/>
      <c r="FHZ42"/>
      <c r="FIA42"/>
      <c r="FIB42"/>
      <c r="FIC42"/>
      <c r="FID42"/>
      <c r="FIE42"/>
      <c r="FIF42"/>
      <c r="FIG42"/>
      <c r="FIH42"/>
      <c r="FII42"/>
      <c r="FIJ42"/>
      <c r="FIK42"/>
      <c r="FIL42"/>
      <c r="FIM42"/>
      <c r="FIN42"/>
      <c r="FIO42"/>
      <c r="FIP42"/>
      <c r="FIQ42"/>
      <c r="FIR42"/>
      <c r="FIS42"/>
      <c r="FIT42"/>
      <c r="FIU42"/>
      <c r="FIV42"/>
      <c r="FIW42"/>
      <c r="FIX42"/>
      <c r="FIY42"/>
      <c r="FIZ42"/>
      <c r="FJA42"/>
      <c r="FJB42"/>
      <c r="FJC42"/>
      <c r="FJD42"/>
      <c r="FJE42"/>
      <c r="FJF42"/>
      <c r="FJG42"/>
      <c r="FJH42"/>
      <c r="FJI42"/>
      <c r="FJJ42"/>
      <c r="FJK42"/>
      <c r="FJL42"/>
      <c r="FJM42"/>
      <c r="FJN42"/>
      <c r="FJO42"/>
      <c r="FJP42"/>
      <c r="FJQ42"/>
      <c r="FJR42"/>
      <c r="FJS42"/>
      <c r="FJT42"/>
      <c r="FJU42"/>
      <c r="FJV42"/>
      <c r="FJW42"/>
      <c r="FJX42"/>
      <c r="FJY42"/>
      <c r="FJZ42"/>
      <c r="FKA42"/>
      <c r="FKB42"/>
      <c r="FKC42"/>
      <c r="FKD42"/>
      <c r="FKE42"/>
      <c r="FKF42"/>
      <c r="FKG42"/>
      <c r="FKH42"/>
      <c r="FKI42"/>
      <c r="FKJ42"/>
      <c r="FKK42"/>
      <c r="FKL42"/>
      <c r="FKM42"/>
      <c r="FKN42"/>
      <c r="FKO42"/>
      <c r="FKP42"/>
      <c r="FKQ42"/>
      <c r="FKR42"/>
      <c r="FKS42"/>
      <c r="FKT42"/>
      <c r="FKU42"/>
      <c r="FKV42"/>
      <c r="FKW42"/>
      <c r="FKX42"/>
      <c r="FKY42"/>
      <c r="FKZ42"/>
      <c r="FLA42"/>
      <c r="FLB42"/>
      <c r="FLC42"/>
      <c r="FLD42"/>
      <c r="FLE42"/>
      <c r="FLF42"/>
      <c r="FLG42"/>
      <c r="FLH42"/>
      <c r="FLI42"/>
      <c r="FLJ42"/>
      <c r="FLK42"/>
      <c r="FLL42"/>
      <c r="FLM42"/>
      <c r="FLN42"/>
      <c r="FLO42"/>
      <c r="FLP42"/>
      <c r="FLQ42"/>
      <c r="FLR42"/>
      <c r="FLS42"/>
      <c r="FLT42"/>
      <c r="FLU42"/>
      <c r="FLV42"/>
      <c r="FLW42"/>
      <c r="FLX42"/>
      <c r="FLY42"/>
      <c r="FLZ42"/>
      <c r="FMA42"/>
      <c r="FMB42"/>
      <c r="FMC42"/>
      <c r="FMD42"/>
      <c r="FME42"/>
      <c r="FMF42"/>
      <c r="FMG42"/>
      <c r="FMH42"/>
      <c r="FMI42"/>
      <c r="FMJ42"/>
      <c r="FMK42"/>
      <c r="FML42"/>
      <c r="FMM42"/>
      <c r="FMN42"/>
      <c r="FMO42"/>
      <c r="FMP42"/>
      <c r="FMQ42"/>
      <c r="FMR42"/>
      <c r="FMS42"/>
      <c r="FMT42"/>
      <c r="FMU42"/>
      <c r="FMV42"/>
      <c r="FMW42"/>
      <c r="FMX42"/>
      <c r="FMY42"/>
      <c r="FMZ42"/>
      <c r="FNA42"/>
      <c r="FNB42"/>
      <c r="FNC42"/>
      <c r="FND42"/>
      <c r="FNE42"/>
      <c r="FNF42"/>
      <c r="FNG42"/>
      <c r="FNH42"/>
      <c r="FNI42"/>
      <c r="FNJ42"/>
      <c r="FNK42"/>
      <c r="FNL42"/>
      <c r="FNM42"/>
      <c r="FNN42"/>
      <c r="FNO42"/>
      <c r="FNP42"/>
      <c r="FNQ42"/>
      <c r="FNR42"/>
      <c r="FNS42"/>
      <c r="FNT42"/>
      <c r="FNU42"/>
      <c r="FNV42"/>
      <c r="FNW42"/>
      <c r="FNX42"/>
      <c r="FNY42"/>
      <c r="FNZ42"/>
      <c r="FOA42"/>
      <c r="FOB42"/>
      <c r="FOC42"/>
      <c r="FOD42"/>
      <c r="FOE42"/>
      <c r="FOF42"/>
      <c r="FOG42"/>
      <c r="FOH42"/>
      <c r="FOI42"/>
      <c r="FOJ42"/>
      <c r="FOK42"/>
      <c r="FOL42"/>
      <c r="FOM42"/>
      <c r="FON42"/>
      <c r="FOO42"/>
      <c r="FOP42"/>
      <c r="FOQ42"/>
      <c r="FOR42"/>
      <c r="FOS42"/>
      <c r="FOT42"/>
      <c r="FOU42"/>
      <c r="FOV42"/>
      <c r="FOW42"/>
      <c r="FOX42"/>
      <c r="FOY42"/>
      <c r="FOZ42"/>
      <c r="FPA42"/>
      <c r="FPB42"/>
      <c r="FPC42"/>
      <c r="FPD42"/>
      <c r="FPE42"/>
      <c r="FPF42"/>
      <c r="FPG42"/>
      <c r="FPH42"/>
      <c r="FPI42"/>
      <c r="FPJ42"/>
      <c r="FPK42"/>
      <c r="FPL42"/>
      <c r="FPM42"/>
      <c r="FPN42"/>
      <c r="FPO42"/>
      <c r="FPP42"/>
      <c r="FPQ42"/>
      <c r="FPR42"/>
      <c r="FPS42"/>
      <c r="FPT42"/>
      <c r="FPU42"/>
      <c r="FPV42"/>
      <c r="FPW42"/>
      <c r="FPX42"/>
      <c r="FPY42"/>
      <c r="FPZ42"/>
      <c r="FQA42"/>
      <c r="FQB42"/>
      <c r="FQC42"/>
      <c r="FQD42"/>
      <c r="FQE42"/>
      <c r="FQF42"/>
      <c r="FQG42"/>
      <c r="FQH42"/>
      <c r="FQI42"/>
      <c r="FQJ42"/>
      <c r="FQK42"/>
      <c r="FQL42"/>
      <c r="FQM42"/>
      <c r="FQN42"/>
      <c r="FQO42"/>
      <c r="FQP42"/>
      <c r="FQQ42"/>
      <c r="FQR42"/>
      <c r="FQS42"/>
      <c r="FQT42"/>
      <c r="FQU42"/>
      <c r="FQV42"/>
      <c r="FQW42"/>
      <c r="FQX42"/>
      <c r="FQY42"/>
      <c r="FQZ42"/>
      <c r="FRA42"/>
      <c r="FRB42"/>
      <c r="FRC42"/>
      <c r="FRD42"/>
      <c r="FRE42"/>
      <c r="FRF42"/>
      <c r="FRG42"/>
      <c r="FRH42"/>
      <c r="FRI42"/>
      <c r="FRJ42"/>
      <c r="FRK42"/>
      <c r="FRL42"/>
      <c r="FRM42"/>
      <c r="FRN42"/>
      <c r="FRO42"/>
      <c r="FRP42"/>
      <c r="FRQ42"/>
      <c r="FRR42"/>
      <c r="FRS42"/>
      <c r="FRT42"/>
      <c r="FRU42"/>
      <c r="FRV42"/>
      <c r="FRW42"/>
      <c r="FRX42"/>
      <c r="FRY42"/>
      <c r="FRZ42"/>
      <c r="FSA42"/>
      <c r="FSB42"/>
      <c r="FSC42"/>
      <c r="FSD42"/>
      <c r="FSE42"/>
      <c r="FSF42"/>
      <c r="FSG42"/>
      <c r="FSH42"/>
      <c r="FSI42"/>
      <c r="FSJ42"/>
      <c r="FSK42"/>
      <c r="FSL42"/>
      <c r="FSM42"/>
      <c r="FSN42"/>
      <c r="FSO42"/>
      <c r="FSP42"/>
      <c r="FSQ42"/>
      <c r="FSR42"/>
      <c r="FSS42"/>
      <c r="FST42"/>
      <c r="FSU42"/>
      <c r="FSV42"/>
      <c r="FSW42"/>
      <c r="FSX42"/>
      <c r="FSY42"/>
      <c r="FSZ42"/>
      <c r="FTA42"/>
      <c r="FTB42"/>
      <c r="FTC42"/>
      <c r="FTD42"/>
      <c r="FTE42"/>
      <c r="FTF42"/>
      <c r="FTG42"/>
      <c r="FTH42"/>
      <c r="FTI42"/>
      <c r="FTJ42"/>
      <c r="FTK42"/>
      <c r="FTL42"/>
      <c r="FTM42"/>
      <c r="FTN42"/>
      <c r="FTO42"/>
      <c r="FTP42"/>
      <c r="FTQ42"/>
      <c r="FTR42"/>
      <c r="FTS42"/>
      <c r="FTT42"/>
      <c r="FTU42"/>
      <c r="FTV42"/>
      <c r="FTW42"/>
      <c r="FTX42"/>
      <c r="FTY42"/>
      <c r="FTZ42"/>
      <c r="FUA42"/>
      <c r="FUB42"/>
      <c r="FUC42"/>
      <c r="FUD42"/>
      <c r="FUE42"/>
      <c r="FUF42"/>
      <c r="FUG42"/>
      <c r="FUH42"/>
      <c r="FUI42"/>
      <c r="FUJ42"/>
      <c r="FUK42"/>
      <c r="FUL42"/>
      <c r="FUM42"/>
      <c r="FUN42"/>
      <c r="FUO42"/>
      <c r="FUP42"/>
      <c r="FUQ42"/>
      <c r="FUR42"/>
      <c r="FUS42"/>
      <c r="FUT42"/>
      <c r="FUU42"/>
      <c r="FUV42"/>
      <c r="FUW42"/>
      <c r="FUX42"/>
      <c r="FUY42"/>
      <c r="FUZ42"/>
      <c r="FVA42"/>
      <c r="FVB42"/>
      <c r="FVC42"/>
      <c r="FVD42"/>
      <c r="FVE42"/>
      <c r="FVF42"/>
      <c r="FVG42"/>
      <c r="FVH42"/>
      <c r="FVI42"/>
      <c r="FVJ42"/>
      <c r="FVK42"/>
      <c r="FVL42"/>
      <c r="FVM42"/>
      <c r="FVN42"/>
      <c r="FVO42"/>
      <c r="FVP42"/>
      <c r="FVQ42"/>
      <c r="FVR42"/>
      <c r="FVS42"/>
      <c r="FVT42"/>
      <c r="FVU42"/>
      <c r="FVV42"/>
      <c r="FVW42"/>
      <c r="FVX42"/>
      <c r="FVY42"/>
      <c r="FVZ42"/>
      <c r="FWA42"/>
      <c r="FWB42"/>
      <c r="FWC42"/>
      <c r="FWD42"/>
      <c r="FWE42"/>
      <c r="FWF42"/>
      <c r="FWG42"/>
      <c r="FWH42"/>
      <c r="FWI42"/>
      <c r="FWJ42"/>
      <c r="FWK42"/>
      <c r="FWL42"/>
      <c r="FWM42"/>
      <c r="FWN42"/>
      <c r="FWO42"/>
      <c r="FWP42"/>
      <c r="FWQ42"/>
      <c r="FWR42"/>
      <c r="FWS42"/>
      <c r="FWT42"/>
      <c r="FWU42"/>
      <c r="FWV42"/>
      <c r="FWW42"/>
      <c r="FWX42"/>
      <c r="FWY42"/>
      <c r="FWZ42"/>
      <c r="FXA42"/>
      <c r="FXB42"/>
      <c r="FXC42"/>
      <c r="FXD42"/>
      <c r="FXE42"/>
      <c r="FXF42"/>
      <c r="FXG42"/>
      <c r="FXH42"/>
      <c r="FXI42"/>
      <c r="FXJ42"/>
      <c r="FXK42"/>
      <c r="FXL42"/>
      <c r="FXM42"/>
      <c r="FXN42"/>
      <c r="FXO42"/>
      <c r="FXP42"/>
      <c r="FXQ42"/>
      <c r="FXR42"/>
      <c r="FXS42"/>
      <c r="FXT42"/>
      <c r="FXU42"/>
      <c r="FXV42"/>
      <c r="FXW42"/>
      <c r="FXX42"/>
      <c r="FXY42"/>
      <c r="FXZ42"/>
      <c r="FYA42"/>
      <c r="FYB42"/>
      <c r="FYC42"/>
      <c r="FYD42"/>
      <c r="FYE42"/>
      <c r="FYF42"/>
      <c r="FYG42"/>
      <c r="FYH42"/>
      <c r="FYI42"/>
      <c r="FYJ42"/>
      <c r="FYK42"/>
      <c r="FYL42"/>
      <c r="FYM42"/>
      <c r="FYN42"/>
      <c r="FYO42"/>
      <c r="FYP42"/>
      <c r="FYQ42"/>
      <c r="FYR42"/>
      <c r="FYS42"/>
      <c r="FYT42"/>
      <c r="FYU42"/>
      <c r="FYV42"/>
      <c r="FYW42"/>
      <c r="FYX42"/>
      <c r="FYY42"/>
      <c r="FYZ42"/>
      <c r="FZA42"/>
      <c r="FZB42"/>
      <c r="FZC42"/>
      <c r="FZD42"/>
      <c r="FZE42"/>
      <c r="FZF42"/>
      <c r="FZG42"/>
      <c r="FZH42"/>
      <c r="FZI42"/>
      <c r="FZJ42"/>
      <c r="FZK42"/>
      <c r="FZL42"/>
      <c r="FZM42"/>
      <c r="FZN42"/>
      <c r="FZO42"/>
      <c r="FZP42"/>
      <c r="FZQ42"/>
      <c r="FZR42"/>
      <c r="FZS42"/>
      <c r="FZT42"/>
      <c r="FZU42"/>
      <c r="FZV42"/>
      <c r="FZW42"/>
      <c r="FZX42"/>
      <c r="FZY42"/>
      <c r="FZZ42"/>
      <c r="GAA42"/>
      <c r="GAB42"/>
      <c r="GAC42"/>
      <c r="GAD42"/>
      <c r="GAE42"/>
      <c r="GAF42"/>
      <c r="GAG42"/>
      <c r="GAH42"/>
      <c r="GAI42"/>
      <c r="GAJ42"/>
      <c r="GAK42"/>
      <c r="GAL42"/>
      <c r="GAM42"/>
      <c r="GAN42"/>
      <c r="GAO42"/>
      <c r="GAP42"/>
      <c r="GAQ42"/>
      <c r="GAR42"/>
      <c r="GAS42"/>
      <c r="GAT42"/>
      <c r="GAU42"/>
      <c r="GAV42"/>
      <c r="GAW42"/>
      <c r="GAX42"/>
      <c r="GAY42"/>
      <c r="GAZ42"/>
      <c r="GBA42"/>
      <c r="GBB42"/>
      <c r="GBC42"/>
      <c r="GBD42"/>
      <c r="GBE42"/>
      <c r="GBF42"/>
      <c r="GBG42"/>
      <c r="GBH42"/>
      <c r="GBI42"/>
      <c r="GBJ42"/>
      <c r="GBK42"/>
      <c r="GBL42"/>
      <c r="GBM42"/>
      <c r="GBN42"/>
      <c r="GBO42"/>
      <c r="GBP42"/>
      <c r="GBQ42"/>
      <c r="GBR42"/>
      <c r="GBS42"/>
      <c r="GBT42"/>
      <c r="GBU42"/>
      <c r="GBV42"/>
      <c r="GBW42"/>
      <c r="GBX42"/>
      <c r="GBY42"/>
      <c r="GBZ42"/>
      <c r="GCA42"/>
      <c r="GCB42"/>
      <c r="GCC42"/>
      <c r="GCD42"/>
      <c r="GCE42"/>
      <c r="GCF42"/>
      <c r="GCG42"/>
      <c r="GCH42"/>
      <c r="GCI42"/>
      <c r="GCJ42"/>
      <c r="GCK42"/>
      <c r="GCL42"/>
      <c r="GCM42"/>
      <c r="GCN42"/>
      <c r="GCO42"/>
      <c r="GCP42"/>
      <c r="GCQ42"/>
      <c r="GCR42"/>
      <c r="GCS42"/>
      <c r="GCT42"/>
      <c r="GCU42"/>
      <c r="GCV42"/>
      <c r="GCW42"/>
      <c r="GCX42"/>
      <c r="GCY42"/>
      <c r="GCZ42"/>
      <c r="GDA42"/>
      <c r="GDB42"/>
      <c r="GDC42"/>
      <c r="GDD42"/>
      <c r="GDE42"/>
      <c r="GDF42"/>
      <c r="GDG42"/>
      <c r="GDH42"/>
      <c r="GDI42"/>
      <c r="GDJ42"/>
      <c r="GDK42"/>
      <c r="GDL42"/>
      <c r="GDM42"/>
      <c r="GDN42"/>
      <c r="GDO42"/>
      <c r="GDP42"/>
      <c r="GDQ42"/>
      <c r="GDR42"/>
      <c r="GDS42"/>
      <c r="GDT42"/>
      <c r="GDU42"/>
      <c r="GDV42"/>
      <c r="GDW42"/>
      <c r="GDX42"/>
      <c r="GDY42"/>
      <c r="GDZ42"/>
      <c r="GEA42"/>
      <c r="GEB42"/>
      <c r="GEC42"/>
      <c r="GED42"/>
      <c r="GEE42"/>
      <c r="GEF42"/>
      <c r="GEG42"/>
      <c r="GEH42"/>
      <c r="GEI42"/>
      <c r="GEJ42"/>
      <c r="GEK42"/>
      <c r="GEL42"/>
      <c r="GEM42"/>
      <c r="GEN42"/>
      <c r="GEO42"/>
      <c r="GEP42"/>
      <c r="GEQ42"/>
      <c r="GER42"/>
      <c r="GES42"/>
      <c r="GET42"/>
      <c r="GEU42"/>
      <c r="GEV42"/>
      <c r="GEW42"/>
      <c r="GEX42"/>
      <c r="GEY42"/>
      <c r="GEZ42"/>
      <c r="GFA42"/>
      <c r="GFB42"/>
      <c r="GFC42"/>
      <c r="GFD42"/>
      <c r="GFE42"/>
      <c r="GFF42"/>
      <c r="GFG42"/>
      <c r="GFH42"/>
      <c r="GFI42"/>
      <c r="GFJ42"/>
      <c r="GFK42"/>
      <c r="GFL42"/>
      <c r="GFM42"/>
      <c r="GFN42"/>
      <c r="GFO42"/>
      <c r="GFP42"/>
      <c r="GFQ42"/>
      <c r="GFR42"/>
      <c r="GFS42"/>
      <c r="GFT42"/>
      <c r="GFU42"/>
      <c r="GFV42"/>
      <c r="GFW42"/>
      <c r="GFX42"/>
      <c r="GFY42"/>
      <c r="GFZ42"/>
      <c r="GGA42"/>
      <c r="GGB42"/>
      <c r="GGC42"/>
      <c r="GGD42"/>
      <c r="GGE42"/>
      <c r="GGF42"/>
      <c r="GGG42"/>
      <c r="GGH42"/>
      <c r="GGI42"/>
      <c r="GGJ42"/>
      <c r="GGK42"/>
      <c r="GGL42"/>
      <c r="GGM42"/>
      <c r="GGN42"/>
      <c r="GGO42"/>
      <c r="GGP42"/>
      <c r="GGQ42"/>
      <c r="GGR42"/>
      <c r="GGS42"/>
      <c r="GGT42"/>
      <c r="GGU42"/>
      <c r="GGV42"/>
      <c r="GGW42"/>
      <c r="GGX42"/>
      <c r="GGY42"/>
      <c r="GGZ42"/>
      <c r="GHA42"/>
      <c r="GHB42"/>
      <c r="GHC42"/>
      <c r="GHD42"/>
      <c r="GHE42"/>
      <c r="GHF42"/>
      <c r="GHG42"/>
      <c r="GHH42"/>
      <c r="GHI42"/>
      <c r="GHJ42"/>
      <c r="GHK42"/>
      <c r="GHL42"/>
      <c r="GHM42"/>
      <c r="GHN42"/>
      <c r="GHO42"/>
      <c r="GHP42"/>
      <c r="GHQ42"/>
      <c r="GHR42"/>
      <c r="GHS42"/>
      <c r="GHT42"/>
      <c r="GHU42"/>
      <c r="GHV42"/>
      <c r="GHW42"/>
      <c r="GHX42"/>
      <c r="GHY42"/>
      <c r="GHZ42"/>
      <c r="GIA42"/>
      <c r="GIB42"/>
      <c r="GIC42"/>
      <c r="GID42"/>
      <c r="GIE42"/>
      <c r="GIF42"/>
      <c r="GIG42"/>
      <c r="GIH42"/>
      <c r="GII42"/>
      <c r="GIJ42"/>
      <c r="GIK42"/>
      <c r="GIL42"/>
      <c r="GIM42"/>
      <c r="GIN42"/>
      <c r="GIO42"/>
      <c r="GIP42"/>
      <c r="GIQ42"/>
      <c r="GIR42"/>
      <c r="GIS42"/>
      <c r="GIT42"/>
      <c r="GIU42"/>
      <c r="GIV42"/>
      <c r="GIW42"/>
      <c r="GIX42"/>
      <c r="GIY42"/>
      <c r="GIZ42"/>
      <c r="GJA42"/>
      <c r="GJB42"/>
      <c r="GJC42"/>
      <c r="GJD42"/>
      <c r="GJE42"/>
      <c r="GJF42"/>
      <c r="GJG42"/>
      <c r="GJH42"/>
      <c r="GJI42"/>
      <c r="GJJ42"/>
      <c r="GJK42"/>
      <c r="GJL42"/>
      <c r="GJM42"/>
      <c r="GJN42"/>
      <c r="GJO42"/>
      <c r="GJP42"/>
      <c r="GJQ42"/>
      <c r="GJR42"/>
      <c r="GJS42"/>
      <c r="GJT42"/>
      <c r="GJU42"/>
      <c r="GJV42"/>
      <c r="GJW42"/>
      <c r="GJX42"/>
      <c r="GJY42"/>
      <c r="GJZ42"/>
      <c r="GKA42"/>
      <c r="GKB42"/>
      <c r="GKC42"/>
      <c r="GKD42"/>
      <c r="GKE42"/>
      <c r="GKF42"/>
      <c r="GKG42"/>
      <c r="GKH42"/>
      <c r="GKI42"/>
      <c r="GKJ42"/>
      <c r="GKK42"/>
      <c r="GKL42"/>
      <c r="GKM42"/>
      <c r="GKN42"/>
      <c r="GKO42"/>
      <c r="GKP42"/>
      <c r="GKQ42"/>
      <c r="GKR42"/>
      <c r="GKS42"/>
      <c r="GKT42"/>
      <c r="GKU42"/>
      <c r="GKV42"/>
      <c r="GKW42"/>
      <c r="GKX42"/>
      <c r="GKY42"/>
      <c r="GKZ42"/>
      <c r="GLA42"/>
      <c r="GLB42"/>
      <c r="GLC42"/>
      <c r="GLD42"/>
      <c r="GLE42"/>
      <c r="GLF42"/>
      <c r="GLG42"/>
      <c r="GLH42"/>
      <c r="GLI42"/>
      <c r="GLJ42"/>
      <c r="GLK42"/>
      <c r="GLL42"/>
      <c r="GLM42"/>
      <c r="GLN42"/>
      <c r="GLO42"/>
      <c r="GLP42"/>
      <c r="GLQ42"/>
      <c r="GLR42"/>
      <c r="GLS42"/>
      <c r="GLT42"/>
      <c r="GLU42"/>
      <c r="GLV42"/>
      <c r="GLW42"/>
      <c r="GLX42"/>
      <c r="GLY42"/>
      <c r="GLZ42"/>
      <c r="GMA42"/>
      <c r="GMB42"/>
      <c r="GMC42"/>
      <c r="GMD42"/>
      <c r="GME42"/>
      <c r="GMF42"/>
      <c r="GMG42"/>
      <c r="GMH42"/>
      <c r="GMI42"/>
      <c r="GMJ42"/>
      <c r="GMK42"/>
      <c r="GML42"/>
      <c r="GMM42"/>
      <c r="GMN42"/>
      <c r="GMO42"/>
      <c r="GMP42"/>
      <c r="GMQ42"/>
      <c r="GMR42"/>
      <c r="GMS42"/>
      <c r="GMT42"/>
      <c r="GMU42"/>
      <c r="GMV42"/>
      <c r="GMW42"/>
      <c r="GMX42"/>
      <c r="GMY42"/>
      <c r="GMZ42"/>
      <c r="GNA42"/>
      <c r="GNB42"/>
      <c r="GNC42"/>
      <c r="GND42"/>
      <c r="GNE42"/>
      <c r="GNF42"/>
      <c r="GNG42"/>
      <c r="GNH42"/>
      <c r="GNI42"/>
      <c r="GNJ42"/>
      <c r="GNK42"/>
      <c r="GNL42"/>
      <c r="GNM42"/>
      <c r="GNN42"/>
      <c r="GNO42"/>
      <c r="GNP42"/>
      <c r="GNQ42"/>
      <c r="GNR42"/>
      <c r="GNS42"/>
      <c r="GNT42"/>
      <c r="GNU42"/>
      <c r="GNV42"/>
      <c r="GNW42"/>
      <c r="GNX42"/>
      <c r="GNY42"/>
      <c r="GNZ42"/>
      <c r="GOA42"/>
      <c r="GOB42"/>
      <c r="GOC42"/>
      <c r="GOD42"/>
      <c r="GOE42"/>
      <c r="GOF42"/>
      <c r="GOG42"/>
      <c r="GOH42"/>
      <c r="GOI42"/>
      <c r="GOJ42"/>
      <c r="GOK42"/>
      <c r="GOL42"/>
      <c r="GOM42"/>
      <c r="GON42"/>
      <c r="GOO42"/>
      <c r="GOP42"/>
      <c r="GOQ42"/>
      <c r="GOR42"/>
      <c r="GOS42"/>
      <c r="GOT42"/>
      <c r="GOU42"/>
      <c r="GOV42"/>
      <c r="GOW42"/>
      <c r="GOX42"/>
      <c r="GOY42"/>
      <c r="GOZ42"/>
      <c r="GPA42"/>
      <c r="GPB42"/>
      <c r="GPC42"/>
      <c r="GPD42"/>
      <c r="GPE42"/>
      <c r="GPF42"/>
      <c r="GPG42"/>
      <c r="GPH42"/>
      <c r="GPI42"/>
      <c r="GPJ42"/>
      <c r="GPK42"/>
      <c r="GPL42"/>
      <c r="GPM42"/>
      <c r="GPN42"/>
      <c r="GPO42"/>
      <c r="GPP42"/>
      <c r="GPQ42"/>
      <c r="GPR42"/>
      <c r="GPS42"/>
      <c r="GPT42"/>
      <c r="GPU42"/>
      <c r="GPV42"/>
      <c r="GPW42"/>
      <c r="GPX42"/>
      <c r="GPY42"/>
      <c r="GPZ42"/>
      <c r="GQA42"/>
      <c r="GQB42"/>
      <c r="GQC42"/>
      <c r="GQD42"/>
      <c r="GQE42"/>
      <c r="GQF42"/>
      <c r="GQG42"/>
      <c r="GQH42"/>
      <c r="GQI42"/>
      <c r="GQJ42"/>
      <c r="GQK42"/>
      <c r="GQL42"/>
      <c r="GQM42"/>
      <c r="GQN42"/>
      <c r="GQO42"/>
      <c r="GQP42"/>
      <c r="GQQ42"/>
      <c r="GQR42"/>
      <c r="GQS42"/>
      <c r="GQT42"/>
      <c r="GQU42"/>
      <c r="GQV42"/>
      <c r="GQW42"/>
      <c r="GQX42"/>
      <c r="GQY42"/>
      <c r="GQZ42"/>
      <c r="GRA42"/>
      <c r="GRB42"/>
      <c r="GRC42"/>
      <c r="GRD42"/>
      <c r="GRE42"/>
      <c r="GRF42"/>
      <c r="GRG42"/>
      <c r="GRH42"/>
      <c r="GRI42"/>
      <c r="GRJ42"/>
      <c r="GRK42"/>
      <c r="GRL42"/>
      <c r="GRM42"/>
      <c r="GRN42"/>
      <c r="GRO42"/>
      <c r="GRP42"/>
      <c r="GRQ42"/>
      <c r="GRR42"/>
      <c r="GRS42"/>
      <c r="GRT42"/>
      <c r="GRU42"/>
      <c r="GRV42"/>
      <c r="GRW42"/>
      <c r="GRX42"/>
      <c r="GRY42"/>
      <c r="GRZ42"/>
      <c r="GSA42"/>
      <c r="GSB42"/>
      <c r="GSC42"/>
      <c r="GSD42"/>
      <c r="GSE42"/>
      <c r="GSF42"/>
      <c r="GSG42"/>
      <c r="GSH42"/>
      <c r="GSI42"/>
      <c r="GSJ42"/>
      <c r="GSK42"/>
      <c r="GSL42"/>
      <c r="GSM42"/>
      <c r="GSN42"/>
      <c r="GSO42"/>
      <c r="GSP42"/>
      <c r="GSQ42"/>
      <c r="GSR42"/>
      <c r="GSS42"/>
      <c r="GST42"/>
      <c r="GSU42"/>
      <c r="GSV42"/>
      <c r="GSW42"/>
      <c r="GSX42"/>
      <c r="GSY42"/>
      <c r="GSZ42"/>
      <c r="GTA42"/>
      <c r="GTB42"/>
      <c r="GTC42"/>
      <c r="GTD42"/>
      <c r="GTE42"/>
      <c r="GTF42"/>
      <c r="GTG42"/>
      <c r="GTH42"/>
      <c r="GTI42"/>
      <c r="GTJ42"/>
      <c r="GTK42"/>
      <c r="GTL42"/>
      <c r="GTM42"/>
      <c r="GTN42"/>
      <c r="GTO42"/>
      <c r="GTP42"/>
      <c r="GTQ42"/>
      <c r="GTR42"/>
      <c r="GTS42"/>
      <c r="GTT42"/>
      <c r="GTU42"/>
      <c r="GTV42"/>
      <c r="GTW42"/>
      <c r="GTX42"/>
      <c r="GTY42"/>
      <c r="GTZ42"/>
      <c r="GUA42"/>
      <c r="GUB42"/>
      <c r="GUC42"/>
      <c r="GUD42"/>
      <c r="GUE42"/>
      <c r="GUF42"/>
      <c r="GUG42"/>
      <c r="GUH42"/>
      <c r="GUI42"/>
      <c r="GUJ42"/>
      <c r="GUK42"/>
      <c r="GUL42"/>
      <c r="GUM42"/>
      <c r="GUN42"/>
      <c r="GUO42"/>
      <c r="GUP42"/>
      <c r="GUQ42"/>
      <c r="GUR42"/>
      <c r="GUS42"/>
      <c r="GUT42"/>
      <c r="GUU42"/>
      <c r="GUV42"/>
      <c r="GUW42"/>
      <c r="GUX42"/>
      <c r="GUY42"/>
      <c r="GUZ42"/>
      <c r="GVA42"/>
      <c r="GVB42"/>
      <c r="GVC42"/>
      <c r="GVD42"/>
      <c r="GVE42"/>
      <c r="GVF42"/>
      <c r="GVG42"/>
      <c r="GVH42"/>
      <c r="GVI42"/>
      <c r="GVJ42"/>
      <c r="GVK42"/>
      <c r="GVL42"/>
      <c r="GVM42"/>
      <c r="GVN42"/>
      <c r="GVO42"/>
      <c r="GVP42"/>
      <c r="GVQ42"/>
      <c r="GVR42"/>
      <c r="GVS42"/>
      <c r="GVT42"/>
      <c r="GVU42"/>
      <c r="GVV42"/>
      <c r="GVW42"/>
      <c r="GVX42"/>
      <c r="GVY42"/>
      <c r="GVZ42"/>
      <c r="GWA42"/>
      <c r="GWB42"/>
      <c r="GWC42"/>
      <c r="GWD42"/>
      <c r="GWE42"/>
      <c r="GWF42"/>
      <c r="GWG42"/>
      <c r="GWH42"/>
      <c r="GWI42"/>
      <c r="GWJ42"/>
      <c r="GWK42"/>
      <c r="GWL42"/>
      <c r="GWM42"/>
      <c r="GWN42"/>
      <c r="GWO42"/>
      <c r="GWP42"/>
      <c r="GWQ42"/>
      <c r="GWR42"/>
      <c r="GWS42"/>
      <c r="GWT42"/>
      <c r="GWU42"/>
      <c r="GWV42"/>
      <c r="GWW42"/>
      <c r="GWX42"/>
      <c r="GWY42"/>
      <c r="GWZ42"/>
      <c r="GXA42"/>
      <c r="GXB42"/>
      <c r="GXC42"/>
      <c r="GXD42"/>
      <c r="GXE42"/>
      <c r="GXF42"/>
      <c r="GXG42"/>
      <c r="GXH42"/>
      <c r="GXI42"/>
      <c r="GXJ42"/>
      <c r="GXK42"/>
      <c r="GXL42"/>
      <c r="GXM42"/>
      <c r="GXN42"/>
      <c r="GXO42"/>
      <c r="GXP42"/>
      <c r="GXQ42"/>
      <c r="GXR42"/>
      <c r="GXS42"/>
      <c r="GXT42"/>
      <c r="GXU42"/>
      <c r="GXV42"/>
      <c r="GXW42"/>
      <c r="GXX42"/>
      <c r="GXY42"/>
      <c r="GXZ42"/>
      <c r="GYA42"/>
      <c r="GYB42"/>
      <c r="GYC42"/>
      <c r="GYD42"/>
      <c r="GYE42"/>
      <c r="GYF42"/>
      <c r="GYG42"/>
      <c r="GYH42"/>
      <c r="GYI42"/>
      <c r="GYJ42"/>
      <c r="GYK42"/>
      <c r="GYL42"/>
      <c r="GYM42"/>
      <c r="GYN42"/>
      <c r="GYO42"/>
      <c r="GYP42"/>
      <c r="GYQ42"/>
      <c r="GYR42"/>
      <c r="GYS42"/>
      <c r="GYT42"/>
      <c r="GYU42"/>
      <c r="GYV42"/>
      <c r="GYW42"/>
      <c r="GYX42"/>
      <c r="GYY42"/>
      <c r="GYZ42"/>
      <c r="GZA42"/>
      <c r="GZB42"/>
      <c r="GZC42"/>
      <c r="GZD42"/>
      <c r="GZE42"/>
      <c r="GZF42"/>
      <c r="GZG42"/>
      <c r="GZH42"/>
      <c r="GZI42"/>
      <c r="GZJ42"/>
      <c r="GZK42"/>
      <c r="GZL42"/>
      <c r="GZM42"/>
      <c r="GZN42"/>
      <c r="GZO42"/>
      <c r="GZP42"/>
      <c r="GZQ42"/>
      <c r="GZR42"/>
      <c r="GZS42"/>
      <c r="GZT42"/>
      <c r="GZU42"/>
      <c r="GZV42"/>
      <c r="GZW42"/>
      <c r="GZX42"/>
      <c r="GZY42"/>
      <c r="GZZ42"/>
      <c r="HAA42"/>
      <c r="HAB42"/>
      <c r="HAC42"/>
      <c r="HAD42"/>
      <c r="HAE42"/>
      <c r="HAF42"/>
      <c r="HAG42"/>
      <c r="HAH42"/>
      <c r="HAI42"/>
      <c r="HAJ42"/>
      <c r="HAK42"/>
      <c r="HAL42"/>
      <c r="HAM42"/>
      <c r="HAN42"/>
      <c r="HAO42"/>
      <c r="HAP42"/>
      <c r="HAQ42"/>
      <c r="HAR42"/>
      <c r="HAS42"/>
      <c r="HAT42"/>
      <c r="HAU42"/>
      <c r="HAV42"/>
      <c r="HAW42"/>
      <c r="HAX42"/>
      <c r="HAY42"/>
      <c r="HAZ42"/>
      <c r="HBA42"/>
      <c r="HBB42"/>
      <c r="HBC42"/>
      <c r="HBD42"/>
      <c r="HBE42"/>
      <c r="HBF42"/>
      <c r="HBG42"/>
      <c r="HBH42"/>
      <c r="HBI42"/>
      <c r="HBJ42"/>
      <c r="HBK42"/>
      <c r="HBL42"/>
      <c r="HBM42"/>
      <c r="HBN42"/>
      <c r="HBO42"/>
      <c r="HBP42"/>
      <c r="HBQ42"/>
      <c r="HBR42"/>
      <c r="HBS42"/>
      <c r="HBT42"/>
      <c r="HBU42"/>
      <c r="HBV42"/>
      <c r="HBW42"/>
      <c r="HBX42"/>
      <c r="HBY42"/>
      <c r="HBZ42"/>
      <c r="HCA42"/>
      <c r="HCB42"/>
      <c r="HCC42"/>
      <c r="HCD42"/>
      <c r="HCE42"/>
      <c r="HCF42"/>
      <c r="HCG42"/>
      <c r="HCH42"/>
      <c r="HCI42"/>
      <c r="HCJ42"/>
      <c r="HCK42"/>
      <c r="HCL42"/>
      <c r="HCM42"/>
      <c r="HCN42"/>
      <c r="HCO42"/>
      <c r="HCP42"/>
      <c r="HCQ42"/>
      <c r="HCR42"/>
      <c r="HCS42"/>
      <c r="HCT42"/>
      <c r="HCU42"/>
      <c r="HCV42"/>
      <c r="HCW42"/>
      <c r="HCX42"/>
      <c r="HCY42"/>
      <c r="HCZ42"/>
      <c r="HDA42"/>
      <c r="HDB42"/>
      <c r="HDC42"/>
      <c r="HDD42"/>
      <c r="HDE42"/>
      <c r="HDF42"/>
      <c r="HDG42"/>
      <c r="HDH42"/>
      <c r="HDI42"/>
      <c r="HDJ42"/>
      <c r="HDK42"/>
      <c r="HDL42"/>
      <c r="HDM42"/>
      <c r="HDN42"/>
      <c r="HDO42"/>
      <c r="HDP42"/>
      <c r="HDQ42"/>
      <c r="HDR42"/>
      <c r="HDS42"/>
      <c r="HDT42"/>
      <c r="HDU42"/>
      <c r="HDV42"/>
      <c r="HDW42"/>
      <c r="HDX42"/>
      <c r="HDY42"/>
      <c r="HDZ42"/>
      <c r="HEA42"/>
      <c r="HEB42"/>
      <c r="HEC42"/>
      <c r="HED42"/>
      <c r="HEE42"/>
      <c r="HEF42"/>
      <c r="HEG42"/>
      <c r="HEH42"/>
      <c r="HEI42"/>
      <c r="HEJ42"/>
      <c r="HEK42"/>
      <c r="HEL42"/>
      <c r="HEM42"/>
      <c r="HEN42"/>
      <c r="HEO42"/>
      <c r="HEP42"/>
      <c r="HEQ42"/>
      <c r="HER42"/>
      <c r="HES42"/>
      <c r="HET42"/>
      <c r="HEU42"/>
      <c r="HEV42"/>
      <c r="HEW42"/>
      <c r="HEX42"/>
      <c r="HEY42"/>
      <c r="HEZ42"/>
      <c r="HFA42"/>
      <c r="HFB42"/>
      <c r="HFC42"/>
      <c r="HFD42"/>
      <c r="HFE42"/>
      <c r="HFF42"/>
      <c r="HFG42"/>
      <c r="HFH42"/>
      <c r="HFI42"/>
      <c r="HFJ42"/>
      <c r="HFK42"/>
      <c r="HFL42"/>
      <c r="HFM42"/>
      <c r="HFN42"/>
      <c r="HFO42"/>
      <c r="HFP42"/>
      <c r="HFQ42"/>
      <c r="HFR42"/>
      <c r="HFS42"/>
      <c r="HFT42"/>
      <c r="HFU42"/>
      <c r="HFV42"/>
      <c r="HFW42"/>
      <c r="HFX42"/>
      <c r="HFY42"/>
      <c r="HFZ42"/>
      <c r="HGA42"/>
      <c r="HGB42"/>
      <c r="HGC42"/>
      <c r="HGD42"/>
      <c r="HGE42"/>
      <c r="HGF42"/>
      <c r="HGG42"/>
      <c r="HGH42"/>
      <c r="HGI42"/>
      <c r="HGJ42"/>
      <c r="HGK42"/>
      <c r="HGL42"/>
      <c r="HGM42"/>
      <c r="HGN42"/>
      <c r="HGO42"/>
      <c r="HGP42"/>
      <c r="HGQ42"/>
      <c r="HGR42"/>
      <c r="HGS42"/>
      <c r="HGT42"/>
      <c r="HGU42"/>
      <c r="HGV42"/>
      <c r="HGW42"/>
      <c r="HGX42"/>
      <c r="HGY42"/>
      <c r="HGZ42"/>
      <c r="HHA42"/>
      <c r="HHB42"/>
      <c r="HHC42"/>
      <c r="HHD42"/>
      <c r="HHE42"/>
      <c r="HHF42"/>
      <c r="HHG42"/>
      <c r="HHH42"/>
      <c r="HHI42"/>
      <c r="HHJ42"/>
      <c r="HHK42"/>
      <c r="HHL42"/>
      <c r="HHM42"/>
      <c r="HHN42"/>
      <c r="HHO42"/>
      <c r="HHP42"/>
      <c r="HHQ42"/>
      <c r="HHR42"/>
      <c r="HHS42"/>
      <c r="HHT42"/>
      <c r="HHU42"/>
      <c r="HHV42"/>
      <c r="HHW42"/>
      <c r="HHX42"/>
      <c r="HHY42"/>
      <c r="HHZ42"/>
      <c r="HIA42"/>
      <c r="HIB42"/>
      <c r="HIC42"/>
      <c r="HID42"/>
      <c r="HIE42"/>
      <c r="HIF42"/>
      <c r="HIG42"/>
      <c r="HIH42"/>
      <c r="HII42"/>
      <c r="HIJ42"/>
      <c r="HIK42"/>
      <c r="HIL42"/>
      <c r="HIM42"/>
      <c r="HIN42"/>
      <c r="HIO42"/>
      <c r="HIP42"/>
      <c r="HIQ42"/>
      <c r="HIR42"/>
      <c r="HIS42"/>
      <c r="HIT42"/>
      <c r="HIU42"/>
      <c r="HIV42"/>
      <c r="HIW42"/>
      <c r="HIX42"/>
      <c r="HIY42"/>
      <c r="HIZ42"/>
      <c r="HJA42"/>
      <c r="HJB42"/>
      <c r="HJC42"/>
      <c r="HJD42"/>
      <c r="HJE42"/>
      <c r="HJF42"/>
      <c r="HJG42"/>
      <c r="HJH42"/>
      <c r="HJI42"/>
      <c r="HJJ42"/>
      <c r="HJK42"/>
      <c r="HJL42"/>
      <c r="HJM42"/>
      <c r="HJN42"/>
      <c r="HJO42"/>
      <c r="HJP42"/>
      <c r="HJQ42"/>
      <c r="HJR42"/>
      <c r="HJS42"/>
      <c r="HJT42"/>
      <c r="HJU42"/>
      <c r="HJV42"/>
      <c r="HJW42"/>
      <c r="HJX42"/>
      <c r="HJY42"/>
      <c r="HJZ42"/>
      <c r="HKA42"/>
      <c r="HKB42"/>
      <c r="HKC42"/>
      <c r="HKD42"/>
      <c r="HKE42"/>
      <c r="HKF42"/>
      <c r="HKG42"/>
      <c r="HKH42"/>
      <c r="HKI42"/>
      <c r="HKJ42"/>
      <c r="HKK42"/>
      <c r="HKL42"/>
      <c r="HKM42"/>
      <c r="HKN42"/>
      <c r="HKO42"/>
      <c r="HKP42"/>
      <c r="HKQ42"/>
      <c r="HKR42"/>
      <c r="HKS42"/>
      <c r="HKT42"/>
      <c r="HKU42"/>
      <c r="HKV42"/>
      <c r="HKW42"/>
      <c r="HKX42"/>
      <c r="HKY42"/>
      <c r="HKZ42"/>
      <c r="HLA42"/>
      <c r="HLB42"/>
      <c r="HLC42"/>
      <c r="HLD42"/>
      <c r="HLE42"/>
      <c r="HLF42"/>
      <c r="HLG42"/>
      <c r="HLH42"/>
      <c r="HLI42"/>
      <c r="HLJ42"/>
      <c r="HLK42"/>
      <c r="HLL42"/>
      <c r="HLM42"/>
      <c r="HLN42"/>
      <c r="HLO42"/>
      <c r="HLP42"/>
      <c r="HLQ42"/>
      <c r="HLR42"/>
      <c r="HLS42"/>
      <c r="HLT42"/>
      <c r="HLU42"/>
      <c r="HLV42"/>
      <c r="HLW42"/>
      <c r="HLX42"/>
      <c r="HLY42"/>
      <c r="HLZ42"/>
      <c r="HMA42"/>
      <c r="HMB42"/>
      <c r="HMC42"/>
      <c r="HMD42"/>
      <c r="HME42"/>
      <c r="HMF42"/>
      <c r="HMG42"/>
      <c r="HMH42"/>
      <c r="HMI42"/>
      <c r="HMJ42"/>
      <c r="HMK42"/>
      <c r="HML42"/>
      <c r="HMM42"/>
      <c r="HMN42"/>
      <c r="HMO42"/>
      <c r="HMP42"/>
      <c r="HMQ42"/>
      <c r="HMR42"/>
      <c r="HMS42"/>
      <c r="HMT42"/>
      <c r="HMU42"/>
      <c r="HMV42"/>
      <c r="HMW42"/>
      <c r="HMX42"/>
      <c r="HMY42"/>
      <c r="HMZ42"/>
      <c r="HNA42"/>
      <c r="HNB42"/>
      <c r="HNC42"/>
      <c r="HND42"/>
      <c r="HNE42"/>
      <c r="HNF42"/>
      <c r="HNG42"/>
      <c r="HNH42"/>
      <c r="HNI42"/>
      <c r="HNJ42"/>
      <c r="HNK42"/>
      <c r="HNL42"/>
      <c r="HNM42"/>
      <c r="HNN42"/>
      <c r="HNO42"/>
      <c r="HNP42"/>
      <c r="HNQ42"/>
      <c r="HNR42"/>
      <c r="HNS42"/>
      <c r="HNT42"/>
      <c r="HNU42"/>
      <c r="HNV42"/>
      <c r="HNW42"/>
      <c r="HNX42"/>
      <c r="HNY42"/>
      <c r="HNZ42"/>
      <c r="HOA42"/>
      <c r="HOB42"/>
      <c r="HOC42"/>
      <c r="HOD42"/>
      <c r="HOE42"/>
      <c r="HOF42"/>
      <c r="HOG42"/>
      <c r="HOH42"/>
      <c r="HOI42"/>
      <c r="HOJ42"/>
      <c r="HOK42"/>
      <c r="HOL42"/>
      <c r="HOM42"/>
      <c r="HON42"/>
      <c r="HOO42"/>
      <c r="HOP42"/>
      <c r="HOQ42"/>
      <c r="HOR42"/>
      <c r="HOS42"/>
      <c r="HOT42"/>
      <c r="HOU42"/>
      <c r="HOV42"/>
      <c r="HOW42"/>
      <c r="HOX42"/>
      <c r="HOY42"/>
      <c r="HOZ42"/>
      <c r="HPA42"/>
      <c r="HPB42"/>
      <c r="HPC42"/>
      <c r="HPD42"/>
      <c r="HPE42"/>
      <c r="HPF42"/>
      <c r="HPG42"/>
      <c r="HPH42"/>
      <c r="HPI42"/>
      <c r="HPJ42"/>
      <c r="HPK42"/>
      <c r="HPL42"/>
      <c r="HPM42"/>
      <c r="HPN42"/>
      <c r="HPO42"/>
      <c r="HPP42"/>
      <c r="HPQ42"/>
      <c r="HPR42"/>
      <c r="HPS42"/>
      <c r="HPT42"/>
      <c r="HPU42"/>
      <c r="HPV42"/>
      <c r="HPW42"/>
      <c r="HPX42"/>
      <c r="HPY42"/>
      <c r="HPZ42"/>
      <c r="HQA42"/>
      <c r="HQB42"/>
      <c r="HQC42"/>
      <c r="HQD42"/>
      <c r="HQE42"/>
      <c r="HQF42"/>
      <c r="HQG42"/>
      <c r="HQH42"/>
      <c r="HQI42"/>
      <c r="HQJ42"/>
      <c r="HQK42"/>
      <c r="HQL42"/>
      <c r="HQM42"/>
      <c r="HQN42"/>
      <c r="HQO42"/>
      <c r="HQP42"/>
      <c r="HQQ42"/>
      <c r="HQR42"/>
      <c r="HQS42"/>
      <c r="HQT42"/>
      <c r="HQU42"/>
      <c r="HQV42"/>
      <c r="HQW42"/>
      <c r="HQX42"/>
      <c r="HQY42"/>
      <c r="HQZ42"/>
      <c r="HRA42"/>
      <c r="HRB42"/>
      <c r="HRC42"/>
      <c r="HRD42"/>
      <c r="HRE42"/>
      <c r="HRF42"/>
      <c r="HRG42"/>
      <c r="HRH42"/>
      <c r="HRI42"/>
      <c r="HRJ42"/>
      <c r="HRK42"/>
      <c r="HRL42"/>
      <c r="HRM42"/>
      <c r="HRN42"/>
      <c r="HRO42"/>
      <c r="HRP42"/>
      <c r="HRQ42"/>
      <c r="HRR42"/>
      <c r="HRS42"/>
      <c r="HRT42"/>
      <c r="HRU42"/>
      <c r="HRV42"/>
      <c r="HRW42"/>
      <c r="HRX42"/>
      <c r="HRY42"/>
      <c r="HRZ42"/>
      <c r="HSA42"/>
      <c r="HSB42"/>
      <c r="HSC42"/>
      <c r="HSD42"/>
      <c r="HSE42"/>
      <c r="HSF42"/>
      <c r="HSG42"/>
      <c r="HSH42"/>
      <c r="HSI42"/>
      <c r="HSJ42"/>
      <c r="HSK42"/>
      <c r="HSL42"/>
      <c r="HSM42"/>
      <c r="HSN42"/>
      <c r="HSO42"/>
      <c r="HSP42"/>
      <c r="HSQ42"/>
      <c r="HSR42"/>
      <c r="HSS42"/>
      <c r="HST42"/>
      <c r="HSU42"/>
      <c r="HSV42"/>
      <c r="HSW42"/>
      <c r="HSX42"/>
      <c r="HSY42"/>
      <c r="HSZ42"/>
      <c r="HTA42"/>
      <c r="HTB42"/>
      <c r="HTC42"/>
      <c r="HTD42"/>
      <c r="HTE42"/>
      <c r="HTF42"/>
      <c r="HTG42"/>
      <c r="HTH42"/>
      <c r="HTI42"/>
      <c r="HTJ42"/>
      <c r="HTK42"/>
      <c r="HTL42"/>
      <c r="HTM42"/>
      <c r="HTN42"/>
      <c r="HTO42"/>
      <c r="HTP42"/>
      <c r="HTQ42"/>
      <c r="HTR42"/>
      <c r="HTS42"/>
      <c r="HTT42"/>
      <c r="HTU42"/>
      <c r="HTV42"/>
      <c r="HTW42"/>
      <c r="HTX42"/>
      <c r="HTY42"/>
      <c r="HTZ42"/>
      <c r="HUA42"/>
      <c r="HUB42"/>
      <c r="HUC42"/>
      <c r="HUD42"/>
      <c r="HUE42"/>
      <c r="HUF42"/>
      <c r="HUG42"/>
      <c r="HUH42"/>
      <c r="HUI42"/>
      <c r="HUJ42"/>
      <c r="HUK42"/>
      <c r="HUL42"/>
      <c r="HUM42"/>
      <c r="HUN42"/>
      <c r="HUO42"/>
      <c r="HUP42"/>
      <c r="HUQ42"/>
      <c r="HUR42"/>
      <c r="HUS42"/>
      <c r="HUT42"/>
      <c r="HUU42"/>
      <c r="HUV42"/>
      <c r="HUW42"/>
      <c r="HUX42"/>
      <c r="HUY42"/>
      <c r="HUZ42"/>
      <c r="HVA42"/>
      <c r="HVB42"/>
      <c r="HVC42"/>
      <c r="HVD42"/>
      <c r="HVE42"/>
      <c r="HVF42"/>
      <c r="HVG42"/>
      <c r="HVH42"/>
      <c r="HVI42"/>
      <c r="HVJ42"/>
      <c r="HVK42"/>
      <c r="HVL42"/>
      <c r="HVM42"/>
      <c r="HVN42"/>
      <c r="HVO42"/>
      <c r="HVP42"/>
      <c r="HVQ42"/>
      <c r="HVR42"/>
      <c r="HVS42"/>
      <c r="HVT42"/>
      <c r="HVU42"/>
      <c r="HVV42"/>
      <c r="HVW42"/>
      <c r="HVX42"/>
      <c r="HVY42"/>
      <c r="HVZ42"/>
      <c r="HWA42"/>
      <c r="HWB42"/>
      <c r="HWC42"/>
      <c r="HWD42"/>
      <c r="HWE42"/>
      <c r="HWF42"/>
      <c r="HWG42"/>
      <c r="HWH42"/>
      <c r="HWI42"/>
      <c r="HWJ42"/>
      <c r="HWK42"/>
      <c r="HWL42"/>
      <c r="HWM42"/>
      <c r="HWN42"/>
      <c r="HWO42"/>
      <c r="HWP42"/>
      <c r="HWQ42"/>
      <c r="HWR42"/>
      <c r="HWS42"/>
      <c r="HWT42"/>
      <c r="HWU42"/>
      <c r="HWV42"/>
      <c r="HWW42"/>
      <c r="HWX42"/>
      <c r="HWY42"/>
      <c r="HWZ42"/>
      <c r="HXA42"/>
      <c r="HXB42"/>
      <c r="HXC42"/>
      <c r="HXD42"/>
      <c r="HXE42"/>
      <c r="HXF42"/>
      <c r="HXG42"/>
      <c r="HXH42"/>
      <c r="HXI42"/>
      <c r="HXJ42"/>
      <c r="HXK42"/>
      <c r="HXL42"/>
      <c r="HXM42"/>
      <c r="HXN42"/>
      <c r="HXO42"/>
      <c r="HXP42"/>
      <c r="HXQ42"/>
      <c r="HXR42"/>
      <c r="HXS42"/>
      <c r="HXT42"/>
      <c r="HXU42"/>
      <c r="HXV42"/>
      <c r="HXW42"/>
      <c r="HXX42"/>
      <c r="HXY42"/>
      <c r="HXZ42"/>
      <c r="HYA42"/>
      <c r="HYB42"/>
      <c r="HYC42"/>
      <c r="HYD42"/>
      <c r="HYE42"/>
      <c r="HYF42"/>
      <c r="HYG42"/>
      <c r="HYH42"/>
      <c r="HYI42"/>
      <c r="HYJ42"/>
      <c r="HYK42"/>
      <c r="HYL42"/>
      <c r="HYM42"/>
      <c r="HYN42"/>
      <c r="HYO42"/>
      <c r="HYP42"/>
      <c r="HYQ42"/>
      <c r="HYR42"/>
      <c r="HYS42"/>
      <c r="HYT42"/>
      <c r="HYU42"/>
      <c r="HYV42"/>
      <c r="HYW42"/>
      <c r="HYX42"/>
      <c r="HYY42"/>
      <c r="HYZ42"/>
      <c r="HZA42"/>
      <c r="HZB42"/>
      <c r="HZC42"/>
      <c r="HZD42"/>
      <c r="HZE42"/>
      <c r="HZF42"/>
      <c r="HZG42"/>
      <c r="HZH42"/>
      <c r="HZI42"/>
      <c r="HZJ42"/>
      <c r="HZK42"/>
      <c r="HZL42"/>
      <c r="HZM42"/>
      <c r="HZN42"/>
      <c r="HZO42"/>
      <c r="HZP42"/>
      <c r="HZQ42"/>
      <c r="HZR42"/>
      <c r="HZS42"/>
      <c r="HZT42"/>
      <c r="HZU42"/>
      <c r="HZV42"/>
      <c r="HZW42"/>
      <c r="HZX42"/>
      <c r="HZY42"/>
      <c r="HZZ42"/>
      <c r="IAA42"/>
      <c r="IAB42"/>
      <c r="IAC42"/>
      <c r="IAD42"/>
      <c r="IAE42"/>
      <c r="IAF42"/>
      <c r="IAG42"/>
      <c r="IAH42"/>
      <c r="IAI42"/>
      <c r="IAJ42"/>
      <c r="IAK42"/>
      <c r="IAL42"/>
      <c r="IAM42"/>
      <c r="IAN42"/>
      <c r="IAO42"/>
      <c r="IAP42"/>
      <c r="IAQ42"/>
      <c r="IAR42"/>
      <c r="IAS42"/>
      <c r="IAT42"/>
      <c r="IAU42"/>
      <c r="IAV42"/>
      <c r="IAW42"/>
      <c r="IAX42"/>
      <c r="IAY42"/>
      <c r="IAZ42"/>
      <c r="IBA42"/>
      <c r="IBB42"/>
      <c r="IBC42"/>
      <c r="IBD42"/>
      <c r="IBE42"/>
      <c r="IBF42"/>
      <c r="IBG42"/>
      <c r="IBH42"/>
      <c r="IBI42"/>
      <c r="IBJ42"/>
      <c r="IBK42"/>
      <c r="IBL42"/>
      <c r="IBM42"/>
      <c r="IBN42"/>
      <c r="IBO42"/>
      <c r="IBP42"/>
      <c r="IBQ42"/>
      <c r="IBR42"/>
      <c r="IBS42"/>
      <c r="IBT42"/>
      <c r="IBU42"/>
      <c r="IBV42"/>
      <c r="IBW42"/>
      <c r="IBX42"/>
      <c r="IBY42"/>
      <c r="IBZ42"/>
      <c r="ICA42"/>
      <c r="ICB42"/>
      <c r="ICC42"/>
      <c r="ICD42"/>
      <c r="ICE42"/>
      <c r="ICF42"/>
      <c r="ICG42"/>
      <c r="ICH42"/>
      <c r="ICI42"/>
      <c r="ICJ42"/>
      <c r="ICK42"/>
      <c r="ICL42"/>
      <c r="ICM42"/>
      <c r="ICN42"/>
      <c r="ICO42"/>
      <c r="ICP42"/>
      <c r="ICQ42"/>
      <c r="ICR42"/>
      <c r="ICS42"/>
      <c r="ICT42"/>
      <c r="ICU42"/>
      <c r="ICV42"/>
      <c r="ICW42"/>
      <c r="ICX42"/>
      <c r="ICY42"/>
      <c r="ICZ42"/>
      <c r="IDA42"/>
      <c r="IDB42"/>
      <c r="IDC42"/>
      <c r="IDD42"/>
      <c r="IDE42"/>
      <c r="IDF42"/>
      <c r="IDG42"/>
      <c r="IDH42"/>
      <c r="IDI42"/>
      <c r="IDJ42"/>
      <c r="IDK42"/>
      <c r="IDL42"/>
      <c r="IDM42"/>
      <c r="IDN42"/>
      <c r="IDO42"/>
      <c r="IDP42"/>
      <c r="IDQ42"/>
      <c r="IDR42"/>
      <c r="IDS42"/>
      <c r="IDT42"/>
      <c r="IDU42"/>
      <c r="IDV42"/>
      <c r="IDW42"/>
      <c r="IDX42"/>
      <c r="IDY42"/>
      <c r="IDZ42"/>
      <c r="IEA42"/>
      <c r="IEB42"/>
      <c r="IEC42"/>
      <c r="IED42"/>
      <c r="IEE42"/>
      <c r="IEF42"/>
      <c r="IEG42"/>
      <c r="IEH42"/>
      <c r="IEI42"/>
      <c r="IEJ42"/>
      <c r="IEK42"/>
      <c r="IEL42"/>
      <c r="IEM42"/>
      <c r="IEN42"/>
      <c r="IEO42"/>
      <c r="IEP42"/>
      <c r="IEQ42"/>
      <c r="IER42"/>
      <c r="IES42"/>
      <c r="IET42"/>
      <c r="IEU42"/>
      <c r="IEV42"/>
      <c r="IEW42"/>
      <c r="IEX42"/>
      <c r="IEY42"/>
      <c r="IEZ42"/>
      <c r="IFA42"/>
      <c r="IFB42"/>
      <c r="IFC42"/>
      <c r="IFD42"/>
      <c r="IFE42"/>
      <c r="IFF42"/>
      <c r="IFG42"/>
      <c r="IFH42"/>
      <c r="IFI42"/>
      <c r="IFJ42"/>
      <c r="IFK42"/>
      <c r="IFL42"/>
      <c r="IFM42"/>
      <c r="IFN42"/>
      <c r="IFO42"/>
      <c r="IFP42"/>
      <c r="IFQ42"/>
      <c r="IFR42"/>
      <c r="IFS42"/>
      <c r="IFT42"/>
      <c r="IFU42"/>
      <c r="IFV42"/>
      <c r="IFW42"/>
      <c r="IFX42"/>
      <c r="IFY42"/>
      <c r="IFZ42"/>
      <c r="IGA42"/>
      <c r="IGB42"/>
      <c r="IGC42"/>
      <c r="IGD42"/>
      <c r="IGE42"/>
      <c r="IGF42"/>
      <c r="IGG42"/>
      <c r="IGH42"/>
      <c r="IGI42"/>
      <c r="IGJ42"/>
      <c r="IGK42"/>
      <c r="IGL42"/>
      <c r="IGM42"/>
      <c r="IGN42"/>
      <c r="IGO42"/>
      <c r="IGP42"/>
      <c r="IGQ42"/>
      <c r="IGR42"/>
      <c r="IGS42"/>
      <c r="IGT42"/>
      <c r="IGU42"/>
      <c r="IGV42"/>
      <c r="IGW42"/>
      <c r="IGX42"/>
      <c r="IGY42"/>
      <c r="IGZ42"/>
      <c r="IHA42"/>
      <c r="IHB42"/>
      <c r="IHC42"/>
      <c r="IHD42"/>
      <c r="IHE42"/>
      <c r="IHF42"/>
      <c r="IHG42"/>
      <c r="IHH42"/>
      <c r="IHI42"/>
      <c r="IHJ42"/>
      <c r="IHK42"/>
      <c r="IHL42"/>
      <c r="IHM42"/>
      <c r="IHN42"/>
      <c r="IHO42"/>
      <c r="IHP42"/>
      <c r="IHQ42"/>
      <c r="IHR42"/>
      <c r="IHS42"/>
      <c r="IHT42"/>
      <c r="IHU42"/>
      <c r="IHV42"/>
      <c r="IHW42"/>
      <c r="IHX42"/>
      <c r="IHY42"/>
      <c r="IHZ42"/>
      <c r="IIA42"/>
      <c r="IIB42"/>
      <c r="IIC42"/>
      <c r="IID42"/>
      <c r="IIE42"/>
      <c r="IIF42"/>
      <c r="IIG42"/>
      <c r="IIH42"/>
      <c r="III42"/>
      <c r="IIJ42"/>
      <c r="IIK42"/>
      <c r="IIL42"/>
      <c r="IIM42"/>
      <c r="IIN42"/>
      <c r="IIO42"/>
      <c r="IIP42"/>
      <c r="IIQ42"/>
      <c r="IIR42"/>
      <c r="IIS42"/>
      <c r="IIT42"/>
      <c r="IIU42"/>
      <c r="IIV42"/>
      <c r="IIW42"/>
      <c r="IIX42"/>
      <c r="IIY42"/>
      <c r="IIZ42"/>
      <c r="IJA42"/>
      <c r="IJB42"/>
      <c r="IJC42"/>
      <c r="IJD42"/>
      <c r="IJE42"/>
      <c r="IJF42"/>
      <c r="IJG42"/>
      <c r="IJH42"/>
      <c r="IJI42"/>
      <c r="IJJ42"/>
      <c r="IJK42"/>
      <c r="IJL42"/>
      <c r="IJM42"/>
      <c r="IJN42"/>
      <c r="IJO42"/>
      <c r="IJP42"/>
      <c r="IJQ42"/>
      <c r="IJR42"/>
      <c r="IJS42"/>
      <c r="IJT42"/>
      <c r="IJU42"/>
      <c r="IJV42"/>
      <c r="IJW42"/>
      <c r="IJX42"/>
      <c r="IJY42"/>
      <c r="IJZ42"/>
      <c r="IKA42"/>
      <c r="IKB42"/>
      <c r="IKC42"/>
      <c r="IKD42"/>
      <c r="IKE42"/>
      <c r="IKF42"/>
      <c r="IKG42"/>
      <c r="IKH42"/>
      <c r="IKI42"/>
      <c r="IKJ42"/>
      <c r="IKK42"/>
      <c r="IKL42"/>
      <c r="IKM42"/>
      <c r="IKN42"/>
      <c r="IKO42"/>
      <c r="IKP42"/>
      <c r="IKQ42"/>
      <c r="IKR42"/>
      <c r="IKS42"/>
      <c r="IKT42"/>
      <c r="IKU42"/>
      <c r="IKV42"/>
      <c r="IKW42"/>
      <c r="IKX42"/>
      <c r="IKY42"/>
      <c r="IKZ42"/>
      <c r="ILA42"/>
      <c r="ILB42"/>
      <c r="ILC42"/>
      <c r="ILD42"/>
      <c r="ILE42"/>
      <c r="ILF42"/>
      <c r="ILG42"/>
      <c r="ILH42"/>
      <c r="ILI42"/>
      <c r="ILJ42"/>
      <c r="ILK42"/>
      <c r="ILL42"/>
      <c r="ILM42"/>
      <c r="ILN42"/>
      <c r="ILO42"/>
      <c r="ILP42"/>
      <c r="ILQ42"/>
      <c r="ILR42"/>
      <c r="ILS42"/>
      <c r="ILT42"/>
      <c r="ILU42"/>
      <c r="ILV42"/>
      <c r="ILW42"/>
      <c r="ILX42"/>
      <c r="ILY42"/>
      <c r="ILZ42"/>
      <c r="IMA42"/>
      <c r="IMB42"/>
      <c r="IMC42"/>
      <c r="IMD42"/>
      <c r="IME42"/>
      <c r="IMF42"/>
      <c r="IMG42"/>
      <c r="IMH42"/>
      <c r="IMI42"/>
      <c r="IMJ42"/>
      <c r="IMK42"/>
      <c r="IML42"/>
      <c r="IMM42"/>
      <c r="IMN42"/>
      <c r="IMO42"/>
      <c r="IMP42"/>
      <c r="IMQ42"/>
      <c r="IMR42"/>
      <c r="IMS42"/>
      <c r="IMT42"/>
      <c r="IMU42"/>
      <c r="IMV42"/>
      <c r="IMW42"/>
      <c r="IMX42"/>
      <c r="IMY42"/>
      <c r="IMZ42"/>
      <c r="INA42"/>
      <c r="INB42"/>
      <c r="INC42"/>
      <c r="IND42"/>
      <c r="INE42"/>
      <c r="INF42"/>
      <c r="ING42"/>
      <c r="INH42"/>
      <c r="INI42"/>
      <c r="INJ42"/>
      <c r="INK42"/>
      <c r="INL42"/>
      <c r="INM42"/>
      <c r="INN42"/>
      <c r="INO42"/>
      <c r="INP42"/>
      <c r="INQ42"/>
      <c r="INR42"/>
      <c r="INS42"/>
      <c r="INT42"/>
      <c r="INU42"/>
      <c r="INV42"/>
      <c r="INW42"/>
      <c r="INX42"/>
      <c r="INY42"/>
      <c r="INZ42"/>
      <c r="IOA42"/>
      <c r="IOB42"/>
      <c r="IOC42"/>
      <c r="IOD42"/>
      <c r="IOE42"/>
      <c r="IOF42"/>
      <c r="IOG42"/>
      <c r="IOH42"/>
      <c r="IOI42"/>
      <c r="IOJ42"/>
      <c r="IOK42"/>
      <c r="IOL42"/>
      <c r="IOM42"/>
      <c r="ION42"/>
      <c r="IOO42"/>
      <c r="IOP42"/>
      <c r="IOQ42"/>
      <c r="IOR42"/>
      <c r="IOS42"/>
      <c r="IOT42"/>
      <c r="IOU42"/>
      <c r="IOV42"/>
      <c r="IOW42"/>
      <c r="IOX42"/>
      <c r="IOY42"/>
      <c r="IOZ42"/>
      <c r="IPA42"/>
      <c r="IPB42"/>
      <c r="IPC42"/>
      <c r="IPD42"/>
      <c r="IPE42"/>
      <c r="IPF42"/>
      <c r="IPG42"/>
      <c r="IPH42"/>
      <c r="IPI42"/>
      <c r="IPJ42"/>
      <c r="IPK42"/>
      <c r="IPL42"/>
      <c r="IPM42"/>
      <c r="IPN42"/>
      <c r="IPO42"/>
      <c r="IPP42"/>
      <c r="IPQ42"/>
      <c r="IPR42"/>
      <c r="IPS42"/>
      <c r="IPT42"/>
      <c r="IPU42"/>
      <c r="IPV42"/>
      <c r="IPW42"/>
      <c r="IPX42"/>
      <c r="IPY42"/>
      <c r="IPZ42"/>
      <c r="IQA42"/>
      <c r="IQB42"/>
      <c r="IQC42"/>
      <c r="IQD42"/>
      <c r="IQE42"/>
      <c r="IQF42"/>
      <c r="IQG42"/>
      <c r="IQH42"/>
      <c r="IQI42"/>
      <c r="IQJ42"/>
      <c r="IQK42"/>
      <c r="IQL42"/>
      <c r="IQM42"/>
      <c r="IQN42"/>
      <c r="IQO42"/>
      <c r="IQP42"/>
      <c r="IQQ42"/>
      <c r="IQR42"/>
      <c r="IQS42"/>
      <c r="IQT42"/>
      <c r="IQU42"/>
      <c r="IQV42"/>
      <c r="IQW42"/>
      <c r="IQX42"/>
      <c r="IQY42"/>
      <c r="IQZ42"/>
      <c r="IRA42"/>
      <c r="IRB42"/>
      <c r="IRC42"/>
      <c r="IRD42"/>
      <c r="IRE42"/>
      <c r="IRF42"/>
      <c r="IRG42"/>
      <c r="IRH42"/>
      <c r="IRI42"/>
      <c r="IRJ42"/>
      <c r="IRK42"/>
      <c r="IRL42"/>
      <c r="IRM42"/>
      <c r="IRN42"/>
      <c r="IRO42"/>
      <c r="IRP42"/>
      <c r="IRQ42"/>
      <c r="IRR42"/>
      <c r="IRS42"/>
      <c r="IRT42"/>
      <c r="IRU42"/>
      <c r="IRV42"/>
      <c r="IRW42"/>
      <c r="IRX42"/>
      <c r="IRY42"/>
      <c r="IRZ42"/>
      <c r="ISA42"/>
      <c r="ISB42"/>
      <c r="ISC42"/>
      <c r="ISD42"/>
      <c r="ISE42"/>
      <c r="ISF42"/>
      <c r="ISG42"/>
      <c r="ISH42"/>
      <c r="ISI42"/>
      <c r="ISJ42"/>
      <c r="ISK42"/>
      <c r="ISL42"/>
      <c r="ISM42"/>
      <c r="ISN42"/>
      <c r="ISO42"/>
      <c r="ISP42"/>
      <c r="ISQ42"/>
      <c r="ISR42"/>
      <c r="ISS42"/>
      <c r="IST42"/>
      <c r="ISU42"/>
      <c r="ISV42"/>
      <c r="ISW42"/>
      <c r="ISX42"/>
      <c r="ISY42"/>
      <c r="ISZ42"/>
      <c r="ITA42"/>
      <c r="ITB42"/>
      <c r="ITC42"/>
      <c r="ITD42"/>
      <c r="ITE42"/>
      <c r="ITF42"/>
      <c r="ITG42"/>
      <c r="ITH42"/>
      <c r="ITI42"/>
      <c r="ITJ42"/>
      <c r="ITK42"/>
      <c r="ITL42"/>
      <c r="ITM42"/>
      <c r="ITN42"/>
      <c r="ITO42"/>
      <c r="ITP42"/>
      <c r="ITQ42"/>
      <c r="ITR42"/>
      <c r="ITS42"/>
      <c r="ITT42"/>
      <c r="ITU42"/>
      <c r="ITV42"/>
      <c r="ITW42"/>
      <c r="ITX42"/>
      <c r="ITY42"/>
      <c r="ITZ42"/>
      <c r="IUA42"/>
      <c r="IUB42"/>
      <c r="IUC42"/>
      <c r="IUD42"/>
      <c r="IUE42"/>
      <c r="IUF42"/>
      <c r="IUG42"/>
      <c r="IUH42"/>
      <c r="IUI42"/>
      <c r="IUJ42"/>
      <c r="IUK42"/>
      <c r="IUL42"/>
      <c r="IUM42"/>
      <c r="IUN42"/>
      <c r="IUO42"/>
      <c r="IUP42"/>
      <c r="IUQ42"/>
      <c r="IUR42"/>
      <c r="IUS42"/>
      <c r="IUT42"/>
      <c r="IUU42"/>
      <c r="IUV42"/>
      <c r="IUW42"/>
      <c r="IUX42"/>
      <c r="IUY42"/>
      <c r="IUZ42"/>
      <c r="IVA42"/>
      <c r="IVB42"/>
      <c r="IVC42"/>
      <c r="IVD42"/>
      <c r="IVE42"/>
      <c r="IVF42"/>
      <c r="IVG42"/>
      <c r="IVH42"/>
      <c r="IVI42"/>
      <c r="IVJ42"/>
      <c r="IVK42"/>
      <c r="IVL42"/>
      <c r="IVM42"/>
      <c r="IVN42"/>
      <c r="IVO42"/>
      <c r="IVP42"/>
      <c r="IVQ42"/>
      <c r="IVR42"/>
      <c r="IVS42"/>
      <c r="IVT42"/>
      <c r="IVU42"/>
      <c r="IVV42"/>
      <c r="IVW42"/>
      <c r="IVX42"/>
      <c r="IVY42"/>
      <c r="IVZ42"/>
      <c r="IWA42"/>
      <c r="IWB42"/>
      <c r="IWC42"/>
      <c r="IWD42"/>
      <c r="IWE42"/>
      <c r="IWF42"/>
      <c r="IWG42"/>
      <c r="IWH42"/>
      <c r="IWI42"/>
      <c r="IWJ42"/>
      <c r="IWK42"/>
      <c r="IWL42"/>
      <c r="IWM42"/>
      <c r="IWN42"/>
      <c r="IWO42"/>
      <c r="IWP42"/>
      <c r="IWQ42"/>
      <c r="IWR42"/>
      <c r="IWS42"/>
      <c r="IWT42"/>
      <c r="IWU42"/>
      <c r="IWV42"/>
      <c r="IWW42"/>
      <c r="IWX42"/>
      <c r="IWY42"/>
      <c r="IWZ42"/>
      <c r="IXA42"/>
      <c r="IXB42"/>
      <c r="IXC42"/>
      <c r="IXD42"/>
      <c r="IXE42"/>
      <c r="IXF42"/>
      <c r="IXG42"/>
      <c r="IXH42"/>
      <c r="IXI42"/>
      <c r="IXJ42"/>
      <c r="IXK42"/>
      <c r="IXL42"/>
      <c r="IXM42"/>
      <c r="IXN42"/>
      <c r="IXO42"/>
      <c r="IXP42"/>
      <c r="IXQ42"/>
      <c r="IXR42"/>
      <c r="IXS42"/>
      <c r="IXT42"/>
      <c r="IXU42"/>
      <c r="IXV42"/>
      <c r="IXW42"/>
      <c r="IXX42"/>
      <c r="IXY42"/>
      <c r="IXZ42"/>
      <c r="IYA42"/>
      <c r="IYB42"/>
      <c r="IYC42"/>
      <c r="IYD42"/>
      <c r="IYE42"/>
      <c r="IYF42"/>
      <c r="IYG42"/>
      <c r="IYH42"/>
      <c r="IYI42"/>
      <c r="IYJ42"/>
      <c r="IYK42"/>
      <c r="IYL42"/>
      <c r="IYM42"/>
      <c r="IYN42"/>
      <c r="IYO42"/>
      <c r="IYP42"/>
      <c r="IYQ42"/>
      <c r="IYR42"/>
      <c r="IYS42"/>
      <c r="IYT42"/>
      <c r="IYU42"/>
      <c r="IYV42"/>
      <c r="IYW42"/>
      <c r="IYX42"/>
      <c r="IYY42"/>
      <c r="IYZ42"/>
      <c r="IZA42"/>
      <c r="IZB42"/>
      <c r="IZC42"/>
      <c r="IZD42"/>
      <c r="IZE42"/>
      <c r="IZF42"/>
      <c r="IZG42"/>
      <c r="IZH42"/>
      <c r="IZI42"/>
      <c r="IZJ42"/>
      <c r="IZK42"/>
      <c r="IZL42"/>
      <c r="IZM42"/>
      <c r="IZN42"/>
      <c r="IZO42"/>
      <c r="IZP42"/>
      <c r="IZQ42"/>
      <c r="IZR42"/>
      <c r="IZS42"/>
      <c r="IZT42"/>
      <c r="IZU42"/>
      <c r="IZV42"/>
      <c r="IZW42"/>
      <c r="IZX42"/>
      <c r="IZY42"/>
      <c r="IZZ42"/>
      <c r="JAA42"/>
      <c r="JAB42"/>
      <c r="JAC42"/>
      <c r="JAD42"/>
      <c r="JAE42"/>
      <c r="JAF42"/>
      <c r="JAG42"/>
      <c r="JAH42"/>
      <c r="JAI42"/>
      <c r="JAJ42"/>
      <c r="JAK42"/>
      <c r="JAL42"/>
      <c r="JAM42"/>
      <c r="JAN42"/>
      <c r="JAO42"/>
      <c r="JAP42"/>
      <c r="JAQ42"/>
      <c r="JAR42"/>
      <c r="JAS42"/>
      <c r="JAT42"/>
      <c r="JAU42"/>
      <c r="JAV42"/>
      <c r="JAW42"/>
      <c r="JAX42"/>
      <c r="JAY42"/>
      <c r="JAZ42"/>
      <c r="JBA42"/>
      <c r="JBB42"/>
      <c r="JBC42"/>
      <c r="JBD42"/>
      <c r="JBE42"/>
      <c r="JBF42"/>
      <c r="JBG42"/>
      <c r="JBH42"/>
      <c r="JBI42"/>
      <c r="JBJ42"/>
      <c r="JBK42"/>
      <c r="JBL42"/>
      <c r="JBM42"/>
      <c r="JBN42"/>
      <c r="JBO42"/>
      <c r="JBP42"/>
      <c r="JBQ42"/>
      <c r="JBR42"/>
      <c r="JBS42"/>
      <c r="JBT42"/>
      <c r="JBU42"/>
      <c r="JBV42"/>
      <c r="JBW42"/>
      <c r="JBX42"/>
      <c r="JBY42"/>
      <c r="JBZ42"/>
      <c r="JCA42"/>
      <c r="JCB42"/>
      <c r="JCC42"/>
      <c r="JCD42"/>
      <c r="JCE42"/>
      <c r="JCF42"/>
      <c r="JCG42"/>
      <c r="JCH42"/>
      <c r="JCI42"/>
      <c r="JCJ42"/>
      <c r="JCK42"/>
      <c r="JCL42"/>
      <c r="JCM42"/>
      <c r="JCN42"/>
      <c r="JCO42"/>
      <c r="JCP42"/>
      <c r="JCQ42"/>
      <c r="JCR42"/>
      <c r="JCS42"/>
      <c r="JCT42"/>
      <c r="JCU42"/>
      <c r="JCV42"/>
      <c r="JCW42"/>
      <c r="JCX42"/>
      <c r="JCY42"/>
      <c r="JCZ42"/>
      <c r="JDA42"/>
      <c r="JDB42"/>
      <c r="JDC42"/>
      <c r="JDD42"/>
      <c r="JDE42"/>
      <c r="JDF42"/>
      <c r="JDG42"/>
      <c r="JDH42"/>
      <c r="JDI42"/>
      <c r="JDJ42"/>
      <c r="JDK42"/>
      <c r="JDL42"/>
      <c r="JDM42"/>
      <c r="JDN42"/>
      <c r="JDO42"/>
      <c r="JDP42"/>
      <c r="JDQ42"/>
      <c r="JDR42"/>
      <c r="JDS42"/>
      <c r="JDT42"/>
      <c r="JDU42"/>
      <c r="JDV42"/>
      <c r="JDW42"/>
      <c r="JDX42"/>
      <c r="JDY42"/>
      <c r="JDZ42"/>
      <c r="JEA42"/>
      <c r="JEB42"/>
      <c r="JEC42"/>
      <c r="JED42"/>
      <c r="JEE42"/>
      <c r="JEF42"/>
      <c r="JEG42"/>
      <c r="JEH42"/>
      <c r="JEI42"/>
      <c r="JEJ42"/>
      <c r="JEK42"/>
      <c r="JEL42"/>
      <c r="JEM42"/>
      <c r="JEN42"/>
      <c r="JEO42"/>
      <c r="JEP42"/>
      <c r="JEQ42"/>
      <c r="JER42"/>
      <c r="JES42"/>
      <c r="JET42"/>
      <c r="JEU42"/>
      <c r="JEV42"/>
      <c r="JEW42"/>
      <c r="JEX42"/>
      <c r="JEY42"/>
      <c r="JEZ42"/>
      <c r="JFA42"/>
      <c r="JFB42"/>
      <c r="JFC42"/>
      <c r="JFD42"/>
      <c r="JFE42"/>
      <c r="JFF42"/>
      <c r="JFG42"/>
      <c r="JFH42"/>
      <c r="JFI42"/>
      <c r="JFJ42"/>
      <c r="JFK42"/>
      <c r="JFL42"/>
      <c r="JFM42"/>
      <c r="JFN42"/>
      <c r="JFO42"/>
      <c r="JFP42"/>
      <c r="JFQ42"/>
      <c r="JFR42"/>
      <c r="JFS42"/>
      <c r="JFT42"/>
      <c r="JFU42"/>
      <c r="JFV42"/>
      <c r="JFW42"/>
      <c r="JFX42"/>
      <c r="JFY42"/>
      <c r="JFZ42"/>
      <c r="JGA42"/>
      <c r="JGB42"/>
      <c r="JGC42"/>
      <c r="JGD42"/>
      <c r="JGE42"/>
      <c r="JGF42"/>
      <c r="JGG42"/>
      <c r="JGH42"/>
      <c r="JGI42"/>
      <c r="JGJ42"/>
      <c r="JGK42"/>
      <c r="JGL42"/>
      <c r="JGM42"/>
      <c r="JGN42"/>
      <c r="JGO42"/>
      <c r="JGP42"/>
      <c r="JGQ42"/>
      <c r="JGR42"/>
      <c r="JGS42"/>
      <c r="JGT42"/>
      <c r="JGU42"/>
      <c r="JGV42"/>
      <c r="JGW42"/>
      <c r="JGX42"/>
      <c r="JGY42"/>
      <c r="JGZ42"/>
      <c r="JHA42"/>
      <c r="JHB42"/>
      <c r="JHC42"/>
      <c r="JHD42"/>
      <c r="JHE42"/>
      <c r="JHF42"/>
      <c r="JHG42"/>
      <c r="JHH42"/>
      <c r="JHI42"/>
      <c r="JHJ42"/>
      <c r="JHK42"/>
      <c r="JHL42"/>
      <c r="JHM42"/>
      <c r="JHN42"/>
      <c r="JHO42"/>
      <c r="JHP42"/>
      <c r="JHQ42"/>
      <c r="JHR42"/>
      <c r="JHS42"/>
      <c r="JHT42"/>
      <c r="JHU42"/>
      <c r="JHV42"/>
      <c r="JHW42"/>
      <c r="JHX42"/>
      <c r="JHY42"/>
      <c r="JHZ42"/>
      <c r="JIA42"/>
      <c r="JIB42"/>
      <c r="JIC42"/>
      <c r="JID42"/>
      <c r="JIE42"/>
      <c r="JIF42"/>
      <c r="JIG42"/>
      <c r="JIH42"/>
      <c r="JII42"/>
      <c r="JIJ42"/>
      <c r="JIK42"/>
      <c r="JIL42"/>
      <c r="JIM42"/>
      <c r="JIN42"/>
      <c r="JIO42"/>
      <c r="JIP42"/>
      <c r="JIQ42"/>
      <c r="JIR42"/>
      <c r="JIS42"/>
      <c r="JIT42"/>
      <c r="JIU42"/>
      <c r="JIV42"/>
      <c r="JIW42"/>
      <c r="JIX42"/>
      <c r="JIY42"/>
      <c r="JIZ42"/>
      <c r="JJA42"/>
      <c r="JJB42"/>
      <c r="JJC42"/>
      <c r="JJD42"/>
      <c r="JJE42"/>
      <c r="JJF42"/>
      <c r="JJG42"/>
      <c r="JJH42"/>
      <c r="JJI42"/>
      <c r="JJJ42"/>
      <c r="JJK42"/>
      <c r="JJL42"/>
      <c r="JJM42"/>
      <c r="JJN42"/>
      <c r="JJO42"/>
      <c r="JJP42"/>
      <c r="JJQ42"/>
      <c r="JJR42"/>
      <c r="JJS42"/>
      <c r="JJT42"/>
      <c r="JJU42"/>
      <c r="JJV42"/>
      <c r="JJW42"/>
      <c r="JJX42"/>
      <c r="JJY42"/>
      <c r="JJZ42"/>
      <c r="JKA42"/>
      <c r="JKB42"/>
      <c r="JKC42"/>
      <c r="JKD42"/>
      <c r="JKE42"/>
      <c r="JKF42"/>
      <c r="JKG42"/>
      <c r="JKH42"/>
      <c r="JKI42"/>
      <c r="JKJ42"/>
      <c r="JKK42"/>
      <c r="JKL42"/>
      <c r="JKM42"/>
      <c r="JKN42"/>
      <c r="JKO42"/>
      <c r="JKP42"/>
      <c r="JKQ42"/>
      <c r="JKR42"/>
      <c r="JKS42"/>
      <c r="JKT42"/>
      <c r="JKU42"/>
      <c r="JKV42"/>
      <c r="JKW42"/>
      <c r="JKX42"/>
      <c r="JKY42"/>
      <c r="JKZ42"/>
      <c r="JLA42"/>
      <c r="JLB42"/>
      <c r="JLC42"/>
      <c r="JLD42"/>
      <c r="JLE42"/>
      <c r="JLF42"/>
      <c r="JLG42"/>
      <c r="JLH42"/>
      <c r="JLI42"/>
      <c r="JLJ42"/>
      <c r="JLK42"/>
      <c r="JLL42"/>
      <c r="JLM42"/>
      <c r="JLN42"/>
      <c r="JLO42"/>
      <c r="JLP42"/>
      <c r="JLQ42"/>
      <c r="JLR42"/>
      <c r="JLS42"/>
      <c r="JLT42"/>
      <c r="JLU42"/>
      <c r="JLV42"/>
      <c r="JLW42"/>
      <c r="JLX42"/>
      <c r="JLY42"/>
      <c r="JLZ42"/>
      <c r="JMA42"/>
      <c r="JMB42"/>
      <c r="JMC42"/>
      <c r="JMD42"/>
      <c r="JME42"/>
      <c r="JMF42"/>
      <c r="JMG42"/>
      <c r="JMH42"/>
      <c r="JMI42"/>
      <c r="JMJ42"/>
      <c r="JMK42"/>
      <c r="JML42"/>
      <c r="JMM42"/>
      <c r="JMN42"/>
      <c r="JMO42"/>
      <c r="JMP42"/>
      <c r="JMQ42"/>
      <c r="JMR42"/>
      <c r="JMS42"/>
      <c r="JMT42"/>
      <c r="JMU42"/>
      <c r="JMV42"/>
      <c r="JMW42"/>
      <c r="JMX42"/>
      <c r="JMY42"/>
      <c r="JMZ42"/>
      <c r="JNA42"/>
      <c r="JNB42"/>
      <c r="JNC42"/>
      <c r="JND42"/>
      <c r="JNE42"/>
      <c r="JNF42"/>
      <c r="JNG42"/>
      <c r="JNH42"/>
      <c r="JNI42"/>
      <c r="JNJ42"/>
      <c r="JNK42"/>
      <c r="JNL42"/>
      <c r="JNM42"/>
      <c r="JNN42"/>
      <c r="JNO42"/>
      <c r="JNP42"/>
      <c r="JNQ42"/>
      <c r="JNR42"/>
      <c r="JNS42"/>
      <c r="JNT42"/>
      <c r="JNU42"/>
      <c r="JNV42"/>
      <c r="JNW42"/>
      <c r="JNX42"/>
      <c r="JNY42"/>
      <c r="JNZ42"/>
      <c r="JOA42"/>
      <c r="JOB42"/>
      <c r="JOC42"/>
      <c r="JOD42"/>
      <c r="JOE42"/>
      <c r="JOF42"/>
      <c r="JOG42"/>
      <c r="JOH42"/>
      <c r="JOI42"/>
      <c r="JOJ42"/>
      <c r="JOK42"/>
      <c r="JOL42"/>
      <c r="JOM42"/>
      <c r="JON42"/>
      <c r="JOO42"/>
      <c r="JOP42"/>
      <c r="JOQ42"/>
      <c r="JOR42"/>
      <c r="JOS42"/>
      <c r="JOT42"/>
      <c r="JOU42"/>
      <c r="JOV42"/>
      <c r="JOW42"/>
      <c r="JOX42"/>
      <c r="JOY42"/>
      <c r="JOZ42"/>
      <c r="JPA42"/>
      <c r="JPB42"/>
      <c r="JPC42"/>
      <c r="JPD42"/>
      <c r="JPE42"/>
      <c r="JPF42"/>
      <c r="JPG42"/>
      <c r="JPH42"/>
      <c r="JPI42"/>
      <c r="JPJ42"/>
      <c r="JPK42"/>
      <c r="JPL42"/>
      <c r="JPM42"/>
      <c r="JPN42"/>
      <c r="JPO42"/>
      <c r="JPP42"/>
      <c r="JPQ42"/>
      <c r="JPR42"/>
      <c r="JPS42"/>
      <c r="JPT42"/>
      <c r="JPU42"/>
      <c r="JPV42"/>
      <c r="JPW42"/>
      <c r="JPX42"/>
      <c r="JPY42"/>
      <c r="JPZ42"/>
      <c r="JQA42"/>
      <c r="JQB42"/>
      <c r="JQC42"/>
      <c r="JQD42"/>
      <c r="JQE42"/>
      <c r="JQF42"/>
      <c r="JQG42"/>
      <c r="JQH42"/>
      <c r="JQI42"/>
      <c r="JQJ42"/>
      <c r="JQK42"/>
      <c r="JQL42"/>
      <c r="JQM42"/>
      <c r="JQN42"/>
      <c r="JQO42"/>
      <c r="JQP42"/>
      <c r="JQQ42"/>
      <c r="JQR42"/>
      <c r="JQS42"/>
      <c r="JQT42"/>
      <c r="JQU42"/>
      <c r="JQV42"/>
      <c r="JQW42"/>
      <c r="JQX42"/>
      <c r="JQY42"/>
      <c r="JQZ42"/>
      <c r="JRA42"/>
      <c r="JRB42"/>
      <c r="JRC42"/>
      <c r="JRD42"/>
      <c r="JRE42"/>
      <c r="JRF42"/>
      <c r="JRG42"/>
      <c r="JRH42"/>
      <c r="JRI42"/>
      <c r="JRJ42"/>
      <c r="JRK42"/>
      <c r="JRL42"/>
      <c r="JRM42"/>
      <c r="JRN42"/>
      <c r="JRO42"/>
      <c r="JRP42"/>
      <c r="JRQ42"/>
      <c r="JRR42"/>
      <c r="JRS42"/>
      <c r="JRT42"/>
      <c r="JRU42"/>
      <c r="JRV42"/>
      <c r="JRW42"/>
      <c r="JRX42"/>
      <c r="JRY42"/>
      <c r="JRZ42"/>
      <c r="JSA42"/>
      <c r="JSB42"/>
      <c r="JSC42"/>
      <c r="JSD42"/>
      <c r="JSE42"/>
      <c r="JSF42"/>
      <c r="JSG42"/>
      <c r="JSH42"/>
      <c r="JSI42"/>
      <c r="JSJ42"/>
      <c r="JSK42"/>
      <c r="JSL42"/>
      <c r="JSM42"/>
      <c r="JSN42"/>
      <c r="JSO42"/>
      <c r="JSP42"/>
      <c r="JSQ42"/>
      <c r="JSR42"/>
      <c r="JSS42"/>
      <c r="JST42"/>
      <c r="JSU42"/>
      <c r="JSV42"/>
      <c r="JSW42"/>
      <c r="JSX42"/>
      <c r="JSY42"/>
      <c r="JSZ42"/>
      <c r="JTA42"/>
      <c r="JTB42"/>
      <c r="JTC42"/>
      <c r="JTD42"/>
      <c r="JTE42"/>
      <c r="JTF42"/>
      <c r="JTG42"/>
      <c r="JTH42"/>
      <c r="JTI42"/>
      <c r="JTJ42"/>
      <c r="JTK42"/>
      <c r="JTL42"/>
      <c r="JTM42"/>
      <c r="JTN42"/>
      <c r="JTO42"/>
      <c r="JTP42"/>
      <c r="JTQ42"/>
      <c r="JTR42"/>
      <c r="JTS42"/>
      <c r="JTT42"/>
      <c r="JTU42"/>
      <c r="JTV42"/>
      <c r="JTW42"/>
      <c r="JTX42"/>
      <c r="JTY42"/>
      <c r="JTZ42"/>
      <c r="JUA42"/>
      <c r="JUB42"/>
      <c r="JUC42"/>
      <c r="JUD42"/>
      <c r="JUE42"/>
      <c r="JUF42"/>
      <c r="JUG42"/>
      <c r="JUH42"/>
      <c r="JUI42"/>
      <c r="JUJ42"/>
      <c r="JUK42"/>
      <c r="JUL42"/>
      <c r="JUM42"/>
      <c r="JUN42"/>
      <c r="JUO42"/>
      <c r="JUP42"/>
      <c r="JUQ42"/>
      <c r="JUR42"/>
      <c r="JUS42"/>
      <c r="JUT42"/>
      <c r="JUU42"/>
      <c r="JUV42"/>
      <c r="JUW42"/>
      <c r="JUX42"/>
      <c r="JUY42"/>
      <c r="JUZ42"/>
      <c r="JVA42"/>
      <c r="JVB42"/>
      <c r="JVC42"/>
      <c r="JVD42"/>
      <c r="JVE42"/>
      <c r="JVF42"/>
      <c r="JVG42"/>
      <c r="JVH42"/>
      <c r="JVI42"/>
      <c r="JVJ42"/>
      <c r="JVK42"/>
      <c r="JVL42"/>
      <c r="JVM42"/>
      <c r="JVN42"/>
      <c r="JVO42"/>
      <c r="JVP42"/>
      <c r="JVQ42"/>
      <c r="JVR42"/>
      <c r="JVS42"/>
      <c r="JVT42"/>
      <c r="JVU42"/>
      <c r="JVV42"/>
      <c r="JVW42"/>
      <c r="JVX42"/>
      <c r="JVY42"/>
      <c r="JVZ42"/>
      <c r="JWA42"/>
      <c r="JWB42"/>
      <c r="JWC42"/>
      <c r="JWD42"/>
      <c r="JWE42"/>
      <c r="JWF42"/>
      <c r="JWG42"/>
      <c r="JWH42"/>
      <c r="JWI42"/>
      <c r="JWJ42"/>
      <c r="JWK42"/>
      <c r="JWL42"/>
      <c r="JWM42"/>
      <c r="JWN42"/>
      <c r="JWO42"/>
      <c r="JWP42"/>
      <c r="JWQ42"/>
      <c r="JWR42"/>
      <c r="JWS42"/>
      <c r="JWT42"/>
      <c r="JWU42"/>
      <c r="JWV42"/>
      <c r="JWW42"/>
      <c r="JWX42"/>
      <c r="JWY42"/>
      <c r="JWZ42"/>
      <c r="JXA42"/>
      <c r="JXB42"/>
      <c r="JXC42"/>
      <c r="JXD42"/>
      <c r="JXE42"/>
      <c r="JXF42"/>
      <c r="JXG42"/>
      <c r="JXH42"/>
      <c r="JXI42"/>
      <c r="JXJ42"/>
      <c r="JXK42"/>
      <c r="JXL42"/>
      <c r="JXM42"/>
      <c r="JXN42"/>
      <c r="JXO42"/>
      <c r="JXP42"/>
      <c r="JXQ42"/>
      <c r="JXR42"/>
      <c r="JXS42"/>
      <c r="JXT42"/>
      <c r="JXU42"/>
      <c r="JXV42"/>
      <c r="JXW42"/>
      <c r="JXX42"/>
      <c r="JXY42"/>
      <c r="JXZ42"/>
      <c r="JYA42"/>
      <c r="JYB42"/>
      <c r="JYC42"/>
      <c r="JYD42"/>
      <c r="JYE42"/>
      <c r="JYF42"/>
      <c r="JYG42"/>
      <c r="JYH42"/>
      <c r="JYI42"/>
      <c r="JYJ42"/>
      <c r="JYK42"/>
      <c r="JYL42"/>
      <c r="JYM42"/>
      <c r="JYN42"/>
      <c r="JYO42"/>
      <c r="JYP42"/>
      <c r="JYQ42"/>
      <c r="JYR42"/>
      <c r="JYS42"/>
      <c r="JYT42"/>
      <c r="JYU42"/>
      <c r="JYV42"/>
      <c r="JYW42"/>
      <c r="JYX42"/>
      <c r="JYY42"/>
      <c r="JYZ42"/>
      <c r="JZA42"/>
      <c r="JZB42"/>
      <c r="JZC42"/>
      <c r="JZD42"/>
      <c r="JZE42"/>
      <c r="JZF42"/>
      <c r="JZG42"/>
      <c r="JZH42"/>
      <c r="JZI42"/>
      <c r="JZJ42"/>
      <c r="JZK42"/>
      <c r="JZL42"/>
      <c r="JZM42"/>
      <c r="JZN42"/>
      <c r="JZO42"/>
      <c r="JZP42"/>
      <c r="JZQ42"/>
      <c r="JZR42"/>
      <c r="JZS42"/>
      <c r="JZT42"/>
      <c r="JZU42"/>
      <c r="JZV42"/>
      <c r="JZW42"/>
      <c r="JZX42"/>
      <c r="JZY42"/>
      <c r="JZZ42"/>
      <c r="KAA42"/>
      <c r="KAB42"/>
      <c r="KAC42"/>
      <c r="KAD42"/>
      <c r="KAE42"/>
      <c r="KAF42"/>
      <c r="KAG42"/>
      <c r="KAH42"/>
      <c r="KAI42"/>
      <c r="KAJ42"/>
      <c r="KAK42"/>
      <c r="KAL42"/>
      <c r="KAM42"/>
      <c r="KAN42"/>
      <c r="KAO42"/>
      <c r="KAP42"/>
      <c r="KAQ42"/>
      <c r="KAR42"/>
      <c r="KAS42"/>
      <c r="KAT42"/>
      <c r="KAU42"/>
      <c r="KAV42"/>
      <c r="KAW42"/>
      <c r="KAX42"/>
      <c r="KAY42"/>
      <c r="KAZ42"/>
      <c r="KBA42"/>
      <c r="KBB42"/>
      <c r="KBC42"/>
      <c r="KBD42"/>
      <c r="KBE42"/>
      <c r="KBF42"/>
      <c r="KBG42"/>
      <c r="KBH42"/>
      <c r="KBI42"/>
      <c r="KBJ42"/>
      <c r="KBK42"/>
      <c r="KBL42"/>
      <c r="KBM42"/>
      <c r="KBN42"/>
      <c r="KBO42"/>
      <c r="KBP42"/>
      <c r="KBQ42"/>
      <c r="KBR42"/>
      <c r="KBS42"/>
      <c r="KBT42"/>
      <c r="KBU42"/>
      <c r="KBV42"/>
      <c r="KBW42"/>
      <c r="KBX42"/>
      <c r="KBY42"/>
      <c r="KBZ42"/>
      <c r="KCA42"/>
      <c r="KCB42"/>
      <c r="KCC42"/>
      <c r="KCD42"/>
      <c r="KCE42"/>
      <c r="KCF42"/>
      <c r="KCG42"/>
      <c r="KCH42"/>
      <c r="KCI42"/>
      <c r="KCJ42"/>
      <c r="KCK42"/>
      <c r="KCL42"/>
      <c r="KCM42"/>
      <c r="KCN42"/>
      <c r="KCO42"/>
      <c r="KCP42"/>
      <c r="KCQ42"/>
      <c r="KCR42"/>
      <c r="KCS42"/>
      <c r="KCT42"/>
      <c r="KCU42"/>
      <c r="KCV42"/>
      <c r="KCW42"/>
      <c r="KCX42"/>
      <c r="KCY42"/>
      <c r="KCZ42"/>
      <c r="KDA42"/>
      <c r="KDB42"/>
      <c r="KDC42"/>
      <c r="KDD42"/>
      <c r="KDE42"/>
      <c r="KDF42"/>
      <c r="KDG42"/>
      <c r="KDH42"/>
      <c r="KDI42"/>
      <c r="KDJ42"/>
      <c r="KDK42"/>
      <c r="KDL42"/>
      <c r="KDM42"/>
      <c r="KDN42"/>
      <c r="KDO42"/>
      <c r="KDP42"/>
      <c r="KDQ42"/>
      <c r="KDR42"/>
      <c r="KDS42"/>
      <c r="KDT42"/>
      <c r="KDU42"/>
      <c r="KDV42"/>
      <c r="KDW42"/>
      <c r="KDX42"/>
      <c r="KDY42"/>
      <c r="KDZ42"/>
      <c r="KEA42"/>
      <c r="KEB42"/>
      <c r="KEC42"/>
      <c r="KED42"/>
      <c r="KEE42"/>
      <c r="KEF42"/>
      <c r="KEG42"/>
      <c r="KEH42"/>
      <c r="KEI42"/>
      <c r="KEJ42"/>
      <c r="KEK42"/>
      <c r="KEL42"/>
      <c r="KEM42"/>
      <c r="KEN42"/>
      <c r="KEO42"/>
      <c r="KEP42"/>
      <c r="KEQ42"/>
      <c r="KER42"/>
      <c r="KES42"/>
      <c r="KET42"/>
      <c r="KEU42"/>
      <c r="KEV42"/>
      <c r="KEW42"/>
      <c r="KEX42"/>
      <c r="KEY42"/>
      <c r="KEZ42"/>
      <c r="KFA42"/>
      <c r="KFB42"/>
      <c r="KFC42"/>
      <c r="KFD42"/>
      <c r="KFE42"/>
      <c r="KFF42"/>
      <c r="KFG42"/>
      <c r="KFH42"/>
      <c r="KFI42"/>
      <c r="KFJ42"/>
      <c r="KFK42"/>
      <c r="KFL42"/>
      <c r="KFM42"/>
      <c r="KFN42"/>
      <c r="KFO42"/>
      <c r="KFP42"/>
      <c r="KFQ42"/>
      <c r="KFR42"/>
      <c r="KFS42"/>
      <c r="KFT42"/>
      <c r="KFU42"/>
      <c r="KFV42"/>
      <c r="KFW42"/>
      <c r="KFX42"/>
      <c r="KFY42"/>
      <c r="KFZ42"/>
      <c r="KGA42"/>
      <c r="KGB42"/>
      <c r="KGC42"/>
      <c r="KGD42"/>
      <c r="KGE42"/>
      <c r="KGF42"/>
      <c r="KGG42"/>
      <c r="KGH42"/>
      <c r="KGI42"/>
      <c r="KGJ42"/>
      <c r="KGK42"/>
      <c r="KGL42"/>
      <c r="KGM42"/>
      <c r="KGN42"/>
      <c r="KGO42"/>
      <c r="KGP42"/>
      <c r="KGQ42"/>
      <c r="KGR42"/>
      <c r="KGS42"/>
      <c r="KGT42"/>
      <c r="KGU42"/>
      <c r="KGV42"/>
      <c r="KGW42"/>
      <c r="KGX42"/>
      <c r="KGY42"/>
      <c r="KGZ42"/>
      <c r="KHA42"/>
      <c r="KHB42"/>
      <c r="KHC42"/>
      <c r="KHD42"/>
      <c r="KHE42"/>
      <c r="KHF42"/>
      <c r="KHG42"/>
      <c r="KHH42"/>
      <c r="KHI42"/>
      <c r="KHJ42"/>
      <c r="KHK42"/>
      <c r="KHL42"/>
      <c r="KHM42"/>
      <c r="KHN42"/>
      <c r="KHO42"/>
      <c r="KHP42"/>
      <c r="KHQ42"/>
      <c r="KHR42"/>
      <c r="KHS42"/>
      <c r="KHT42"/>
      <c r="KHU42"/>
      <c r="KHV42"/>
      <c r="KHW42"/>
      <c r="KHX42"/>
      <c r="KHY42"/>
      <c r="KHZ42"/>
      <c r="KIA42"/>
      <c r="KIB42"/>
      <c r="KIC42"/>
      <c r="KID42"/>
      <c r="KIE42"/>
      <c r="KIF42"/>
      <c r="KIG42"/>
      <c r="KIH42"/>
      <c r="KII42"/>
      <c r="KIJ42"/>
      <c r="KIK42"/>
      <c r="KIL42"/>
      <c r="KIM42"/>
      <c r="KIN42"/>
      <c r="KIO42"/>
      <c r="KIP42"/>
      <c r="KIQ42"/>
      <c r="KIR42"/>
      <c r="KIS42"/>
      <c r="KIT42"/>
      <c r="KIU42"/>
      <c r="KIV42"/>
      <c r="KIW42"/>
      <c r="KIX42"/>
      <c r="KIY42"/>
      <c r="KIZ42"/>
      <c r="KJA42"/>
      <c r="KJB42"/>
      <c r="KJC42"/>
      <c r="KJD42"/>
      <c r="KJE42"/>
      <c r="KJF42"/>
      <c r="KJG42"/>
      <c r="KJH42"/>
      <c r="KJI42"/>
      <c r="KJJ42"/>
      <c r="KJK42"/>
      <c r="KJL42"/>
      <c r="KJM42"/>
      <c r="KJN42"/>
      <c r="KJO42"/>
      <c r="KJP42"/>
      <c r="KJQ42"/>
      <c r="KJR42"/>
      <c r="KJS42"/>
      <c r="KJT42"/>
      <c r="KJU42"/>
      <c r="KJV42"/>
      <c r="KJW42"/>
      <c r="KJX42"/>
      <c r="KJY42"/>
      <c r="KJZ42"/>
      <c r="KKA42"/>
      <c r="KKB42"/>
      <c r="KKC42"/>
      <c r="KKD42"/>
      <c r="KKE42"/>
      <c r="KKF42"/>
      <c r="KKG42"/>
      <c r="KKH42"/>
      <c r="KKI42"/>
      <c r="KKJ42"/>
      <c r="KKK42"/>
      <c r="KKL42"/>
      <c r="KKM42"/>
      <c r="KKN42"/>
      <c r="KKO42"/>
      <c r="KKP42"/>
      <c r="KKQ42"/>
      <c r="KKR42"/>
      <c r="KKS42"/>
      <c r="KKT42"/>
      <c r="KKU42"/>
      <c r="KKV42"/>
      <c r="KKW42"/>
      <c r="KKX42"/>
      <c r="KKY42"/>
      <c r="KKZ42"/>
      <c r="KLA42"/>
      <c r="KLB42"/>
      <c r="KLC42"/>
      <c r="KLD42"/>
      <c r="KLE42"/>
      <c r="KLF42"/>
      <c r="KLG42"/>
      <c r="KLH42"/>
      <c r="KLI42"/>
      <c r="KLJ42"/>
      <c r="KLK42"/>
      <c r="KLL42"/>
      <c r="KLM42"/>
      <c r="KLN42"/>
      <c r="KLO42"/>
      <c r="KLP42"/>
      <c r="KLQ42"/>
      <c r="KLR42"/>
      <c r="KLS42"/>
      <c r="KLT42"/>
      <c r="KLU42"/>
      <c r="KLV42"/>
      <c r="KLW42"/>
      <c r="KLX42"/>
      <c r="KLY42"/>
      <c r="KLZ42"/>
      <c r="KMA42"/>
      <c r="KMB42"/>
      <c r="KMC42"/>
      <c r="KMD42"/>
      <c r="KME42"/>
      <c r="KMF42"/>
      <c r="KMG42"/>
      <c r="KMH42"/>
      <c r="KMI42"/>
      <c r="KMJ42"/>
      <c r="KMK42"/>
      <c r="KML42"/>
      <c r="KMM42"/>
      <c r="KMN42"/>
      <c r="KMO42"/>
      <c r="KMP42"/>
      <c r="KMQ42"/>
      <c r="KMR42"/>
      <c r="KMS42"/>
      <c r="KMT42"/>
      <c r="KMU42"/>
      <c r="KMV42"/>
      <c r="KMW42"/>
      <c r="KMX42"/>
      <c r="KMY42"/>
      <c r="KMZ42"/>
      <c r="KNA42"/>
      <c r="KNB42"/>
      <c r="KNC42"/>
      <c r="KND42"/>
      <c r="KNE42"/>
      <c r="KNF42"/>
      <c r="KNG42"/>
      <c r="KNH42"/>
      <c r="KNI42"/>
      <c r="KNJ42"/>
      <c r="KNK42"/>
      <c r="KNL42"/>
      <c r="KNM42"/>
      <c r="KNN42"/>
      <c r="KNO42"/>
      <c r="KNP42"/>
      <c r="KNQ42"/>
      <c r="KNR42"/>
      <c r="KNS42"/>
      <c r="KNT42"/>
      <c r="KNU42"/>
      <c r="KNV42"/>
      <c r="KNW42"/>
      <c r="KNX42"/>
      <c r="KNY42"/>
      <c r="KNZ42"/>
      <c r="KOA42"/>
      <c r="KOB42"/>
      <c r="KOC42"/>
      <c r="KOD42"/>
      <c r="KOE42"/>
      <c r="KOF42"/>
      <c r="KOG42"/>
      <c r="KOH42"/>
      <c r="KOI42"/>
      <c r="KOJ42"/>
      <c r="KOK42"/>
      <c r="KOL42"/>
      <c r="KOM42"/>
      <c r="KON42"/>
      <c r="KOO42"/>
      <c r="KOP42"/>
      <c r="KOQ42"/>
      <c r="KOR42"/>
      <c r="KOS42"/>
      <c r="KOT42"/>
      <c r="KOU42"/>
      <c r="KOV42"/>
      <c r="KOW42"/>
      <c r="KOX42"/>
      <c r="KOY42"/>
      <c r="KOZ42"/>
      <c r="KPA42"/>
      <c r="KPB42"/>
      <c r="KPC42"/>
      <c r="KPD42"/>
      <c r="KPE42"/>
      <c r="KPF42"/>
      <c r="KPG42"/>
      <c r="KPH42"/>
      <c r="KPI42"/>
      <c r="KPJ42"/>
      <c r="KPK42"/>
      <c r="KPL42"/>
      <c r="KPM42"/>
      <c r="KPN42"/>
      <c r="KPO42"/>
      <c r="KPP42"/>
      <c r="KPQ42"/>
      <c r="KPR42"/>
      <c r="KPS42"/>
      <c r="KPT42"/>
      <c r="KPU42"/>
      <c r="KPV42"/>
      <c r="KPW42"/>
      <c r="KPX42"/>
      <c r="KPY42"/>
      <c r="KPZ42"/>
      <c r="KQA42"/>
      <c r="KQB42"/>
      <c r="KQC42"/>
      <c r="KQD42"/>
      <c r="KQE42"/>
      <c r="KQF42"/>
      <c r="KQG42"/>
      <c r="KQH42"/>
      <c r="KQI42"/>
      <c r="KQJ42"/>
      <c r="KQK42"/>
      <c r="KQL42"/>
      <c r="KQM42"/>
      <c r="KQN42"/>
      <c r="KQO42"/>
      <c r="KQP42"/>
      <c r="KQQ42"/>
      <c r="KQR42"/>
      <c r="KQS42"/>
      <c r="KQT42"/>
      <c r="KQU42"/>
      <c r="KQV42"/>
      <c r="KQW42"/>
      <c r="KQX42"/>
      <c r="KQY42"/>
      <c r="KQZ42"/>
      <c r="KRA42"/>
      <c r="KRB42"/>
      <c r="KRC42"/>
      <c r="KRD42"/>
      <c r="KRE42"/>
      <c r="KRF42"/>
      <c r="KRG42"/>
      <c r="KRH42"/>
      <c r="KRI42"/>
      <c r="KRJ42"/>
      <c r="KRK42"/>
      <c r="KRL42"/>
      <c r="KRM42"/>
      <c r="KRN42"/>
      <c r="KRO42"/>
      <c r="KRP42"/>
      <c r="KRQ42"/>
      <c r="KRR42"/>
      <c r="KRS42"/>
      <c r="KRT42"/>
      <c r="KRU42"/>
      <c r="KRV42"/>
      <c r="KRW42"/>
      <c r="KRX42"/>
      <c r="KRY42"/>
      <c r="KRZ42"/>
      <c r="KSA42"/>
      <c r="KSB42"/>
      <c r="KSC42"/>
      <c r="KSD42"/>
      <c r="KSE42"/>
      <c r="KSF42"/>
      <c r="KSG42"/>
      <c r="KSH42"/>
      <c r="KSI42"/>
      <c r="KSJ42"/>
      <c r="KSK42"/>
      <c r="KSL42"/>
      <c r="KSM42"/>
      <c r="KSN42"/>
      <c r="KSO42"/>
      <c r="KSP42"/>
      <c r="KSQ42"/>
      <c r="KSR42"/>
      <c r="KSS42"/>
      <c r="KST42"/>
      <c r="KSU42"/>
      <c r="KSV42"/>
      <c r="KSW42"/>
      <c r="KSX42"/>
      <c r="KSY42"/>
      <c r="KSZ42"/>
      <c r="KTA42"/>
      <c r="KTB42"/>
      <c r="KTC42"/>
      <c r="KTD42"/>
      <c r="KTE42"/>
      <c r="KTF42"/>
      <c r="KTG42"/>
      <c r="KTH42"/>
      <c r="KTI42"/>
      <c r="KTJ42"/>
      <c r="KTK42"/>
      <c r="KTL42"/>
      <c r="KTM42"/>
      <c r="KTN42"/>
      <c r="KTO42"/>
      <c r="KTP42"/>
      <c r="KTQ42"/>
      <c r="KTR42"/>
      <c r="KTS42"/>
      <c r="KTT42"/>
      <c r="KTU42"/>
      <c r="KTV42"/>
      <c r="KTW42"/>
      <c r="KTX42"/>
      <c r="KTY42"/>
      <c r="KTZ42"/>
      <c r="KUA42"/>
      <c r="KUB42"/>
      <c r="KUC42"/>
      <c r="KUD42"/>
      <c r="KUE42"/>
      <c r="KUF42"/>
      <c r="KUG42"/>
      <c r="KUH42"/>
      <c r="KUI42"/>
      <c r="KUJ42"/>
      <c r="KUK42"/>
      <c r="KUL42"/>
      <c r="KUM42"/>
      <c r="KUN42"/>
      <c r="KUO42"/>
      <c r="KUP42"/>
      <c r="KUQ42"/>
      <c r="KUR42"/>
      <c r="KUS42"/>
      <c r="KUT42"/>
      <c r="KUU42"/>
      <c r="KUV42"/>
      <c r="KUW42"/>
      <c r="KUX42"/>
      <c r="KUY42"/>
      <c r="KUZ42"/>
      <c r="KVA42"/>
      <c r="KVB42"/>
      <c r="KVC42"/>
      <c r="KVD42"/>
      <c r="KVE42"/>
      <c r="KVF42"/>
      <c r="KVG42"/>
      <c r="KVH42"/>
      <c r="KVI42"/>
      <c r="KVJ42"/>
      <c r="KVK42"/>
      <c r="KVL42"/>
      <c r="KVM42"/>
      <c r="KVN42"/>
      <c r="KVO42"/>
      <c r="KVP42"/>
      <c r="KVQ42"/>
      <c r="KVR42"/>
      <c r="KVS42"/>
      <c r="KVT42"/>
      <c r="KVU42"/>
      <c r="KVV42"/>
      <c r="KVW42"/>
      <c r="KVX42"/>
      <c r="KVY42"/>
      <c r="KVZ42"/>
      <c r="KWA42"/>
      <c r="KWB42"/>
      <c r="KWC42"/>
      <c r="KWD42"/>
      <c r="KWE42"/>
      <c r="KWF42"/>
      <c r="KWG42"/>
      <c r="KWH42"/>
      <c r="KWI42"/>
      <c r="KWJ42"/>
      <c r="KWK42"/>
      <c r="KWL42"/>
      <c r="KWM42"/>
      <c r="KWN42"/>
      <c r="KWO42"/>
      <c r="KWP42"/>
      <c r="KWQ42"/>
      <c r="KWR42"/>
      <c r="KWS42"/>
      <c r="KWT42"/>
      <c r="KWU42"/>
      <c r="KWV42"/>
      <c r="KWW42"/>
      <c r="KWX42"/>
      <c r="KWY42"/>
      <c r="KWZ42"/>
      <c r="KXA42"/>
      <c r="KXB42"/>
      <c r="KXC42"/>
      <c r="KXD42"/>
      <c r="KXE42"/>
      <c r="KXF42"/>
      <c r="KXG42"/>
      <c r="KXH42"/>
      <c r="KXI42"/>
      <c r="KXJ42"/>
      <c r="KXK42"/>
      <c r="KXL42"/>
      <c r="KXM42"/>
      <c r="KXN42"/>
      <c r="KXO42"/>
      <c r="KXP42"/>
      <c r="KXQ42"/>
      <c r="KXR42"/>
      <c r="KXS42"/>
      <c r="KXT42"/>
      <c r="KXU42"/>
      <c r="KXV42"/>
      <c r="KXW42"/>
      <c r="KXX42"/>
      <c r="KXY42"/>
      <c r="KXZ42"/>
      <c r="KYA42"/>
      <c r="KYB42"/>
      <c r="KYC42"/>
      <c r="KYD42"/>
      <c r="KYE42"/>
      <c r="KYF42"/>
      <c r="KYG42"/>
      <c r="KYH42"/>
      <c r="KYI42"/>
      <c r="KYJ42"/>
      <c r="KYK42"/>
      <c r="KYL42"/>
      <c r="KYM42"/>
      <c r="KYN42"/>
      <c r="KYO42"/>
      <c r="KYP42"/>
      <c r="KYQ42"/>
      <c r="KYR42"/>
      <c r="KYS42"/>
      <c r="KYT42"/>
      <c r="KYU42"/>
      <c r="KYV42"/>
      <c r="KYW42"/>
      <c r="KYX42"/>
      <c r="KYY42"/>
      <c r="KYZ42"/>
      <c r="KZA42"/>
      <c r="KZB42"/>
      <c r="KZC42"/>
      <c r="KZD42"/>
      <c r="KZE42"/>
      <c r="KZF42"/>
      <c r="KZG42"/>
      <c r="KZH42"/>
      <c r="KZI42"/>
      <c r="KZJ42"/>
      <c r="KZK42"/>
      <c r="KZL42"/>
      <c r="KZM42"/>
      <c r="KZN42"/>
      <c r="KZO42"/>
      <c r="KZP42"/>
      <c r="KZQ42"/>
      <c r="KZR42"/>
      <c r="KZS42"/>
      <c r="KZT42"/>
      <c r="KZU42"/>
      <c r="KZV42"/>
      <c r="KZW42"/>
      <c r="KZX42"/>
      <c r="KZY42"/>
      <c r="KZZ42"/>
      <c r="LAA42"/>
      <c r="LAB42"/>
      <c r="LAC42"/>
      <c r="LAD42"/>
      <c r="LAE42"/>
      <c r="LAF42"/>
      <c r="LAG42"/>
      <c r="LAH42"/>
      <c r="LAI42"/>
      <c r="LAJ42"/>
      <c r="LAK42"/>
      <c r="LAL42"/>
      <c r="LAM42"/>
      <c r="LAN42"/>
      <c r="LAO42"/>
      <c r="LAP42"/>
      <c r="LAQ42"/>
      <c r="LAR42"/>
      <c r="LAS42"/>
      <c r="LAT42"/>
      <c r="LAU42"/>
      <c r="LAV42"/>
      <c r="LAW42"/>
      <c r="LAX42"/>
      <c r="LAY42"/>
      <c r="LAZ42"/>
      <c r="LBA42"/>
      <c r="LBB42"/>
      <c r="LBC42"/>
      <c r="LBD42"/>
      <c r="LBE42"/>
      <c r="LBF42"/>
      <c r="LBG42"/>
      <c r="LBH42"/>
      <c r="LBI42"/>
      <c r="LBJ42"/>
      <c r="LBK42"/>
      <c r="LBL42"/>
      <c r="LBM42"/>
      <c r="LBN42"/>
      <c r="LBO42"/>
      <c r="LBP42"/>
      <c r="LBQ42"/>
      <c r="LBR42"/>
      <c r="LBS42"/>
      <c r="LBT42"/>
      <c r="LBU42"/>
      <c r="LBV42"/>
      <c r="LBW42"/>
      <c r="LBX42"/>
      <c r="LBY42"/>
      <c r="LBZ42"/>
      <c r="LCA42"/>
      <c r="LCB42"/>
      <c r="LCC42"/>
      <c r="LCD42"/>
      <c r="LCE42"/>
      <c r="LCF42"/>
      <c r="LCG42"/>
      <c r="LCH42"/>
      <c r="LCI42"/>
      <c r="LCJ42"/>
      <c r="LCK42"/>
      <c r="LCL42"/>
      <c r="LCM42"/>
      <c r="LCN42"/>
      <c r="LCO42"/>
      <c r="LCP42"/>
      <c r="LCQ42"/>
      <c r="LCR42"/>
      <c r="LCS42"/>
      <c r="LCT42"/>
      <c r="LCU42"/>
      <c r="LCV42"/>
      <c r="LCW42"/>
      <c r="LCX42"/>
      <c r="LCY42"/>
      <c r="LCZ42"/>
      <c r="LDA42"/>
      <c r="LDB42"/>
      <c r="LDC42"/>
      <c r="LDD42"/>
      <c r="LDE42"/>
      <c r="LDF42"/>
      <c r="LDG42"/>
      <c r="LDH42"/>
      <c r="LDI42"/>
      <c r="LDJ42"/>
      <c r="LDK42"/>
      <c r="LDL42"/>
      <c r="LDM42"/>
      <c r="LDN42"/>
      <c r="LDO42"/>
      <c r="LDP42"/>
      <c r="LDQ42"/>
      <c r="LDR42"/>
      <c r="LDS42"/>
      <c r="LDT42"/>
      <c r="LDU42"/>
      <c r="LDV42"/>
      <c r="LDW42"/>
      <c r="LDX42"/>
      <c r="LDY42"/>
      <c r="LDZ42"/>
      <c r="LEA42"/>
      <c r="LEB42"/>
      <c r="LEC42"/>
      <c r="LED42"/>
      <c r="LEE42"/>
      <c r="LEF42"/>
      <c r="LEG42"/>
      <c r="LEH42"/>
      <c r="LEI42"/>
      <c r="LEJ42"/>
      <c r="LEK42"/>
      <c r="LEL42"/>
      <c r="LEM42"/>
      <c r="LEN42"/>
      <c r="LEO42"/>
      <c r="LEP42"/>
      <c r="LEQ42"/>
      <c r="LER42"/>
      <c r="LES42"/>
      <c r="LET42"/>
      <c r="LEU42"/>
      <c r="LEV42"/>
      <c r="LEW42"/>
      <c r="LEX42"/>
      <c r="LEY42"/>
      <c r="LEZ42"/>
      <c r="LFA42"/>
      <c r="LFB42"/>
      <c r="LFC42"/>
      <c r="LFD42"/>
      <c r="LFE42"/>
      <c r="LFF42"/>
      <c r="LFG42"/>
      <c r="LFH42"/>
      <c r="LFI42"/>
      <c r="LFJ42"/>
      <c r="LFK42"/>
      <c r="LFL42"/>
      <c r="LFM42"/>
      <c r="LFN42"/>
      <c r="LFO42"/>
      <c r="LFP42"/>
      <c r="LFQ42"/>
      <c r="LFR42"/>
      <c r="LFS42"/>
      <c r="LFT42"/>
      <c r="LFU42"/>
      <c r="LFV42"/>
      <c r="LFW42"/>
      <c r="LFX42"/>
      <c r="LFY42"/>
      <c r="LFZ42"/>
      <c r="LGA42"/>
      <c r="LGB42"/>
      <c r="LGC42"/>
      <c r="LGD42"/>
      <c r="LGE42"/>
      <c r="LGF42"/>
      <c r="LGG42"/>
      <c r="LGH42"/>
      <c r="LGI42"/>
      <c r="LGJ42"/>
      <c r="LGK42"/>
      <c r="LGL42"/>
      <c r="LGM42"/>
      <c r="LGN42"/>
      <c r="LGO42"/>
      <c r="LGP42"/>
      <c r="LGQ42"/>
      <c r="LGR42"/>
      <c r="LGS42"/>
      <c r="LGT42"/>
      <c r="LGU42"/>
      <c r="LGV42"/>
      <c r="LGW42"/>
      <c r="LGX42"/>
      <c r="LGY42"/>
      <c r="LGZ42"/>
      <c r="LHA42"/>
      <c r="LHB42"/>
      <c r="LHC42"/>
      <c r="LHD42"/>
      <c r="LHE42"/>
      <c r="LHF42"/>
      <c r="LHG42"/>
      <c r="LHH42"/>
      <c r="LHI42"/>
      <c r="LHJ42"/>
      <c r="LHK42"/>
      <c r="LHL42"/>
      <c r="LHM42"/>
      <c r="LHN42"/>
      <c r="LHO42"/>
      <c r="LHP42"/>
      <c r="LHQ42"/>
      <c r="LHR42"/>
      <c r="LHS42"/>
      <c r="LHT42"/>
      <c r="LHU42"/>
      <c r="LHV42"/>
      <c r="LHW42"/>
      <c r="LHX42"/>
      <c r="LHY42"/>
      <c r="LHZ42"/>
      <c r="LIA42"/>
      <c r="LIB42"/>
      <c r="LIC42"/>
      <c r="LID42"/>
      <c r="LIE42"/>
      <c r="LIF42"/>
      <c r="LIG42"/>
      <c r="LIH42"/>
      <c r="LII42"/>
      <c r="LIJ42"/>
      <c r="LIK42"/>
      <c r="LIL42"/>
      <c r="LIM42"/>
      <c r="LIN42"/>
      <c r="LIO42"/>
      <c r="LIP42"/>
      <c r="LIQ42"/>
      <c r="LIR42"/>
      <c r="LIS42"/>
      <c r="LIT42"/>
      <c r="LIU42"/>
      <c r="LIV42"/>
      <c r="LIW42"/>
      <c r="LIX42"/>
      <c r="LIY42"/>
      <c r="LIZ42"/>
      <c r="LJA42"/>
      <c r="LJB42"/>
      <c r="LJC42"/>
      <c r="LJD42"/>
      <c r="LJE42"/>
      <c r="LJF42"/>
      <c r="LJG42"/>
      <c r="LJH42"/>
      <c r="LJI42"/>
      <c r="LJJ42"/>
      <c r="LJK42"/>
      <c r="LJL42"/>
      <c r="LJM42"/>
      <c r="LJN42"/>
      <c r="LJO42"/>
      <c r="LJP42"/>
      <c r="LJQ42"/>
      <c r="LJR42"/>
      <c r="LJS42"/>
      <c r="LJT42"/>
      <c r="LJU42"/>
      <c r="LJV42"/>
      <c r="LJW42"/>
      <c r="LJX42"/>
      <c r="LJY42"/>
      <c r="LJZ42"/>
      <c r="LKA42"/>
      <c r="LKB42"/>
      <c r="LKC42"/>
      <c r="LKD42"/>
      <c r="LKE42"/>
      <c r="LKF42"/>
      <c r="LKG42"/>
      <c r="LKH42"/>
      <c r="LKI42"/>
      <c r="LKJ42"/>
      <c r="LKK42"/>
      <c r="LKL42"/>
      <c r="LKM42"/>
      <c r="LKN42"/>
      <c r="LKO42"/>
      <c r="LKP42"/>
      <c r="LKQ42"/>
      <c r="LKR42"/>
      <c r="LKS42"/>
      <c r="LKT42"/>
      <c r="LKU42"/>
      <c r="LKV42"/>
      <c r="LKW42"/>
      <c r="LKX42"/>
      <c r="LKY42"/>
      <c r="LKZ42"/>
      <c r="LLA42"/>
      <c r="LLB42"/>
      <c r="LLC42"/>
      <c r="LLD42"/>
      <c r="LLE42"/>
      <c r="LLF42"/>
      <c r="LLG42"/>
      <c r="LLH42"/>
      <c r="LLI42"/>
      <c r="LLJ42"/>
      <c r="LLK42"/>
      <c r="LLL42"/>
      <c r="LLM42"/>
      <c r="LLN42"/>
      <c r="LLO42"/>
      <c r="LLP42"/>
      <c r="LLQ42"/>
      <c r="LLR42"/>
      <c r="LLS42"/>
      <c r="LLT42"/>
      <c r="LLU42"/>
      <c r="LLV42"/>
      <c r="LLW42"/>
      <c r="LLX42"/>
      <c r="LLY42"/>
      <c r="LLZ42"/>
      <c r="LMA42"/>
      <c r="LMB42"/>
      <c r="LMC42"/>
      <c r="LMD42"/>
      <c r="LME42"/>
      <c r="LMF42"/>
      <c r="LMG42"/>
      <c r="LMH42"/>
      <c r="LMI42"/>
      <c r="LMJ42"/>
      <c r="LMK42"/>
      <c r="LML42"/>
      <c r="LMM42"/>
      <c r="LMN42"/>
      <c r="LMO42"/>
      <c r="LMP42"/>
      <c r="LMQ42"/>
      <c r="LMR42"/>
      <c r="LMS42"/>
      <c r="LMT42"/>
      <c r="LMU42"/>
      <c r="LMV42"/>
      <c r="LMW42"/>
      <c r="LMX42"/>
      <c r="LMY42"/>
      <c r="LMZ42"/>
      <c r="LNA42"/>
      <c r="LNB42"/>
      <c r="LNC42"/>
      <c r="LND42"/>
      <c r="LNE42"/>
      <c r="LNF42"/>
      <c r="LNG42"/>
      <c r="LNH42"/>
      <c r="LNI42"/>
      <c r="LNJ42"/>
      <c r="LNK42"/>
      <c r="LNL42"/>
      <c r="LNM42"/>
      <c r="LNN42"/>
      <c r="LNO42"/>
      <c r="LNP42"/>
      <c r="LNQ42"/>
      <c r="LNR42"/>
      <c r="LNS42"/>
      <c r="LNT42"/>
      <c r="LNU42"/>
      <c r="LNV42"/>
      <c r="LNW42"/>
      <c r="LNX42"/>
      <c r="LNY42"/>
      <c r="LNZ42"/>
      <c r="LOA42"/>
      <c r="LOB42"/>
      <c r="LOC42"/>
      <c r="LOD42"/>
      <c r="LOE42"/>
      <c r="LOF42"/>
      <c r="LOG42"/>
      <c r="LOH42"/>
      <c r="LOI42"/>
      <c r="LOJ42"/>
      <c r="LOK42"/>
      <c r="LOL42"/>
      <c r="LOM42"/>
      <c r="LON42"/>
      <c r="LOO42"/>
      <c r="LOP42"/>
      <c r="LOQ42"/>
      <c r="LOR42"/>
      <c r="LOS42"/>
      <c r="LOT42"/>
      <c r="LOU42"/>
      <c r="LOV42"/>
      <c r="LOW42"/>
      <c r="LOX42"/>
      <c r="LOY42"/>
      <c r="LOZ42"/>
      <c r="LPA42"/>
      <c r="LPB42"/>
      <c r="LPC42"/>
      <c r="LPD42"/>
      <c r="LPE42"/>
      <c r="LPF42"/>
      <c r="LPG42"/>
      <c r="LPH42"/>
      <c r="LPI42"/>
      <c r="LPJ42"/>
      <c r="LPK42"/>
      <c r="LPL42"/>
      <c r="LPM42"/>
      <c r="LPN42"/>
      <c r="LPO42"/>
      <c r="LPP42"/>
      <c r="LPQ42"/>
      <c r="LPR42"/>
      <c r="LPS42"/>
      <c r="LPT42"/>
      <c r="LPU42"/>
      <c r="LPV42"/>
      <c r="LPW42"/>
      <c r="LPX42"/>
      <c r="LPY42"/>
      <c r="LPZ42"/>
      <c r="LQA42"/>
      <c r="LQB42"/>
      <c r="LQC42"/>
      <c r="LQD42"/>
      <c r="LQE42"/>
      <c r="LQF42"/>
      <c r="LQG42"/>
      <c r="LQH42"/>
      <c r="LQI42"/>
      <c r="LQJ42"/>
      <c r="LQK42"/>
      <c r="LQL42"/>
      <c r="LQM42"/>
      <c r="LQN42"/>
      <c r="LQO42"/>
      <c r="LQP42"/>
      <c r="LQQ42"/>
      <c r="LQR42"/>
      <c r="LQS42"/>
      <c r="LQT42"/>
      <c r="LQU42"/>
      <c r="LQV42"/>
      <c r="LQW42"/>
      <c r="LQX42"/>
      <c r="LQY42"/>
      <c r="LQZ42"/>
      <c r="LRA42"/>
      <c r="LRB42"/>
      <c r="LRC42"/>
      <c r="LRD42"/>
      <c r="LRE42"/>
      <c r="LRF42"/>
      <c r="LRG42"/>
      <c r="LRH42"/>
      <c r="LRI42"/>
      <c r="LRJ42"/>
      <c r="LRK42"/>
      <c r="LRL42"/>
      <c r="LRM42"/>
      <c r="LRN42"/>
      <c r="LRO42"/>
      <c r="LRP42"/>
      <c r="LRQ42"/>
      <c r="LRR42"/>
      <c r="LRS42"/>
      <c r="LRT42"/>
      <c r="LRU42"/>
      <c r="LRV42"/>
      <c r="LRW42"/>
      <c r="LRX42"/>
      <c r="LRY42"/>
      <c r="LRZ42"/>
      <c r="LSA42"/>
      <c r="LSB42"/>
      <c r="LSC42"/>
      <c r="LSD42"/>
      <c r="LSE42"/>
      <c r="LSF42"/>
      <c r="LSG42"/>
      <c r="LSH42"/>
      <c r="LSI42"/>
      <c r="LSJ42"/>
      <c r="LSK42"/>
      <c r="LSL42"/>
      <c r="LSM42"/>
      <c r="LSN42"/>
      <c r="LSO42"/>
      <c r="LSP42"/>
      <c r="LSQ42"/>
      <c r="LSR42"/>
      <c r="LSS42"/>
      <c r="LST42"/>
      <c r="LSU42"/>
      <c r="LSV42"/>
      <c r="LSW42"/>
      <c r="LSX42"/>
      <c r="LSY42"/>
      <c r="LSZ42"/>
      <c r="LTA42"/>
      <c r="LTB42"/>
      <c r="LTC42"/>
      <c r="LTD42"/>
      <c r="LTE42"/>
      <c r="LTF42"/>
      <c r="LTG42"/>
      <c r="LTH42"/>
      <c r="LTI42"/>
      <c r="LTJ42"/>
      <c r="LTK42"/>
      <c r="LTL42"/>
      <c r="LTM42"/>
      <c r="LTN42"/>
      <c r="LTO42"/>
      <c r="LTP42"/>
      <c r="LTQ42"/>
      <c r="LTR42"/>
      <c r="LTS42"/>
      <c r="LTT42"/>
      <c r="LTU42"/>
      <c r="LTV42"/>
      <c r="LTW42"/>
      <c r="LTX42"/>
      <c r="LTY42"/>
      <c r="LTZ42"/>
      <c r="LUA42"/>
      <c r="LUB42"/>
      <c r="LUC42"/>
      <c r="LUD42"/>
      <c r="LUE42"/>
      <c r="LUF42"/>
      <c r="LUG42"/>
      <c r="LUH42"/>
      <c r="LUI42"/>
      <c r="LUJ42"/>
      <c r="LUK42"/>
      <c r="LUL42"/>
      <c r="LUM42"/>
      <c r="LUN42"/>
      <c r="LUO42"/>
      <c r="LUP42"/>
      <c r="LUQ42"/>
      <c r="LUR42"/>
      <c r="LUS42"/>
      <c r="LUT42"/>
      <c r="LUU42"/>
      <c r="LUV42"/>
      <c r="LUW42"/>
      <c r="LUX42"/>
      <c r="LUY42"/>
      <c r="LUZ42"/>
      <c r="LVA42"/>
      <c r="LVB42"/>
      <c r="LVC42"/>
      <c r="LVD42"/>
      <c r="LVE42"/>
      <c r="LVF42"/>
      <c r="LVG42"/>
      <c r="LVH42"/>
      <c r="LVI42"/>
      <c r="LVJ42"/>
      <c r="LVK42"/>
      <c r="LVL42"/>
      <c r="LVM42"/>
      <c r="LVN42"/>
      <c r="LVO42"/>
      <c r="LVP42"/>
      <c r="LVQ42"/>
      <c r="LVR42"/>
      <c r="LVS42"/>
      <c r="LVT42"/>
      <c r="LVU42"/>
      <c r="LVV42"/>
      <c r="LVW42"/>
      <c r="LVX42"/>
      <c r="LVY42"/>
      <c r="LVZ42"/>
      <c r="LWA42"/>
      <c r="LWB42"/>
      <c r="LWC42"/>
      <c r="LWD42"/>
      <c r="LWE42"/>
      <c r="LWF42"/>
      <c r="LWG42"/>
      <c r="LWH42"/>
      <c r="LWI42"/>
      <c r="LWJ42"/>
      <c r="LWK42"/>
      <c r="LWL42"/>
      <c r="LWM42"/>
      <c r="LWN42"/>
      <c r="LWO42"/>
      <c r="LWP42"/>
      <c r="LWQ42"/>
      <c r="LWR42"/>
      <c r="LWS42"/>
      <c r="LWT42"/>
      <c r="LWU42"/>
      <c r="LWV42"/>
      <c r="LWW42"/>
      <c r="LWX42"/>
      <c r="LWY42"/>
      <c r="LWZ42"/>
      <c r="LXA42"/>
      <c r="LXB42"/>
      <c r="LXC42"/>
      <c r="LXD42"/>
      <c r="LXE42"/>
      <c r="LXF42"/>
      <c r="LXG42"/>
      <c r="LXH42"/>
      <c r="LXI42"/>
      <c r="LXJ42"/>
      <c r="LXK42"/>
      <c r="LXL42"/>
      <c r="LXM42"/>
      <c r="LXN42"/>
      <c r="LXO42"/>
      <c r="LXP42"/>
      <c r="LXQ42"/>
      <c r="LXR42"/>
      <c r="LXS42"/>
      <c r="LXT42"/>
      <c r="LXU42"/>
      <c r="LXV42"/>
      <c r="LXW42"/>
      <c r="LXX42"/>
      <c r="LXY42"/>
      <c r="LXZ42"/>
      <c r="LYA42"/>
      <c r="LYB42"/>
      <c r="LYC42"/>
      <c r="LYD42"/>
      <c r="LYE42"/>
      <c r="LYF42"/>
      <c r="LYG42"/>
      <c r="LYH42"/>
      <c r="LYI42"/>
      <c r="LYJ42"/>
      <c r="LYK42"/>
      <c r="LYL42"/>
      <c r="LYM42"/>
      <c r="LYN42"/>
      <c r="LYO42"/>
      <c r="LYP42"/>
      <c r="LYQ42"/>
      <c r="LYR42"/>
      <c r="LYS42"/>
      <c r="LYT42"/>
      <c r="LYU42"/>
      <c r="LYV42"/>
      <c r="LYW42"/>
      <c r="LYX42"/>
      <c r="LYY42"/>
      <c r="LYZ42"/>
      <c r="LZA42"/>
      <c r="LZB42"/>
      <c r="LZC42"/>
      <c r="LZD42"/>
      <c r="LZE42"/>
      <c r="LZF42"/>
      <c r="LZG42"/>
      <c r="LZH42"/>
      <c r="LZI42"/>
      <c r="LZJ42"/>
      <c r="LZK42"/>
      <c r="LZL42"/>
      <c r="LZM42"/>
      <c r="LZN42"/>
      <c r="LZO42"/>
      <c r="LZP42"/>
      <c r="LZQ42"/>
      <c r="LZR42"/>
      <c r="LZS42"/>
      <c r="LZT42"/>
      <c r="LZU42"/>
      <c r="LZV42"/>
      <c r="LZW42"/>
      <c r="LZX42"/>
      <c r="LZY42"/>
      <c r="LZZ42"/>
      <c r="MAA42"/>
      <c r="MAB42"/>
      <c r="MAC42"/>
      <c r="MAD42"/>
      <c r="MAE42"/>
      <c r="MAF42"/>
      <c r="MAG42"/>
      <c r="MAH42"/>
      <c r="MAI42"/>
      <c r="MAJ42"/>
      <c r="MAK42"/>
      <c r="MAL42"/>
      <c r="MAM42"/>
      <c r="MAN42"/>
      <c r="MAO42"/>
      <c r="MAP42"/>
      <c r="MAQ42"/>
      <c r="MAR42"/>
      <c r="MAS42"/>
      <c r="MAT42"/>
      <c r="MAU42"/>
      <c r="MAV42"/>
      <c r="MAW42"/>
      <c r="MAX42"/>
      <c r="MAY42"/>
      <c r="MAZ42"/>
      <c r="MBA42"/>
      <c r="MBB42"/>
      <c r="MBC42"/>
      <c r="MBD42"/>
      <c r="MBE42"/>
      <c r="MBF42"/>
      <c r="MBG42"/>
      <c r="MBH42"/>
      <c r="MBI42"/>
      <c r="MBJ42"/>
      <c r="MBK42"/>
      <c r="MBL42"/>
      <c r="MBM42"/>
      <c r="MBN42"/>
      <c r="MBO42"/>
      <c r="MBP42"/>
      <c r="MBQ42"/>
      <c r="MBR42"/>
      <c r="MBS42"/>
      <c r="MBT42"/>
      <c r="MBU42"/>
      <c r="MBV42"/>
      <c r="MBW42"/>
      <c r="MBX42"/>
      <c r="MBY42"/>
      <c r="MBZ42"/>
      <c r="MCA42"/>
      <c r="MCB42"/>
      <c r="MCC42"/>
      <c r="MCD42"/>
      <c r="MCE42"/>
      <c r="MCF42"/>
      <c r="MCG42"/>
      <c r="MCH42"/>
      <c r="MCI42"/>
      <c r="MCJ42"/>
      <c r="MCK42"/>
      <c r="MCL42"/>
      <c r="MCM42"/>
      <c r="MCN42"/>
      <c r="MCO42"/>
      <c r="MCP42"/>
      <c r="MCQ42"/>
      <c r="MCR42"/>
      <c r="MCS42"/>
      <c r="MCT42"/>
      <c r="MCU42"/>
      <c r="MCV42"/>
      <c r="MCW42"/>
      <c r="MCX42"/>
      <c r="MCY42"/>
      <c r="MCZ42"/>
      <c r="MDA42"/>
      <c r="MDB42"/>
      <c r="MDC42"/>
      <c r="MDD42"/>
      <c r="MDE42"/>
      <c r="MDF42"/>
      <c r="MDG42"/>
      <c r="MDH42"/>
      <c r="MDI42"/>
      <c r="MDJ42"/>
      <c r="MDK42"/>
      <c r="MDL42"/>
      <c r="MDM42"/>
      <c r="MDN42"/>
      <c r="MDO42"/>
      <c r="MDP42"/>
      <c r="MDQ42"/>
      <c r="MDR42"/>
      <c r="MDS42"/>
      <c r="MDT42"/>
      <c r="MDU42"/>
      <c r="MDV42"/>
      <c r="MDW42"/>
      <c r="MDX42"/>
      <c r="MDY42"/>
      <c r="MDZ42"/>
      <c r="MEA42"/>
      <c r="MEB42"/>
      <c r="MEC42"/>
      <c r="MED42"/>
      <c r="MEE42"/>
      <c r="MEF42"/>
      <c r="MEG42"/>
      <c r="MEH42"/>
      <c r="MEI42"/>
      <c r="MEJ42"/>
      <c r="MEK42"/>
      <c r="MEL42"/>
      <c r="MEM42"/>
      <c r="MEN42"/>
      <c r="MEO42"/>
      <c r="MEP42"/>
      <c r="MEQ42"/>
      <c r="MER42"/>
      <c r="MES42"/>
      <c r="MET42"/>
      <c r="MEU42"/>
      <c r="MEV42"/>
      <c r="MEW42"/>
      <c r="MEX42"/>
      <c r="MEY42"/>
      <c r="MEZ42"/>
      <c r="MFA42"/>
      <c r="MFB42"/>
      <c r="MFC42"/>
      <c r="MFD42"/>
      <c r="MFE42"/>
      <c r="MFF42"/>
      <c r="MFG42"/>
      <c r="MFH42"/>
      <c r="MFI42"/>
      <c r="MFJ42"/>
      <c r="MFK42"/>
      <c r="MFL42"/>
      <c r="MFM42"/>
      <c r="MFN42"/>
      <c r="MFO42"/>
      <c r="MFP42"/>
      <c r="MFQ42"/>
      <c r="MFR42"/>
      <c r="MFS42"/>
      <c r="MFT42"/>
      <c r="MFU42"/>
      <c r="MFV42"/>
      <c r="MFW42"/>
      <c r="MFX42"/>
      <c r="MFY42"/>
      <c r="MFZ42"/>
      <c r="MGA42"/>
      <c r="MGB42"/>
      <c r="MGC42"/>
      <c r="MGD42"/>
      <c r="MGE42"/>
      <c r="MGF42"/>
      <c r="MGG42"/>
      <c r="MGH42"/>
      <c r="MGI42"/>
      <c r="MGJ42"/>
      <c r="MGK42"/>
      <c r="MGL42"/>
      <c r="MGM42"/>
      <c r="MGN42"/>
      <c r="MGO42"/>
      <c r="MGP42"/>
      <c r="MGQ42"/>
      <c r="MGR42"/>
      <c r="MGS42"/>
      <c r="MGT42"/>
      <c r="MGU42"/>
      <c r="MGV42"/>
      <c r="MGW42"/>
      <c r="MGX42"/>
      <c r="MGY42"/>
      <c r="MGZ42"/>
      <c r="MHA42"/>
      <c r="MHB42"/>
      <c r="MHC42"/>
      <c r="MHD42"/>
      <c r="MHE42"/>
      <c r="MHF42"/>
      <c r="MHG42"/>
      <c r="MHH42"/>
      <c r="MHI42"/>
      <c r="MHJ42"/>
      <c r="MHK42"/>
      <c r="MHL42"/>
      <c r="MHM42"/>
      <c r="MHN42"/>
      <c r="MHO42"/>
      <c r="MHP42"/>
      <c r="MHQ42"/>
      <c r="MHR42"/>
      <c r="MHS42"/>
      <c r="MHT42"/>
      <c r="MHU42"/>
      <c r="MHV42"/>
      <c r="MHW42"/>
      <c r="MHX42"/>
      <c r="MHY42"/>
      <c r="MHZ42"/>
      <c r="MIA42"/>
      <c r="MIB42"/>
      <c r="MIC42"/>
      <c r="MID42"/>
      <c r="MIE42"/>
      <c r="MIF42"/>
      <c r="MIG42"/>
      <c r="MIH42"/>
      <c r="MII42"/>
      <c r="MIJ42"/>
      <c r="MIK42"/>
      <c r="MIL42"/>
      <c r="MIM42"/>
      <c r="MIN42"/>
      <c r="MIO42"/>
      <c r="MIP42"/>
      <c r="MIQ42"/>
      <c r="MIR42"/>
      <c r="MIS42"/>
      <c r="MIT42"/>
      <c r="MIU42"/>
      <c r="MIV42"/>
      <c r="MIW42"/>
      <c r="MIX42"/>
      <c r="MIY42"/>
      <c r="MIZ42"/>
      <c r="MJA42"/>
      <c r="MJB42"/>
      <c r="MJC42"/>
      <c r="MJD42"/>
      <c r="MJE42"/>
      <c r="MJF42"/>
      <c r="MJG42"/>
      <c r="MJH42"/>
      <c r="MJI42"/>
      <c r="MJJ42"/>
      <c r="MJK42"/>
      <c r="MJL42"/>
      <c r="MJM42"/>
      <c r="MJN42"/>
      <c r="MJO42"/>
      <c r="MJP42"/>
      <c r="MJQ42"/>
      <c r="MJR42"/>
      <c r="MJS42"/>
      <c r="MJT42"/>
      <c r="MJU42"/>
      <c r="MJV42"/>
      <c r="MJW42"/>
      <c r="MJX42"/>
      <c r="MJY42"/>
      <c r="MJZ42"/>
      <c r="MKA42"/>
      <c r="MKB42"/>
      <c r="MKC42"/>
      <c r="MKD42"/>
      <c r="MKE42"/>
      <c r="MKF42"/>
      <c r="MKG42"/>
      <c r="MKH42"/>
      <c r="MKI42"/>
      <c r="MKJ42"/>
      <c r="MKK42"/>
      <c r="MKL42"/>
      <c r="MKM42"/>
      <c r="MKN42"/>
      <c r="MKO42"/>
      <c r="MKP42"/>
      <c r="MKQ42"/>
      <c r="MKR42"/>
      <c r="MKS42"/>
      <c r="MKT42"/>
      <c r="MKU42"/>
      <c r="MKV42"/>
      <c r="MKW42"/>
      <c r="MKX42"/>
      <c r="MKY42"/>
      <c r="MKZ42"/>
      <c r="MLA42"/>
      <c r="MLB42"/>
      <c r="MLC42"/>
      <c r="MLD42"/>
      <c r="MLE42"/>
      <c r="MLF42"/>
      <c r="MLG42"/>
      <c r="MLH42"/>
      <c r="MLI42"/>
      <c r="MLJ42"/>
      <c r="MLK42"/>
      <c r="MLL42"/>
      <c r="MLM42"/>
      <c r="MLN42"/>
      <c r="MLO42"/>
      <c r="MLP42"/>
      <c r="MLQ42"/>
      <c r="MLR42"/>
      <c r="MLS42"/>
      <c r="MLT42"/>
      <c r="MLU42"/>
      <c r="MLV42"/>
      <c r="MLW42"/>
      <c r="MLX42"/>
      <c r="MLY42"/>
      <c r="MLZ42"/>
      <c r="MMA42"/>
      <c r="MMB42"/>
      <c r="MMC42"/>
      <c r="MMD42"/>
      <c r="MME42"/>
      <c r="MMF42"/>
      <c r="MMG42"/>
      <c r="MMH42"/>
      <c r="MMI42"/>
      <c r="MMJ42"/>
      <c r="MMK42"/>
      <c r="MML42"/>
      <c r="MMM42"/>
      <c r="MMN42"/>
      <c r="MMO42"/>
      <c r="MMP42"/>
      <c r="MMQ42"/>
      <c r="MMR42"/>
      <c r="MMS42"/>
      <c r="MMT42"/>
      <c r="MMU42"/>
      <c r="MMV42"/>
      <c r="MMW42"/>
      <c r="MMX42"/>
      <c r="MMY42"/>
      <c r="MMZ42"/>
      <c r="MNA42"/>
      <c r="MNB42"/>
      <c r="MNC42"/>
      <c r="MND42"/>
      <c r="MNE42"/>
      <c r="MNF42"/>
      <c r="MNG42"/>
      <c r="MNH42"/>
      <c r="MNI42"/>
      <c r="MNJ42"/>
      <c r="MNK42"/>
      <c r="MNL42"/>
      <c r="MNM42"/>
      <c r="MNN42"/>
      <c r="MNO42"/>
      <c r="MNP42"/>
      <c r="MNQ42"/>
      <c r="MNR42"/>
      <c r="MNS42"/>
      <c r="MNT42"/>
      <c r="MNU42"/>
      <c r="MNV42"/>
      <c r="MNW42"/>
      <c r="MNX42"/>
      <c r="MNY42"/>
      <c r="MNZ42"/>
      <c r="MOA42"/>
      <c r="MOB42"/>
      <c r="MOC42"/>
      <c r="MOD42"/>
      <c r="MOE42"/>
      <c r="MOF42"/>
      <c r="MOG42"/>
      <c r="MOH42"/>
      <c r="MOI42"/>
      <c r="MOJ42"/>
      <c r="MOK42"/>
      <c r="MOL42"/>
      <c r="MOM42"/>
      <c r="MON42"/>
      <c r="MOO42"/>
      <c r="MOP42"/>
      <c r="MOQ42"/>
      <c r="MOR42"/>
      <c r="MOS42"/>
      <c r="MOT42"/>
      <c r="MOU42"/>
      <c r="MOV42"/>
      <c r="MOW42"/>
      <c r="MOX42"/>
      <c r="MOY42"/>
      <c r="MOZ42"/>
      <c r="MPA42"/>
      <c r="MPB42"/>
      <c r="MPC42"/>
      <c r="MPD42"/>
      <c r="MPE42"/>
      <c r="MPF42"/>
      <c r="MPG42"/>
      <c r="MPH42"/>
      <c r="MPI42"/>
      <c r="MPJ42"/>
      <c r="MPK42"/>
      <c r="MPL42"/>
      <c r="MPM42"/>
      <c r="MPN42"/>
      <c r="MPO42"/>
      <c r="MPP42"/>
      <c r="MPQ42"/>
      <c r="MPR42"/>
      <c r="MPS42"/>
      <c r="MPT42"/>
      <c r="MPU42"/>
      <c r="MPV42"/>
      <c r="MPW42"/>
      <c r="MPX42"/>
      <c r="MPY42"/>
      <c r="MPZ42"/>
      <c r="MQA42"/>
      <c r="MQB42"/>
      <c r="MQC42"/>
      <c r="MQD42"/>
      <c r="MQE42"/>
      <c r="MQF42"/>
      <c r="MQG42"/>
      <c r="MQH42"/>
      <c r="MQI42"/>
      <c r="MQJ42"/>
      <c r="MQK42"/>
      <c r="MQL42"/>
      <c r="MQM42"/>
      <c r="MQN42"/>
      <c r="MQO42"/>
      <c r="MQP42"/>
      <c r="MQQ42"/>
      <c r="MQR42"/>
      <c r="MQS42"/>
      <c r="MQT42"/>
      <c r="MQU42"/>
      <c r="MQV42"/>
      <c r="MQW42"/>
      <c r="MQX42"/>
      <c r="MQY42"/>
      <c r="MQZ42"/>
      <c r="MRA42"/>
      <c r="MRB42"/>
      <c r="MRC42"/>
      <c r="MRD42"/>
      <c r="MRE42"/>
      <c r="MRF42"/>
      <c r="MRG42"/>
      <c r="MRH42"/>
      <c r="MRI42"/>
      <c r="MRJ42"/>
      <c r="MRK42"/>
      <c r="MRL42"/>
      <c r="MRM42"/>
      <c r="MRN42"/>
      <c r="MRO42"/>
      <c r="MRP42"/>
      <c r="MRQ42"/>
      <c r="MRR42"/>
      <c r="MRS42"/>
      <c r="MRT42"/>
      <c r="MRU42"/>
      <c r="MRV42"/>
      <c r="MRW42"/>
      <c r="MRX42"/>
      <c r="MRY42"/>
      <c r="MRZ42"/>
      <c r="MSA42"/>
      <c r="MSB42"/>
      <c r="MSC42"/>
      <c r="MSD42"/>
      <c r="MSE42"/>
      <c r="MSF42"/>
      <c r="MSG42"/>
      <c r="MSH42"/>
      <c r="MSI42"/>
      <c r="MSJ42"/>
      <c r="MSK42"/>
      <c r="MSL42"/>
      <c r="MSM42"/>
      <c r="MSN42"/>
      <c r="MSO42"/>
      <c r="MSP42"/>
      <c r="MSQ42"/>
      <c r="MSR42"/>
      <c r="MSS42"/>
      <c r="MST42"/>
      <c r="MSU42"/>
      <c r="MSV42"/>
      <c r="MSW42"/>
      <c r="MSX42"/>
      <c r="MSY42"/>
      <c r="MSZ42"/>
      <c r="MTA42"/>
      <c r="MTB42"/>
      <c r="MTC42"/>
      <c r="MTD42"/>
      <c r="MTE42"/>
      <c r="MTF42"/>
      <c r="MTG42"/>
      <c r="MTH42"/>
      <c r="MTI42"/>
      <c r="MTJ42"/>
      <c r="MTK42"/>
      <c r="MTL42"/>
      <c r="MTM42"/>
      <c r="MTN42"/>
      <c r="MTO42"/>
      <c r="MTP42"/>
      <c r="MTQ42"/>
      <c r="MTR42"/>
      <c r="MTS42"/>
      <c r="MTT42"/>
      <c r="MTU42"/>
      <c r="MTV42"/>
      <c r="MTW42"/>
      <c r="MTX42"/>
      <c r="MTY42"/>
      <c r="MTZ42"/>
      <c r="MUA42"/>
      <c r="MUB42"/>
      <c r="MUC42"/>
      <c r="MUD42"/>
      <c r="MUE42"/>
      <c r="MUF42"/>
      <c r="MUG42"/>
      <c r="MUH42"/>
      <c r="MUI42"/>
      <c r="MUJ42"/>
      <c r="MUK42"/>
      <c r="MUL42"/>
      <c r="MUM42"/>
      <c r="MUN42"/>
      <c r="MUO42"/>
      <c r="MUP42"/>
      <c r="MUQ42"/>
      <c r="MUR42"/>
      <c r="MUS42"/>
      <c r="MUT42"/>
      <c r="MUU42"/>
      <c r="MUV42"/>
      <c r="MUW42"/>
      <c r="MUX42"/>
      <c r="MUY42"/>
      <c r="MUZ42"/>
      <c r="MVA42"/>
      <c r="MVB42"/>
      <c r="MVC42"/>
      <c r="MVD42"/>
      <c r="MVE42"/>
      <c r="MVF42"/>
      <c r="MVG42"/>
      <c r="MVH42"/>
      <c r="MVI42"/>
      <c r="MVJ42"/>
      <c r="MVK42"/>
      <c r="MVL42"/>
      <c r="MVM42"/>
      <c r="MVN42"/>
      <c r="MVO42"/>
      <c r="MVP42"/>
      <c r="MVQ42"/>
      <c r="MVR42"/>
      <c r="MVS42"/>
      <c r="MVT42"/>
      <c r="MVU42"/>
      <c r="MVV42"/>
      <c r="MVW42"/>
      <c r="MVX42"/>
      <c r="MVY42"/>
      <c r="MVZ42"/>
      <c r="MWA42"/>
      <c r="MWB42"/>
      <c r="MWC42"/>
      <c r="MWD42"/>
      <c r="MWE42"/>
      <c r="MWF42"/>
      <c r="MWG42"/>
      <c r="MWH42"/>
      <c r="MWI42"/>
      <c r="MWJ42"/>
      <c r="MWK42"/>
      <c r="MWL42"/>
      <c r="MWM42"/>
      <c r="MWN42"/>
      <c r="MWO42"/>
      <c r="MWP42"/>
      <c r="MWQ42"/>
      <c r="MWR42"/>
      <c r="MWS42"/>
      <c r="MWT42"/>
      <c r="MWU42"/>
      <c r="MWV42"/>
      <c r="MWW42"/>
      <c r="MWX42"/>
      <c r="MWY42"/>
      <c r="MWZ42"/>
      <c r="MXA42"/>
      <c r="MXB42"/>
      <c r="MXC42"/>
      <c r="MXD42"/>
      <c r="MXE42"/>
      <c r="MXF42"/>
      <c r="MXG42"/>
      <c r="MXH42"/>
      <c r="MXI42"/>
      <c r="MXJ42"/>
      <c r="MXK42"/>
      <c r="MXL42"/>
      <c r="MXM42"/>
      <c r="MXN42"/>
      <c r="MXO42"/>
      <c r="MXP42"/>
      <c r="MXQ42"/>
      <c r="MXR42"/>
      <c r="MXS42"/>
      <c r="MXT42"/>
      <c r="MXU42"/>
      <c r="MXV42"/>
      <c r="MXW42"/>
      <c r="MXX42"/>
      <c r="MXY42"/>
      <c r="MXZ42"/>
      <c r="MYA42"/>
      <c r="MYB42"/>
      <c r="MYC42"/>
      <c r="MYD42"/>
      <c r="MYE42"/>
      <c r="MYF42"/>
      <c r="MYG42"/>
      <c r="MYH42"/>
      <c r="MYI42"/>
      <c r="MYJ42"/>
      <c r="MYK42"/>
      <c r="MYL42"/>
      <c r="MYM42"/>
      <c r="MYN42"/>
      <c r="MYO42"/>
      <c r="MYP42"/>
      <c r="MYQ42"/>
      <c r="MYR42"/>
      <c r="MYS42"/>
      <c r="MYT42"/>
      <c r="MYU42"/>
      <c r="MYV42"/>
      <c r="MYW42"/>
      <c r="MYX42"/>
      <c r="MYY42"/>
      <c r="MYZ42"/>
      <c r="MZA42"/>
      <c r="MZB42"/>
      <c r="MZC42"/>
      <c r="MZD42"/>
      <c r="MZE42"/>
      <c r="MZF42"/>
      <c r="MZG42"/>
      <c r="MZH42"/>
      <c r="MZI42"/>
      <c r="MZJ42"/>
      <c r="MZK42"/>
      <c r="MZL42"/>
      <c r="MZM42"/>
      <c r="MZN42"/>
      <c r="MZO42"/>
      <c r="MZP42"/>
      <c r="MZQ42"/>
      <c r="MZR42"/>
      <c r="MZS42"/>
      <c r="MZT42"/>
      <c r="MZU42"/>
      <c r="MZV42"/>
      <c r="MZW42"/>
      <c r="MZX42"/>
      <c r="MZY42"/>
      <c r="MZZ42"/>
      <c r="NAA42"/>
      <c r="NAB42"/>
      <c r="NAC42"/>
      <c r="NAD42"/>
      <c r="NAE42"/>
      <c r="NAF42"/>
      <c r="NAG42"/>
      <c r="NAH42"/>
      <c r="NAI42"/>
      <c r="NAJ42"/>
      <c r="NAK42"/>
      <c r="NAL42"/>
      <c r="NAM42"/>
      <c r="NAN42"/>
      <c r="NAO42"/>
      <c r="NAP42"/>
      <c r="NAQ42"/>
      <c r="NAR42"/>
      <c r="NAS42"/>
      <c r="NAT42"/>
      <c r="NAU42"/>
      <c r="NAV42"/>
      <c r="NAW42"/>
      <c r="NAX42"/>
      <c r="NAY42"/>
      <c r="NAZ42"/>
      <c r="NBA42"/>
      <c r="NBB42"/>
      <c r="NBC42"/>
      <c r="NBD42"/>
      <c r="NBE42"/>
      <c r="NBF42"/>
      <c r="NBG42"/>
      <c r="NBH42"/>
      <c r="NBI42"/>
      <c r="NBJ42"/>
      <c r="NBK42"/>
      <c r="NBL42"/>
      <c r="NBM42"/>
      <c r="NBN42"/>
      <c r="NBO42"/>
      <c r="NBP42"/>
      <c r="NBQ42"/>
      <c r="NBR42"/>
      <c r="NBS42"/>
      <c r="NBT42"/>
      <c r="NBU42"/>
      <c r="NBV42"/>
      <c r="NBW42"/>
      <c r="NBX42"/>
      <c r="NBY42"/>
      <c r="NBZ42"/>
      <c r="NCA42"/>
      <c r="NCB42"/>
      <c r="NCC42"/>
      <c r="NCD42"/>
      <c r="NCE42"/>
      <c r="NCF42"/>
      <c r="NCG42"/>
      <c r="NCH42"/>
      <c r="NCI42"/>
      <c r="NCJ42"/>
      <c r="NCK42"/>
      <c r="NCL42"/>
      <c r="NCM42"/>
      <c r="NCN42"/>
      <c r="NCO42"/>
      <c r="NCP42"/>
      <c r="NCQ42"/>
      <c r="NCR42"/>
      <c r="NCS42"/>
      <c r="NCT42"/>
      <c r="NCU42"/>
      <c r="NCV42"/>
      <c r="NCW42"/>
      <c r="NCX42"/>
      <c r="NCY42"/>
      <c r="NCZ42"/>
      <c r="NDA42"/>
      <c r="NDB42"/>
      <c r="NDC42"/>
      <c r="NDD42"/>
      <c r="NDE42"/>
      <c r="NDF42"/>
      <c r="NDG42"/>
      <c r="NDH42"/>
      <c r="NDI42"/>
      <c r="NDJ42"/>
      <c r="NDK42"/>
      <c r="NDL42"/>
      <c r="NDM42"/>
      <c r="NDN42"/>
      <c r="NDO42"/>
      <c r="NDP42"/>
      <c r="NDQ42"/>
      <c r="NDR42"/>
      <c r="NDS42"/>
      <c r="NDT42"/>
      <c r="NDU42"/>
      <c r="NDV42"/>
      <c r="NDW42"/>
      <c r="NDX42"/>
      <c r="NDY42"/>
      <c r="NDZ42"/>
      <c r="NEA42"/>
      <c r="NEB42"/>
      <c r="NEC42"/>
      <c r="NED42"/>
      <c r="NEE42"/>
      <c r="NEF42"/>
      <c r="NEG42"/>
      <c r="NEH42"/>
      <c r="NEI42"/>
      <c r="NEJ42"/>
      <c r="NEK42"/>
      <c r="NEL42"/>
      <c r="NEM42"/>
      <c r="NEN42"/>
      <c r="NEO42"/>
      <c r="NEP42"/>
      <c r="NEQ42"/>
      <c r="NER42"/>
      <c r="NES42"/>
      <c r="NET42"/>
      <c r="NEU42"/>
      <c r="NEV42"/>
      <c r="NEW42"/>
      <c r="NEX42"/>
      <c r="NEY42"/>
      <c r="NEZ42"/>
      <c r="NFA42"/>
      <c r="NFB42"/>
      <c r="NFC42"/>
      <c r="NFD42"/>
      <c r="NFE42"/>
      <c r="NFF42"/>
      <c r="NFG42"/>
      <c r="NFH42"/>
      <c r="NFI42"/>
      <c r="NFJ42"/>
      <c r="NFK42"/>
      <c r="NFL42"/>
      <c r="NFM42"/>
      <c r="NFN42"/>
      <c r="NFO42"/>
      <c r="NFP42"/>
      <c r="NFQ42"/>
      <c r="NFR42"/>
      <c r="NFS42"/>
      <c r="NFT42"/>
      <c r="NFU42"/>
      <c r="NFV42"/>
      <c r="NFW42"/>
      <c r="NFX42"/>
      <c r="NFY42"/>
      <c r="NFZ42"/>
      <c r="NGA42"/>
      <c r="NGB42"/>
      <c r="NGC42"/>
      <c r="NGD42"/>
      <c r="NGE42"/>
      <c r="NGF42"/>
      <c r="NGG42"/>
      <c r="NGH42"/>
      <c r="NGI42"/>
      <c r="NGJ42"/>
      <c r="NGK42"/>
      <c r="NGL42"/>
      <c r="NGM42"/>
      <c r="NGN42"/>
      <c r="NGO42"/>
      <c r="NGP42"/>
      <c r="NGQ42"/>
      <c r="NGR42"/>
      <c r="NGS42"/>
      <c r="NGT42"/>
      <c r="NGU42"/>
      <c r="NGV42"/>
      <c r="NGW42"/>
      <c r="NGX42"/>
      <c r="NGY42"/>
      <c r="NGZ42"/>
      <c r="NHA42"/>
      <c r="NHB42"/>
      <c r="NHC42"/>
      <c r="NHD42"/>
      <c r="NHE42"/>
      <c r="NHF42"/>
      <c r="NHG42"/>
      <c r="NHH42"/>
      <c r="NHI42"/>
      <c r="NHJ42"/>
      <c r="NHK42"/>
      <c r="NHL42"/>
      <c r="NHM42"/>
      <c r="NHN42"/>
      <c r="NHO42"/>
      <c r="NHP42"/>
      <c r="NHQ42"/>
      <c r="NHR42"/>
      <c r="NHS42"/>
      <c r="NHT42"/>
      <c r="NHU42"/>
      <c r="NHV42"/>
      <c r="NHW42"/>
      <c r="NHX42"/>
      <c r="NHY42"/>
      <c r="NHZ42"/>
      <c r="NIA42"/>
      <c r="NIB42"/>
      <c r="NIC42"/>
      <c r="NID42"/>
      <c r="NIE42"/>
      <c r="NIF42"/>
      <c r="NIG42"/>
      <c r="NIH42"/>
      <c r="NII42"/>
      <c r="NIJ42"/>
      <c r="NIK42"/>
      <c r="NIL42"/>
      <c r="NIM42"/>
      <c r="NIN42"/>
      <c r="NIO42"/>
      <c r="NIP42"/>
      <c r="NIQ42"/>
      <c r="NIR42"/>
      <c r="NIS42"/>
      <c r="NIT42"/>
      <c r="NIU42"/>
      <c r="NIV42"/>
      <c r="NIW42"/>
      <c r="NIX42"/>
      <c r="NIY42"/>
      <c r="NIZ42"/>
      <c r="NJA42"/>
      <c r="NJB42"/>
      <c r="NJC42"/>
      <c r="NJD42"/>
      <c r="NJE42"/>
      <c r="NJF42"/>
      <c r="NJG42"/>
      <c r="NJH42"/>
      <c r="NJI42"/>
      <c r="NJJ42"/>
      <c r="NJK42"/>
      <c r="NJL42"/>
      <c r="NJM42"/>
      <c r="NJN42"/>
      <c r="NJO42"/>
      <c r="NJP42"/>
      <c r="NJQ42"/>
      <c r="NJR42"/>
      <c r="NJS42"/>
      <c r="NJT42"/>
      <c r="NJU42"/>
      <c r="NJV42"/>
      <c r="NJW42"/>
      <c r="NJX42"/>
      <c r="NJY42"/>
      <c r="NJZ42"/>
      <c r="NKA42"/>
      <c r="NKB42"/>
      <c r="NKC42"/>
      <c r="NKD42"/>
      <c r="NKE42"/>
      <c r="NKF42"/>
      <c r="NKG42"/>
      <c r="NKH42"/>
      <c r="NKI42"/>
      <c r="NKJ42"/>
      <c r="NKK42"/>
      <c r="NKL42"/>
      <c r="NKM42"/>
      <c r="NKN42"/>
      <c r="NKO42"/>
      <c r="NKP42"/>
      <c r="NKQ42"/>
      <c r="NKR42"/>
      <c r="NKS42"/>
      <c r="NKT42"/>
      <c r="NKU42"/>
      <c r="NKV42"/>
      <c r="NKW42"/>
      <c r="NKX42"/>
      <c r="NKY42"/>
      <c r="NKZ42"/>
      <c r="NLA42"/>
      <c r="NLB42"/>
      <c r="NLC42"/>
      <c r="NLD42"/>
      <c r="NLE42"/>
      <c r="NLF42"/>
      <c r="NLG42"/>
      <c r="NLH42"/>
      <c r="NLI42"/>
      <c r="NLJ42"/>
      <c r="NLK42"/>
      <c r="NLL42"/>
      <c r="NLM42"/>
      <c r="NLN42"/>
      <c r="NLO42"/>
      <c r="NLP42"/>
      <c r="NLQ42"/>
      <c r="NLR42"/>
      <c r="NLS42"/>
      <c r="NLT42"/>
      <c r="NLU42"/>
      <c r="NLV42"/>
      <c r="NLW42"/>
      <c r="NLX42"/>
      <c r="NLY42"/>
      <c r="NLZ42"/>
      <c r="NMA42"/>
      <c r="NMB42"/>
      <c r="NMC42"/>
      <c r="NMD42"/>
      <c r="NME42"/>
      <c r="NMF42"/>
      <c r="NMG42"/>
      <c r="NMH42"/>
      <c r="NMI42"/>
      <c r="NMJ42"/>
      <c r="NMK42"/>
      <c r="NML42"/>
      <c r="NMM42"/>
      <c r="NMN42"/>
      <c r="NMO42"/>
      <c r="NMP42"/>
      <c r="NMQ42"/>
      <c r="NMR42"/>
      <c r="NMS42"/>
      <c r="NMT42"/>
      <c r="NMU42"/>
      <c r="NMV42"/>
      <c r="NMW42"/>
      <c r="NMX42"/>
      <c r="NMY42"/>
      <c r="NMZ42"/>
      <c r="NNA42"/>
      <c r="NNB42"/>
      <c r="NNC42"/>
      <c r="NND42"/>
      <c r="NNE42"/>
      <c r="NNF42"/>
      <c r="NNG42"/>
      <c r="NNH42"/>
      <c r="NNI42"/>
      <c r="NNJ42"/>
      <c r="NNK42"/>
      <c r="NNL42"/>
      <c r="NNM42"/>
      <c r="NNN42"/>
      <c r="NNO42"/>
      <c r="NNP42"/>
      <c r="NNQ42"/>
      <c r="NNR42"/>
      <c r="NNS42"/>
      <c r="NNT42"/>
      <c r="NNU42"/>
      <c r="NNV42"/>
      <c r="NNW42"/>
      <c r="NNX42"/>
      <c r="NNY42"/>
      <c r="NNZ42"/>
      <c r="NOA42"/>
      <c r="NOB42"/>
      <c r="NOC42"/>
      <c r="NOD42"/>
      <c r="NOE42"/>
      <c r="NOF42"/>
      <c r="NOG42"/>
      <c r="NOH42"/>
      <c r="NOI42"/>
      <c r="NOJ42"/>
      <c r="NOK42"/>
      <c r="NOL42"/>
      <c r="NOM42"/>
      <c r="NON42"/>
      <c r="NOO42"/>
      <c r="NOP42"/>
      <c r="NOQ42"/>
      <c r="NOR42"/>
      <c r="NOS42"/>
      <c r="NOT42"/>
      <c r="NOU42"/>
      <c r="NOV42"/>
      <c r="NOW42"/>
      <c r="NOX42"/>
      <c r="NOY42"/>
      <c r="NOZ42"/>
      <c r="NPA42"/>
      <c r="NPB42"/>
      <c r="NPC42"/>
      <c r="NPD42"/>
      <c r="NPE42"/>
      <c r="NPF42"/>
      <c r="NPG42"/>
      <c r="NPH42"/>
      <c r="NPI42"/>
      <c r="NPJ42"/>
      <c r="NPK42"/>
      <c r="NPL42"/>
      <c r="NPM42"/>
      <c r="NPN42"/>
      <c r="NPO42"/>
      <c r="NPP42"/>
      <c r="NPQ42"/>
      <c r="NPR42"/>
      <c r="NPS42"/>
      <c r="NPT42"/>
      <c r="NPU42"/>
      <c r="NPV42"/>
      <c r="NPW42"/>
      <c r="NPX42"/>
      <c r="NPY42"/>
      <c r="NPZ42"/>
      <c r="NQA42"/>
      <c r="NQB42"/>
      <c r="NQC42"/>
      <c r="NQD42"/>
      <c r="NQE42"/>
      <c r="NQF42"/>
      <c r="NQG42"/>
      <c r="NQH42"/>
      <c r="NQI42"/>
      <c r="NQJ42"/>
      <c r="NQK42"/>
      <c r="NQL42"/>
      <c r="NQM42"/>
      <c r="NQN42"/>
      <c r="NQO42"/>
      <c r="NQP42"/>
      <c r="NQQ42"/>
      <c r="NQR42"/>
      <c r="NQS42"/>
      <c r="NQT42"/>
      <c r="NQU42"/>
      <c r="NQV42"/>
      <c r="NQW42"/>
      <c r="NQX42"/>
      <c r="NQY42"/>
      <c r="NQZ42"/>
      <c r="NRA42"/>
      <c r="NRB42"/>
      <c r="NRC42"/>
      <c r="NRD42"/>
      <c r="NRE42"/>
      <c r="NRF42"/>
      <c r="NRG42"/>
      <c r="NRH42"/>
      <c r="NRI42"/>
      <c r="NRJ42"/>
      <c r="NRK42"/>
      <c r="NRL42"/>
      <c r="NRM42"/>
      <c r="NRN42"/>
      <c r="NRO42"/>
      <c r="NRP42"/>
      <c r="NRQ42"/>
      <c r="NRR42"/>
      <c r="NRS42"/>
      <c r="NRT42"/>
      <c r="NRU42"/>
      <c r="NRV42"/>
      <c r="NRW42"/>
      <c r="NRX42"/>
      <c r="NRY42"/>
      <c r="NRZ42"/>
      <c r="NSA42"/>
      <c r="NSB42"/>
      <c r="NSC42"/>
      <c r="NSD42"/>
      <c r="NSE42"/>
      <c r="NSF42"/>
      <c r="NSG42"/>
      <c r="NSH42"/>
      <c r="NSI42"/>
      <c r="NSJ42"/>
      <c r="NSK42"/>
      <c r="NSL42"/>
      <c r="NSM42"/>
      <c r="NSN42"/>
      <c r="NSO42"/>
      <c r="NSP42"/>
      <c r="NSQ42"/>
      <c r="NSR42"/>
      <c r="NSS42"/>
      <c r="NST42"/>
      <c r="NSU42"/>
      <c r="NSV42"/>
      <c r="NSW42"/>
      <c r="NSX42"/>
      <c r="NSY42"/>
      <c r="NSZ42"/>
      <c r="NTA42"/>
      <c r="NTB42"/>
      <c r="NTC42"/>
      <c r="NTD42"/>
      <c r="NTE42"/>
      <c r="NTF42"/>
      <c r="NTG42"/>
      <c r="NTH42"/>
      <c r="NTI42"/>
      <c r="NTJ42"/>
      <c r="NTK42"/>
      <c r="NTL42"/>
      <c r="NTM42"/>
      <c r="NTN42"/>
      <c r="NTO42"/>
      <c r="NTP42"/>
      <c r="NTQ42"/>
      <c r="NTR42"/>
      <c r="NTS42"/>
      <c r="NTT42"/>
      <c r="NTU42"/>
      <c r="NTV42"/>
      <c r="NTW42"/>
      <c r="NTX42"/>
      <c r="NTY42"/>
      <c r="NTZ42"/>
      <c r="NUA42"/>
      <c r="NUB42"/>
      <c r="NUC42"/>
      <c r="NUD42"/>
      <c r="NUE42"/>
      <c r="NUF42"/>
      <c r="NUG42"/>
      <c r="NUH42"/>
      <c r="NUI42"/>
      <c r="NUJ42"/>
      <c r="NUK42"/>
      <c r="NUL42"/>
      <c r="NUM42"/>
      <c r="NUN42"/>
      <c r="NUO42"/>
      <c r="NUP42"/>
      <c r="NUQ42"/>
      <c r="NUR42"/>
      <c r="NUS42"/>
      <c r="NUT42"/>
      <c r="NUU42"/>
      <c r="NUV42"/>
      <c r="NUW42"/>
      <c r="NUX42"/>
      <c r="NUY42"/>
      <c r="NUZ42"/>
      <c r="NVA42"/>
      <c r="NVB42"/>
      <c r="NVC42"/>
      <c r="NVD42"/>
      <c r="NVE42"/>
      <c r="NVF42"/>
      <c r="NVG42"/>
      <c r="NVH42"/>
      <c r="NVI42"/>
      <c r="NVJ42"/>
      <c r="NVK42"/>
      <c r="NVL42"/>
      <c r="NVM42"/>
      <c r="NVN42"/>
      <c r="NVO42"/>
      <c r="NVP42"/>
      <c r="NVQ42"/>
      <c r="NVR42"/>
      <c r="NVS42"/>
      <c r="NVT42"/>
      <c r="NVU42"/>
      <c r="NVV42"/>
      <c r="NVW42"/>
      <c r="NVX42"/>
      <c r="NVY42"/>
      <c r="NVZ42"/>
      <c r="NWA42"/>
      <c r="NWB42"/>
      <c r="NWC42"/>
      <c r="NWD42"/>
      <c r="NWE42"/>
      <c r="NWF42"/>
      <c r="NWG42"/>
      <c r="NWH42"/>
      <c r="NWI42"/>
      <c r="NWJ42"/>
      <c r="NWK42"/>
      <c r="NWL42"/>
      <c r="NWM42"/>
      <c r="NWN42"/>
      <c r="NWO42"/>
      <c r="NWP42"/>
      <c r="NWQ42"/>
      <c r="NWR42"/>
      <c r="NWS42"/>
      <c r="NWT42"/>
      <c r="NWU42"/>
      <c r="NWV42"/>
      <c r="NWW42"/>
      <c r="NWX42"/>
      <c r="NWY42"/>
      <c r="NWZ42"/>
      <c r="NXA42"/>
      <c r="NXB42"/>
      <c r="NXC42"/>
      <c r="NXD42"/>
      <c r="NXE42"/>
      <c r="NXF42"/>
      <c r="NXG42"/>
      <c r="NXH42"/>
      <c r="NXI42"/>
      <c r="NXJ42"/>
      <c r="NXK42"/>
      <c r="NXL42"/>
      <c r="NXM42"/>
      <c r="NXN42"/>
      <c r="NXO42"/>
      <c r="NXP42"/>
      <c r="NXQ42"/>
      <c r="NXR42"/>
      <c r="NXS42"/>
      <c r="NXT42"/>
      <c r="NXU42"/>
      <c r="NXV42"/>
      <c r="NXW42"/>
      <c r="NXX42"/>
      <c r="NXY42"/>
      <c r="NXZ42"/>
      <c r="NYA42"/>
      <c r="NYB42"/>
      <c r="NYC42"/>
      <c r="NYD42"/>
      <c r="NYE42"/>
      <c r="NYF42"/>
      <c r="NYG42"/>
      <c r="NYH42"/>
      <c r="NYI42"/>
      <c r="NYJ42"/>
      <c r="NYK42"/>
      <c r="NYL42"/>
      <c r="NYM42"/>
      <c r="NYN42"/>
      <c r="NYO42"/>
      <c r="NYP42"/>
      <c r="NYQ42"/>
      <c r="NYR42"/>
      <c r="NYS42"/>
      <c r="NYT42"/>
      <c r="NYU42"/>
      <c r="NYV42"/>
      <c r="NYW42"/>
      <c r="NYX42"/>
      <c r="NYY42"/>
      <c r="NYZ42"/>
      <c r="NZA42"/>
      <c r="NZB42"/>
      <c r="NZC42"/>
      <c r="NZD42"/>
      <c r="NZE42"/>
      <c r="NZF42"/>
      <c r="NZG42"/>
      <c r="NZH42"/>
      <c r="NZI42"/>
      <c r="NZJ42"/>
      <c r="NZK42"/>
      <c r="NZL42"/>
      <c r="NZM42"/>
      <c r="NZN42"/>
      <c r="NZO42"/>
      <c r="NZP42"/>
      <c r="NZQ42"/>
      <c r="NZR42"/>
      <c r="NZS42"/>
      <c r="NZT42"/>
      <c r="NZU42"/>
      <c r="NZV42"/>
      <c r="NZW42"/>
      <c r="NZX42"/>
      <c r="NZY42"/>
      <c r="NZZ42"/>
      <c r="OAA42"/>
      <c r="OAB42"/>
      <c r="OAC42"/>
      <c r="OAD42"/>
      <c r="OAE42"/>
      <c r="OAF42"/>
      <c r="OAG42"/>
      <c r="OAH42"/>
      <c r="OAI42"/>
      <c r="OAJ42"/>
      <c r="OAK42"/>
      <c r="OAL42"/>
      <c r="OAM42"/>
      <c r="OAN42"/>
      <c r="OAO42"/>
      <c r="OAP42"/>
      <c r="OAQ42"/>
      <c r="OAR42"/>
      <c r="OAS42"/>
      <c r="OAT42"/>
      <c r="OAU42"/>
      <c r="OAV42"/>
      <c r="OAW42"/>
      <c r="OAX42"/>
      <c r="OAY42"/>
      <c r="OAZ42"/>
      <c r="OBA42"/>
      <c r="OBB42"/>
      <c r="OBC42"/>
      <c r="OBD42"/>
      <c r="OBE42"/>
      <c r="OBF42"/>
      <c r="OBG42"/>
      <c r="OBH42"/>
      <c r="OBI42"/>
      <c r="OBJ42"/>
      <c r="OBK42"/>
      <c r="OBL42"/>
      <c r="OBM42"/>
      <c r="OBN42"/>
      <c r="OBO42"/>
      <c r="OBP42"/>
      <c r="OBQ42"/>
      <c r="OBR42"/>
      <c r="OBS42"/>
      <c r="OBT42"/>
      <c r="OBU42"/>
      <c r="OBV42"/>
      <c r="OBW42"/>
      <c r="OBX42"/>
      <c r="OBY42"/>
      <c r="OBZ42"/>
      <c r="OCA42"/>
      <c r="OCB42"/>
      <c r="OCC42"/>
      <c r="OCD42"/>
      <c r="OCE42"/>
      <c r="OCF42"/>
      <c r="OCG42"/>
      <c r="OCH42"/>
      <c r="OCI42"/>
      <c r="OCJ42"/>
      <c r="OCK42"/>
      <c r="OCL42"/>
      <c r="OCM42"/>
      <c r="OCN42"/>
      <c r="OCO42"/>
      <c r="OCP42"/>
      <c r="OCQ42"/>
      <c r="OCR42"/>
      <c r="OCS42"/>
      <c r="OCT42"/>
      <c r="OCU42"/>
      <c r="OCV42"/>
      <c r="OCW42"/>
      <c r="OCX42"/>
      <c r="OCY42"/>
      <c r="OCZ42"/>
      <c r="ODA42"/>
      <c r="ODB42"/>
      <c r="ODC42"/>
      <c r="ODD42"/>
      <c r="ODE42"/>
      <c r="ODF42"/>
      <c r="ODG42"/>
      <c r="ODH42"/>
      <c r="ODI42"/>
      <c r="ODJ42"/>
      <c r="ODK42"/>
      <c r="ODL42"/>
      <c r="ODM42"/>
      <c r="ODN42"/>
      <c r="ODO42"/>
      <c r="ODP42"/>
      <c r="ODQ42"/>
      <c r="ODR42"/>
      <c r="ODS42"/>
      <c r="ODT42"/>
      <c r="ODU42"/>
      <c r="ODV42"/>
      <c r="ODW42"/>
      <c r="ODX42"/>
      <c r="ODY42"/>
      <c r="ODZ42"/>
      <c r="OEA42"/>
      <c r="OEB42"/>
      <c r="OEC42"/>
      <c r="OED42"/>
      <c r="OEE42"/>
      <c r="OEF42"/>
      <c r="OEG42"/>
      <c r="OEH42"/>
      <c r="OEI42"/>
      <c r="OEJ42"/>
      <c r="OEK42"/>
      <c r="OEL42"/>
      <c r="OEM42"/>
      <c r="OEN42"/>
      <c r="OEO42"/>
      <c r="OEP42"/>
      <c r="OEQ42"/>
      <c r="OER42"/>
      <c r="OES42"/>
      <c r="OET42"/>
      <c r="OEU42"/>
      <c r="OEV42"/>
      <c r="OEW42"/>
      <c r="OEX42"/>
      <c r="OEY42"/>
      <c r="OEZ42"/>
      <c r="OFA42"/>
      <c r="OFB42"/>
      <c r="OFC42"/>
      <c r="OFD42"/>
      <c r="OFE42"/>
      <c r="OFF42"/>
      <c r="OFG42"/>
      <c r="OFH42"/>
      <c r="OFI42"/>
      <c r="OFJ42"/>
      <c r="OFK42"/>
      <c r="OFL42"/>
      <c r="OFM42"/>
      <c r="OFN42"/>
      <c r="OFO42"/>
      <c r="OFP42"/>
      <c r="OFQ42"/>
      <c r="OFR42"/>
      <c r="OFS42"/>
      <c r="OFT42"/>
      <c r="OFU42"/>
      <c r="OFV42"/>
      <c r="OFW42"/>
      <c r="OFX42"/>
      <c r="OFY42"/>
      <c r="OFZ42"/>
      <c r="OGA42"/>
      <c r="OGB42"/>
      <c r="OGC42"/>
      <c r="OGD42"/>
      <c r="OGE42"/>
      <c r="OGF42"/>
      <c r="OGG42"/>
      <c r="OGH42"/>
      <c r="OGI42"/>
      <c r="OGJ42"/>
      <c r="OGK42"/>
      <c r="OGL42"/>
      <c r="OGM42"/>
      <c r="OGN42"/>
      <c r="OGO42"/>
      <c r="OGP42"/>
      <c r="OGQ42"/>
      <c r="OGR42"/>
      <c r="OGS42"/>
      <c r="OGT42"/>
      <c r="OGU42"/>
      <c r="OGV42"/>
      <c r="OGW42"/>
      <c r="OGX42"/>
      <c r="OGY42"/>
      <c r="OGZ42"/>
      <c r="OHA42"/>
      <c r="OHB42"/>
      <c r="OHC42"/>
      <c r="OHD42"/>
      <c r="OHE42"/>
      <c r="OHF42"/>
      <c r="OHG42"/>
      <c r="OHH42"/>
      <c r="OHI42"/>
      <c r="OHJ42"/>
      <c r="OHK42"/>
      <c r="OHL42"/>
      <c r="OHM42"/>
      <c r="OHN42"/>
      <c r="OHO42"/>
      <c r="OHP42"/>
      <c r="OHQ42"/>
      <c r="OHR42"/>
      <c r="OHS42"/>
      <c r="OHT42"/>
      <c r="OHU42"/>
      <c r="OHV42"/>
      <c r="OHW42"/>
      <c r="OHX42"/>
      <c r="OHY42"/>
      <c r="OHZ42"/>
      <c r="OIA42"/>
      <c r="OIB42"/>
      <c r="OIC42"/>
      <c r="OID42"/>
      <c r="OIE42"/>
      <c r="OIF42"/>
      <c r="OIG42"/>
      <c r="OIH42"/>
      <c r="OII42"/>
      <c r="OIJ42"/>
      <c r="OIK42"/>
      <c r="OIL42"/>
      <c r="OIM42"/>
      <c r="OIN42"/>
      <c r="OIO42"/>
      <c r="OIP42"/>
      <c r="OIQ42"/>
      <c r="OIR42"/>
      <c r="OIS42"/>
      <c r="OIT42"/>
      <c r="OIU42"/>
      <c r="OIV42"/>
      <c r="OIW42"/>
      <c r="OIX42"/>
      <c r="OIY42"/>
      <c r="OIZ42"/>
      <c r="OJA42"/>
      <c r="OJB42"/>
      <c r="OJC42"/>
      <c r="OJD42"/>
      <c r="OJE42"/>
      <c r="OJF42"/>
      <c r="OJG42"/>
      <c r="OJH42"/>
      <c r="OJI42"/>
      <c r="OJJ42"/>
      <c r="OJK42"/>
      <c r="OJL42"/>
      <c r="OJM42"/>
      <c r="OJN42"/>
      <c r="OJO42"/>
      <c r="OJP42"/>
      <c r="OJQ42"/>
      <c r="OJR42"/>
      <c r="OJS42"/>
      <c r="OJT42"/>
      <c r="OJU42"/>
      <c r="OJV42"/>
      <c r="OJW42"/>
      <c r="OJX42"/>
      <c r="OJY42"/>
      <c r="OJZ42"/>
      <c r="OKA42"/>
      <c r="OKB42"/>
      <c r="OKC42"/>
      <c r="OKD42"/>
      <c r="OKE42"/>
      <c r="OKF42"/>
      <c r="OKG42"/>
      <c r="OKH42"/>
      <c r="OKI42"/>
      <c r="OKJ42"/>
      <c r="OKK42"/>
      <c r="OKL42"/>
      <c r="OKM42"/>
      <c r="OKN42"/>
      <c r="OKO42"/>
      <c r="OKP42"/>
      <c r="OKQ42"/>
      <c r="OKR42"/>
      <c r="OKS42"/>
      <c r="OKT42"/>
      <c r="OKU42"/>
      <c r="OKV42"/>
      <c r="OKW42"/>
      <c r="OKX42"/>
      <c r="OKY42"/>
      <c r="OKZ42"/>
      <c r="OLA42"/>
      <c r="OLB42"/>
      <c r="OLC42"/>
      <c r="OLD42"/>
      <c r="OLE42"/>
      <c r="OLF42"/>
      <c r="OLG42"/>
      <c r="OLH42"/>
      <c r="OLI42"/>
      <c r="OLJ42"/>
      <c r="OLK42"/>
      <c r="OLL42"/>
      <c r="OLM42"/>
      <c r="OLN42"/>
      <c r="OLO42"/>
      <c r="OLP42"/>
      <c r="OLQ42"/>
      <c r="OLR42"/>
      <c r="OLS42"/>
      <c r="OLT42"/>
      <c r="OLU42"/>
      <c r="OLV42"/>
      <c r="OLW42"/>
      <c r="OLX42"/>
      <c r="OLY42"/>
      <c r="OLZ42"/>
      <c r="OMA42"/>
      <c r="OMB42"/>
      <c r="OMC42"/>
      <c r="OMD42"/>
      <c r="OME42"/>
      <c r="OMF42"/>
      <c r="OMG42"/>
      <c r="OMH42"/>
      <c r="OMI42"/>
      <c r="OMJ42"/>
      <c r="OMK42"/>
      <c r="OML42"/>
      <c r="OMM42"/>
      <c r="OMN42"/>
      <c r="OMO42"/>
      <c r="OMP42"/>
      <c r="OMQ42"/>
      <c r="OMR42"/>
      <c r="OMS42"/>
      <c r="OMT42"/>
      <c r="OMU42"/>
      <c r="OMV42"/>
      <c r="OMW42"/>
      <c r="OMX42"/>
      <c r="OMY42"/>
      <c r="OMZ42"/>
      <c r="ONA42"/>
      <c r="ONB42"/>
      <c r="ONC42"/>
      <c r="OND42"/>
      <c r="ONE42"/>
      <c r="ONF42"/>
      <c r="ONG42"/>
      <c r="ONH42"/>
      <c r="ONI42"/>
      <c r="ONJ42"/>
      <c r="ONK42"/>
      <c r="ONL42"/>
      <c r="ONM42"/>
      <c r="ONN42"/>
      <c r="ONO42"/>
      <c r="ONP42"/>
      <c r="ONQ42"/>
      <c r="ONR42"/>
      <c r="ONS42"/>
      <c r="ONT42"/>
      <c r="ONU42"/>
      <c r="ONV42"/>
      <c r="ONW42"/>
      <c r="ONX42"/>
      <c r="ONY42"/>
      <c r="ONZ42"/>
      <c r="OOA42"/>
      <c r="OOB42"/>
      <c r="OOC42"/>
      <c r="OOD42"/>
      <c r="OOE42"/>
      <c r="OOF42"/>
      <c r="OOG42"/>
      <c r="OOH42"/>
      <c r="OOI42"/>
      <c r="OOJ42"/>
      <c r="OOK42"/>
      <c r="OOL42"/>
      <c r="OOM42"/>
      <c r="OON42"/>
      <c r="OOO42"/>
      <c r="OOP42"/>
      <c r="OOQ42"/>
      <c r="OOR42"/>
      <c r="OOS42"/>
      <c r="OOT42"/>
      <c r="OOU42"/>
      <c r="OOV42"/>
      <c r="OOW42"/>
      <c r="OOX42"/>
      <c r="OOY42"/>
      <c r="OOZ42"/>
      <c r="OPA42"/>
      <c r="OPB42"/>
      <c r="OPC42"/>
      <c r="OPD42"/>
      <c r="OPE42"/>
      <c r="OPF42"/>
      <c r="OPG42"/>
      <c r="OPH42"/>
      <c r="OPI42"/>
      <c r="OPJ42"/>
      <c r="OPK42"/>
      <c r="OPL42"/>
      <c r="OPM42"/>
      <c r="OPN42"/>
      <c r="OPO42"/>
      <c r="OPP42"/>
      <c r="OPQ42"/>
      <c r="OPR42"/>
      <c r="OPS42"/>
      <c r="OPT42"/>
      <c r="OPU42"/>
      <c r="OPV42"/>
      <c r="OPW42"/>
      <c r="OPX42"/>
      <c r="OPY42"/>
      <c r="OPZ42"/>
      <c r="OQA42"/>
      <c r="OQB42"/>
      <c r="OQC42"/>
      <c r="OQD42"/>
      <c r="OQE42"/>
      <c r="OQF42"/>
      <c r="OQG42"/>
      <c r="OQH42"/>
      <c r="OQI42"/>
      <c r="OQJ42"/>
      <c r="OQK42"/>
      <c r="OQL42"/>
      <c r="OQM42"/>
      <c r="OQN42"/>
      <c r="OQO42"/>
      <c r="OQP42"/>
      <c r="OQQ42"/>
      <c r="OQR42"/>
      <c r="OQS42"/>
      <c r="OQT42"/>
      <c r="OQU42"/>
      <c r="OQV42"/>
      <c r="OQW42"/>
      <c r="OQX42"/>
      <c r="OQY42"/>
      <c r="OQZ42"/>
      <c r="ORA42"/>
      <c r="ORB42"/>
      <c r="ORC42"/>
      <c r="ORD42"/>
      <c r="ORE42"/>
      <c r="ORF42"/>
      <c r="ORG42"/>
      <c r="ORH42"/>
      <c r="ORI42"/>
      <c r="ORJ42"/>
      <c r="ORK42"/>
      <c r="ORL42"/>
      <c r="ORM42"/>
      <c r="ORN42"/>
      <c r="ORO42"/>
      <c r="ORP42"/>
      <c r="ORQ42"/>
      <c r="ORR42"/>
      <c r="ORS42"/>
      <c r="ORT42"/>
      <c r="ORU42"/>
      <c r="ORV42"/>
      <c r="ORW42"/>
      <c r="ORX42"/>
      <c r="ORY42"/>
      <c r="ORZ42"/>
      <c r="OSA42"/>
      <c r="OSB42"/>
      <c r="OSC42"/>
      <c r="OSD42"/>
      <c r="OSE42"/>
      <c r="OSF42"/>
      <c r="OSG42"/>
      <c r="OSH42"/>
      <c r="OSI42"/>
      <c r="OSJ42"/>
      <c r="OSK42"/>
      <c r="OSL42"/>
      <c r="OSM42"/>
      <c r="OSN42"/>
      <c r="OSO42"/>
      <c r="OSP42"/>
      <c r="OSQ42"/>
      <c r="OSR42"/>
      <c r="OSS42"/>
      <c r="OST42"/>
      <c r="OSU42"/>
      <c r="OSV42"/>
      <c r="OSW42"/>
      <c r="OSX42"/>
      <c r="OSY42"/>
      <c r="OSZ42"/>
      <c r="OTA42"/>
      <c r="OTB42"/>
      <c r="OTC42"/>
      <c r="OTD42"/>
      <c r="OTE42"/>
      <c r="OTF42"/>
      <c r="OTG42"/>
      <c r="OTH42"/>
      <c r="OTI42"/>
      <c r="OTJ42"/>
      <c r="OTK42"/>
      <c r="OTL42"/>
      <c r="OTM42"/>
      <c r="OTN42"/>
      <c r="OTO42"/>
      <c r="OTP42"/>
      <c r="OTQ42"/>
      <c r="OTR42"/>
      <c r="OTS42"/>
      <c r="OTT42"/>
      <c r="OTU42"/>
      <c r="OTV42"/>
      <c r="OTW42"/>
      <c r="OTX42"/>
      <c r="OTY42"/>
      <c r="OTZ42"/>
      <c r="OUA42"/>
      <c r="OUB42"/>
      <c r="OUC42"/>
      <c r="OUD42"/>
      <c r="OUE42"/>
      <c r="OUF42"/>
      <c r="OUG42"/>
      <c r="OUH42"/>
      <c r="OUI42"/>
      <c r="OUJ42"/>
      <c r="OUK42"/>
      <c r="OUL42"/>
      <c r="OUM42"/>
      <c r="OUN42"/>
      <c r="OUO42"/>
      <c r="OUP42"/>
      <c r="OUQ42"/>
      <c r="OUR42"/>
      <c r="OUS42"/>
      <c r="OUT42"/>
      <c r="OUU42"/>
      <c r="OUV42"/>
      <c r="OUW42"/>
      <c r="OUX42"/>
      <c r="OUY42"/>
      <c r="OUZ42"/>
      <c r="OVA42"/>
      <c r="OVB42"/>
      <c r="OVC42"/>
      <c r="OVD42"/>
      <c r="OVE42"/>
      <c r="OVF42"/>
      <c r="OVG42"/>
      <c r="OVH42"/>
      <c r="OVI42"/>
      <c r="OVJ42"/>
      <c r="OVK42"/>
      <c r="OVL42"/>
      <c r="OVM42"/>
      <c r="OVN42"/>
      <c r="OVO42"/>
      <c r="OVP42"/>
      <c r="OVQ42"/>
      <c r="OVR42"/>
      <c r="OVS42"/>
      <c r="OVT42"/>
      <c r="OVU42"/>
      <c r="OVV42"/>
      <c r="OVW42"/>
      <c r="OVX42"/>
      <c r="OVY42"/>
      <c r="OVZ42"/>
      <c r="OWA42"/>
      <c r="OWB42"/>
      <c r="OWC42"/>
      <c r="OWD42"/>
      <c r="OWE42"/>
      <c r="OWF42"/>
      <c r="OWG42"/>
      <c r="OWH42"/>
      <c r="OWI42"/>
      <c r="OWJ42"/>
      <c r="OWK42"/>
      <c r="OWL42"/>
      <c r="OWM42"/>
      <c r="OWN42"/>
      <c r="OWO42"/>
      <c r="OWP42"/>
      <c r="OWQ42"/>
      <c r="OWR42"/>
      <c r="OWS42"/>
      <c r="OWT42"/>
      <c r="OWU42"/>
      <c r="OWV42"/>
      <c r="OWW42"/>
      <c r="OWX42"/>
      <c r="OWY42"/>
      <c r="OWZ42"/>
      <c r="OXA42"/>
      <c r="OXB42"/>
      <c r="OXC42"/>
      <c r="OXD42"/>
      <c r="OXE42"/>
      <c r="OXF42"/>
      <c r="OXG42"/>
      <c r="OXH42"/>
      <c r="OXI42"/>
      <c r="OXJ42"/>
      <c r="OXK42"/>
      <c r="OXL42"/>
      <c r="OXM42"/>
      <c r="OXN42"/>
      <c r="OXO42"/>
      <c r="OXP42"/>
      <c r="OXQ42"/>
      <c r="OXR42"/>
      <c r="OXS42"/>
      <c r="OXT42"/>
      <c r="OXU42"/>
      <c r="OXV42"/>
      <c r="OXW42"/>
      <c r="OXX42"/>
      <c r="OXY42"/>
      <c r="OXZ42"/>
      <c r="OYA42"/>
      <c r="OYB42"/>
      <c r="OYC42"/>
      <c r="OYD42"/>
      <c r="OYE42"/>
      <c r="OYF42"/>
      <c r="OYG42"/>
      <c r="OYH42"/>
      <c r="OYI42"/>
      <c r="OYJ42"/>
      <c r="OYK42"/>
      <c r="OYL42"/>
      <c r="OYM42"/>
      <c r="OYN42"/>
      <c r="OYO42"/>
      <c r="OYP42"/>
      <c r="OYQ42"/>
      <c r="OYR42"/>
      <c r="OYS42"/>
      <c r="OYT42"/>
      <c r="OYU42"/>
      <c r="OYV42"/>
      <c r="OYW42"/>
      <c r="OYX42"/>
      <c r="OYY42"/>
      <c r="OYZ42"/>
      <c r="OZA42"/>
      <c r="OZB42"/>
      <c r="OZC42"/>
      <c r="OZD42"/>
      <c r="OZE42"/>
      <c r="OZF42"/>
      <c r="OZG42"/>
      <c r="OZH42"/>
      <c r="OZI42"/>
      <c r="OZJ42"/>
      <c r="OZK42"/>
      <c r="OZL42"/>
      <c r="OZM42"/>
      <c r="OZN42"/>
      <c r="OZO42"/>
      <c r="OZP42"/>
      <c r="OZQ42"/>
      <c r="OZR42"/>
      <c r="OZS42"/>
      <c r="OZT42"/>
      <c r="OZU42"/>
      <c r="OZV42"/>
      <c r="OZW42"/>
      <c r="OZX42"/>
      <c r="OZY42"/>
      <c r="OZZ42"/>
      <c r="PAA42"/>
      <c r="PAB42"/>
      <c r="PAC42"/>
      <c r="PAD42"/>
      <c r="PAE42"/>
      <c r="PAF42"/>
      <c r="PAG42"/>
      <c r="PAH42"/>
      <c r="PAI42"/>
      <c r="PAJ42"/>
      <c r="PAK42"/>
      <c r="PAL42"/>
      <c r="PAM42"/>
      <c r="PAN42"/>
      <c r="PAO42"/>
      <c r="PAP42"/>
      <c r="PAQ42"/>
      <c r="PAR42"/>
      <c r="PAS42"/>
      <c r="PAT42"/>
      <c r="PAU42"/>
      <c r="PAV42"/>
      <c r="PAW42"/>
      <c r="PAX42"/>
      <c r="PAY42"/>
      <c r="PAZ42"/>
      <c r="PBA42"/>
      <c r="PBB42"/>
      <c r="PBC42"/>
      <c r="PBD42"/>
      <c r="PBE42"/>
      <c r="PBF42"/>
      <c r="PBG42"/>
      <c r="PBH42"/>
      <c r="PBI42"/>
      <c r="PBJ42"/>
      <c r="PBK42"/>
      <c r="PBL42"/>
      <c r="PBM42"/>
      <c r="PBN42"/>
      <c r="PBO42"/>
      <c r="PBP42"/>
      <c r="PBQ42"/>
      <c r="PBR42"/>
      <c r="PBS42"/>
      <c r="PBT42"/>
      <c r="PBU42"/>
      <c r="PBV42"/>
      <c r="PBW42"/>
      <c r="PBX42"/>
      <c r="PBY42"/>
      <c r="PBZ42"/>
      <c r="PCA42"/>
      <c r="PCB42"/>
      <c r="PCC42"/>
      <c r="PCD42"/>
      <c r="PCE42"/>
      <c r="PCF42"/>
      <c r="PCG42"/>
      <c r="PCH42"/>
      <c r="PCI42"/>
      <c r="PCJ42"/>
      <c r="PCK42"/>
      <c r="PCL42"/>
      <c r="PCM42"/>
      <c r="PCN42"/>
      <c r="PCO42"/>
      <c r="PCP42"/>
      <c r="PCQ42"/>
      <c r="PCR42"/>
      <c r="PCS42"/>
      <c r="PCT42"/>
      <c r="PCU42"/>
      <c r="PCV42"/>
      <c r="PCW42"/>
      <c r="PCX42"/>
      <c r="PCY42"/>
      <c r="PCZ42"/>
      <c r="PDA42"/>
      <c r="PDB42"/>
      <c r="PDC42"/>
      <c r="PDD42"/>
      <c r="PDE42"/>
      <c r="PDF42"/>
      <c r="PDG42"/>
      <c r="PDH42"/>
      <c r="PDI42"/>
      <c r="PDJ42"/>
      <c r="PDK42"/>
      <c r="PDL42"/>
      <c r="PDM42"/>
      <c r="PDN42"/>
      <c r="PDO42"/>
      <c r="PDP42"/>
      <c r="PDQ42"/>
      <c r="PDR42"/>
      <c r="PDS42"/>
      <c r="PDT42"/>
      <c r="PDU42"/>
      <c r="PDV42"/>
      <c r="PDW42"/>
      <c r="PDX42"/>
      <c r="PDY42"/>
      <c r="PDZ42"/>
      <c r="PEA42"/>
      <c r="PEB42"/>
      <c r="PEC42"/>
      <c r="PED42"/>
      <c r="PEE42"/>
      <c r="PEF42"/>
      <c r="PEG42"/>
      <c r="PEH42"/>
      <c r="PEI42"/>
      <c r="PEJ42"/>
      <c r="PEK42"/>
      <c r="PEL42"/>
      <c r="PEM42"/>
      <c r="PEN42"/>
      <c r="PEO42"/>
      <c r="PEP42"/>
      <c r="PEQ42"/>
      <c r="PER42"/>
      <c r="PES42"/>
      <c r="PET42"/>
      <c r="PEU42"/>
      <c r="PEV42"/>
      <c r="PEW42"/>
      <c r="PEX42"/>
      <c r="PEY42"/>
      <c r="PEZ42"/>
      <c r="PFA42"/>
      <c r="PFB42"/>
      <c r="PFC42"/>
      <c r="PFD42"/>
      <c r="PFE42"/>
      <c r="PFF42"/>
      <c r="PFG42"/>
      <c r="PFH42"/>
      <c r="PFI42"/>
      <c r="PFJ42"/>
      <c r="PFK42"/>
      <c r="PFL42"/>
      <c r="PFM42"/>
      <c r="PFN42"/>
      <c r="PFO42"/>
      <c r="PFP42"/>
      <c r="PFQ42"/>
      <c r="PFR42"/>
      <c r="PFS42"/>
      <c r="PFT42"/>
      <c r="PFU42"/>
      <c r="PFV42"/>
      <c r="PFW42"/>
      <c r="PFX42"/>
      <c r="PFY42"/>
      <c r="PFZ42"/>
      <c r="PGA42"/>
      <c r="PGB42"/>
      <c r="PGC42"/>
      <c r="PGD42"/>
      <c r="PGE42"/>
      <c r="PGF42"/>
      <c r="PGG42"/>
      <c r="PGH42"/>
      <c r="PGI42"/>
      <c r="PGJ42"/>
      <c r="PGK42"/>
      <c r="PGL42"/>
      <c r="PGM42"/>
      <c r="PGN42"/>
      <c r="PGO42"/>
      <c r="PGP42"/>
      <c r="PGQ42"/>
      <c r="PGR42"/>
      <c r="PGS42"/>
      <c r="PGT42"/>
      <c r="PGU42"/>
      <c r="PGV42"/>
      <c r="PGW42"/>
      <c r="PGX42"/>
      <c r="PGY42"/>
      <c r="PGZ42"/>
      <c r="PHA42"/>
      <c r="PHB42"/>
      <c r="PHC42"/>
      <c r="PHD42"/>
      <c r="PHE42"/>
      <c r="PHF42"/>
      <c r="PHG42"/>
      <c r="PHH42"/>
      <c r="PHI42"/>
      <c r="PHJ42"/>
      <c r="PHK42"/>
      <c r="PHL42"/>
      <c r="PHM42"/>
      <c r="PHN42"/>
      <c r="PHO42"/>
      <c r="PHP42"/>
      <c r="PHQ42"/>
      <c r="PHR42"/>
      <c r="PHS42"/>
      <c r="PHT42"/>
      <c r="PHU42"/>
      <c r="PHV42"/>
      <c r="PHW42"/>
      <c r="PHX42"/>
      <c r="PHY42"/>
      <c r="PHZ42"/>
      <c r="PIA42"/>
      <c r="PIB42"/>
      <c r="PIC42"/>
      <c r="PID42"/>
      <c r="PIE42"/>
      <c r="PIF42"/>
      <c r="PIG42"/>
      <c r="PIH42"/>
      <c r="PII42"/>
      <c r="PIJ42"/>
      <c r="PIK42"/>
      <c r="PIL42"/>
      <c r="PIM42"/>
      <c r="PIN42"/>
      <c r="PIO42"/>
      <c r="PIP42"/>
      <c r="PIQ42"/>
      <c r="PIR42"/>
      <c r="PIS42"/>
      <c r="PIT42"/>
      <c r="PIU42"/>
      <c r="PIV42"/>
      <c r="PIW42"/>
      <c r="PIX42"/>
      <c r="PIY42"/>
      <c r="PIZ42"/>
      <c r="PJA42"/>
      <c r="PJB42"/>
      <c r="PJC42"/>
      <c r="PJD42"/>
      <c r="PJE42"/>
      <c r="PJF42"/>
      <c r="PJG42"/>
      <c r="PJH42"/>
      <c r="PJI42"/>
      <c r="PJJ42"/>
      <c r="PJK42"/>
      <c r="PJL42"/>
      <c r="PJM42"/>
      <c r="PJN42"/>
      <c r="PJO42"/>
      <c r="PJP42"/>
      <c r="PJQ42"/>
      <c r="PJR42"/>
      <c r="PJS42"/>
      <c r="PJT42"/>
      <c r="PJU42"/>
      <c r="PJV42"/>
      <c r="PJW42"/>
      <c r="PJX42"/>
      <c r="PJY42"/>
      <c r="PJZ42"/>
      <c r="PKA42"/>
      <c r="PKB42"/>
      <c r="PKC42"/>
      <c r="PKD42"/>
      <c r="PKE42"/>
      <c r="PKF42"/>
      <c r="PKG42"/>
      <c r="PKH42"/>
      <c r="PKI42"/>
      <c r="PKJ42"/>
      <c r="PKK42"/>
      <c r="PKL42"/>
      <c r="PKM42"/>
      <c r="PKN42"/>
      <c r="PKO42"/>
      <c r="PKP42"/>
      <c r="PKQ42"/>
      <c r="PKR42"/>
      <c r="PKS42"/>
      <c r="PKT42"/>
      <c r="PKU42"/>
      <c r="PKV42"/>
      <c r="PKW42"/>
      <c r="PKX42"/>
      <c r="PKY42"/>
      <c r="PKZ42"/>
      <c r="PLA42"/>
      <c r="PLB42"/>
      <c r="PLC42"/>
      <c r="PLD42"/>
      <c r="PLE42"/>
      <c r="PLF42"/>
      <c r="PLG42"/>
      <c r="PLH42"/>
      <c r="PLI42"/>
      <c r="PLJ42"/>
      <c r="PLK42"/>
      <c r="PLL42"/>
      <c r="PLM42"/>
      <c r="PLN42"/>
      <c r="PLO42"/>
      <c r="PLP42"/>
      <c r="PLQ42"/>
      <c r="PLR42"/>
      <c r="PLS42"/>
      <c r="PLT42"/>
      <c r="PLU42"/>
      <c r="PLV42"/>
      <c r="PLW42"/>
      <c r="PLX42"/>
      <c r="PLY42"/>
      <c r="PLZ42"/>
      <c r="PMA42"/>
      <c r="PMB42"/>
      <c r="PMC42"/>
      <c r="PMD42"/>
      <c r="PME42"/>
      <c r="PMF42"/>
      <c r="PMG42"/>
      <c r="PMH42"/>
      <c r="PMI42"/>
      <c r="PMJ42"/>
      <c r="PMK42"/>
      <c r="PML42"/>
      <c r="PMM42"/>
      <c r="PMN42"/>
      <c r="PMO42"/>
      <c r="PMP42"/>
      <c r="PMQ42"/>
      <c r="PMR42"/>
      <c r="PMS42"/>
      <c r="PMT42"/>
      <c r="PMU42"/>
      <c r="PMV42"/>
      <c r="PMW42"/>
      <c r="PMX42"/>
      <c r="PMY42"/>
      <c r="PMZ42"/>
      <c r="PNA42"/>
      <c r="PNB42"/>
      <c r="PNC42"/>
      <c r="PND42"/>
      <c r="PNE42"/>
      <c r="PNF42"/>
      <c r="PNG42"/>
      <c r="PNH42"/>
      <c r="PNI42"/>
      <c r="PNJ42"/>
      <c r="PNK42"/>
      <c r="PNL42"/>
      <c r="PNM42"/>
      <c r="PNN42"/>
      <c r="PNO42"/>
      <c r="PNP42"/>
      <c r="PNQ42"/>
      <c r="PNR42"/>
      <c r="PNS42"/>
      <c r="PNT42"/>
      <c r="PNU42"/>
      <c r="PNV42"/>
      <c r="PNW42"/>
      <c r="PNX42"/>
      <c r="PNY42"/>
      <c r="PNZ42"/>
      <c r="POA42"/>
      <c r="POB42"/>
      <c r="POC42"/>
      <c r="POD42"/>
      <c r="POE42"/>
      <c r="POF42"/>
      <c r="POG42"/>
      <c r="POH42"/>
      <c r="POI42"/>
      <c r="POJ42"/>
      <c r="POK42"/>
      <c r="POL42"/>
      <c r="POM42"/>
      <c r="PON42"/>
      <c r="POO42"/>
      <c r="POP42"/>
      <c r="POQ42"/>
      <c r="POR42"/>
      <c r="POS42"/>
      <c r="POT42"/>
      <c r="POU42"/>
      <c r="POV42"/>
      <c r="POW42"/>
      <c r="POX42"/>
      <c r="POY42"/>
      <c r="POZ42"/>
      <c r="PPA42"/>
      <c r="PPB42"/>
      <c r="PPC42"/>
      <c r="PPD42"/>
      <c r="PPE42"/>
      <c r="PPF42"/>
      <c r="PPG42"/>
      <c r="PPH42"/>
      <c r="PPI42"/>
      <c r="PPJ42"/>
      <c r="PPK42"/>
      <c r="PPL42"/>
      <c r="PPM42"/>
      <c r="PPN42"/>
      <c r="PPO42"/>
      <c r="PPP42"/>
      <c r="PPQ42"/>
      <c r="PPR42"/>
      <c r="PPS42"/>
      <c r="PPT42"/>
      <c r="PPU42"/>
      <c r="PPV42"/>
      <c r="PPW42"/>
      <c r="PPX42"/>
      <c r="PPY42"/>
      <c r="PPZ42"/>
      <c r="PQA42"/>
      <c r="PQB42"/>
      <c r="PQC42"/>
      <c r="PQD42"/>
      <c r="PQE42"/>
      <c r="PQF42"/>
      <c r="PQG42"/>
      <c r="PQH42"/>
      <c r="PQI42"/>
      <c r="PQJ42"/>
      <c r="PQK42"/>
      <c r="PQL42"/>
      <c r="PQM42"/>
      <c r="PQN42"/>
      <c r="PQO42"/>
      <c r="PQP42"/>
      <c r="PQQ42"/>
      <c r="PQR42"/>
      <c r="PQS42"/>
      <c r="PQT42"/>
      <c r="PQU42"/>
      <c r="PQV42"/>
      <c r="PQW42"/>
      <c r="PQX42"/>
      <c r="PQY42"/>
      <c r="PQZ42"/>
      <c r="PRA42"/>
      <c r="PRB42"/>
      <c r="PRC42"/>
      <c r="PRD42"/>
      <c r="PRE42"/>
      <c r="PRF42"/>
      <c r="PRG42"/>
      <c r="PRH42"/>
      <c r="PRI42"/>
      <c r="PRJ42"/>
      <c r="PRK42"/>
      <c r="PRL42"/>
      <c r="PRM42"/>
      <c r="PRN42"/>
      <c r="PRO42"/>
      <c r="PRP42"/>
      <c r="PRQ42"/>
      <c r="PRR42"/>
      <c r="PRS42"/>
      <c r="PRT42"/>
      <c r="PRU42"/>
      <c r="PRV42"/>
      <c r="PRW42"/>
      <c r="PRX42"/>
      <c r="PRY42"/>
      <c r="PRZ42"/>
      <c r="PSA42"/>
      <c r="PSB42"/>
      <c r="PSC42"/>
      <c r="PSD42"/>
      <c r="PSE42"/>
      <c r="PSF42"/>
      <c r="PSG42"/>
      <c r="PSH42"/>
      <c r="PSI42"/>
      <c r="PSJ42"/>
      <c r="PSK42"/>
      <c r="PSL42"/>
      <c r="PSM42"/>
      <c r="PSN42"/>
      <c r="PSO42"/>
      <c r="PSP42"/>
      <c r="PSQ42"/>
      <c r="PSR42"/>
      <c r="PSS42"/>
      <c r="PST42"/>
      <c r="PSU42"/>
      <c r="PSV42"/>
      <c r="PSW42"/>
      <c r="PSX42"/>
      <c r="PSY42"/>
      <c r="PSZ42"/>
      <c r="PTA42"/>
      <c r="PTB42"/>
      <c r="PTC42"/>
      <c r="PTD42"/>
      <c r="PTE42"/>
      <c r="PTF42"/>
      <c r="PTG42"/>
      <c r="PTH42"/>
      <c r="PTI42"/>
      <c r="PTJ42"/>
      <c r="PTK42"/>
      <c r="PTL42"/>
      <c r="PTM42"/>
      <c r="PTN42"/>
      <c r="PTO42"/>
      <c r="PTP42"/>
      <c r="PTQ42"/>
      <c r="PTR42"/>
      <c r="PTS42"/>
      <c r="PTT42"/>
      <c r="PTU42"/>
      <c r="PTV42"/>
      <c r="PTW42"/>
      <c r="PTX42"/>
      <c r="PTY42"/>
      <c r="PTZ42"/>
      <c r="PUA42"/>
      <c r="PUB42"/>
      <c r="PUC42"/>
      <c r="PUD42"/>
      <c r="PUE42"/>
      <c r="PUF42"/>
      <c r="PUG42"/>
      <c r="PUH42"/>
      <c r="PUI42"/>
      <c r="PUJ42"/>
      <c r="PUK42"/>
      <c r="PUL42"/>
      <c r="PUM42"/>
      <c r="PUN42"/>
      <c r="PUO42"/>
      <c r="PUP42"/>
      <c r="PUQ42"/>
      <c r="PUR42"/>
      <c r="PUS42"/>
      <c r="PUT42"/>
      <c r="PUU42"/>
      <c r="PUV42"/>
      <c r="PUW42"/>
      <c r="PUX42"/>
      <c r="PUY42"/>
      <c r="PUZ42"/>
      <c r="PVA42"/>
      <c r="PVB42"/>
      <c r="PVC42"/>
      <c r="PVD42"/>
      <c r="PVE42"/>
      <c r="PVF42"/>
      <c r="PVG42"/>
      <c r="PVH42"/>
      <c r="PVI42"/>
      <c r="PVJ42"/>
      <c r="PVK42"/>
      <c r="PVL42"/>
      <c r="PVM42"/>
      <c r="PVN42"/>
      <c r="PVO42"/>
      <c r="PVP42"/>
      <c r="PVQ42"/>
      <c r="PVR42"/>
      <c r="PVS42"/>
      <c r="PVT42"/>
      <c r="PVU42"/>
      <c r="PVV42"/>
      <c r="PVW42"/>
      <c r="PVX42"/>
      <c r="PVY42"/>
      <c r="PVZ42"/>
      <c r="PWA42"/>
      <c r="PWB42"/>
      <c r="PWC42"/>
      <c r="PWD42"/>
      <c r="PWE42"/>
      <c r="PWF42"/>
      <c r="PWG42"/>
      <c r="PWH42"/>
      <c r="PWI42"/>
      <c r="PWJ42"/>
      <c r="PWK42"/>
      <c r="PWL42"/>
      <c r="PWM42"/>
      <c r="PWN42"/>
      <c r="PWO42"/>
      <c r="PWP42"/>
      <c r="PWQ42"/>
      <c r="PWR42"/>
      <c r="PWS42"/>
      <c r="PWT42"/>
      <c r="PWU42"/>
      <c r="PWV42"/>
      <c r="PWW42"/>
      <c r="PWX42"/>
      <c r="PWY42"/>
      <c r="PWZ42"/>
      <c r="PXA42"/>
      <c r="PXB42"/>
      <c r="PXC42"/>
      <c r="PXD42"/>
      <c r="PXE42"/>
      <c r="PXF42"/>
      <c r="PXG42"/>
      <c r="PXH42"/>
      <c r="PXI42"/>
      <c r="PXJ42"/>
      <c r="PXK42"/>
      <c r="PXL42"/>
      <c r="PXM42"/>
      <c r="PXN42"/>
      <c r="PXO42"/>
      <c r="PXP42"/>
      <c r="PXQ42"/>
      <c r="PXR42"/>
      <c r="PXS42"/>
      <c r="PXT42"/>
      <c r="PXU42"/>
      <c r="PXV42"/>
      <c r="PXW42"/>
      <c r="PXX42"/>
      <c r="PXY42"/>
      <c r="PXZ42"/>
      <c r="PYA42"/>
      <c r="PYB42"/>
      <c r="PYC42"/>
      <c r="PYD42"/>
      <c r="PYE42"/>
      <c r="PYF42"/>
      <c r="PYG42"/>
      <c r="PYH42"/>
      <c r="PYI42"/>
      <c r="PYJ42"/>
      <c r="PYK42"/>
      <c r="PYL42"/>
      <c r="PYM42"/>
      <c r="PYN42"/>
      <c r="PYO42"/>
      <c r="PYP42"/>
      <c r="PYQ42"/>
      <c r="PYR42"/>
      <c r="PYS42"/>
      <c r="PYT42"/>
      <c r="PYU42"/>
      <c r="PYV42"/>
      <c r="PYW42"/>
      <c r="PYX42"/>
      <c r="PYY42"/>
      <c r="PYZ42"/>
      <c r="PZA42"/>
      <c r="PZB42"/>
      <c r="PZC42"/>
      <c r="PZD42"/>
      <c r="PZE42"/>
      <c r="PZF42"/>
      <c r="PZG42"/>
      <c r="PZH42"/>
      <c r="PZI42"/>
      <c r="PZJ42"/>
      <c r="PZK42"/>
      <c r="PZL42"/>
      <c r="PZM42"/>
      <c r="PZN42"/>
      <c r="PZO42"/>
      <c r="PZP42"/>
      <c r="PZQ42"/>
      <c r="PZR42"/>
      <c r="PZS42"/>
      <c r="PZT42"/>
      <c r="PZU42"/>
      <c r="PZV42"/>
      <c r="PZW42"/>
      <c r="PZX42"/>
      <c r="PZY42"/>
      <c r="PZZ42"/>
      <c r="QAA42"/>
      <c r="QAB42"/>
      <c r="QAC42"/>
      <c r="QAD42"/>
      <c r="QAE42"/>
      <c r="QAF42"/>
      <c r="QAG42"/>
      <c r="QAH42"/>
      <c r="QAI42"/>
      <c r="QAJ42"/>
      <c r="QAK42"/>
      <c r="QAL42"/>
      <c r="QAM42"/>
      <c r="QAN42"/>
      <c r="QAO42"/>
      <c r="QAP42"/>
      <c r="QAQ42"/>
      <c r="QAR42"/>
      <c r="QAS42"/>
      <c r="QAT42"/>
      <c r="QAU42"/>
      <c r="QAV42"/>
      <c r="QAW42"/>
      <c r="QAX42"/>
      <c r="QAY42"/>
      <c r="QAZ42"/>
      <c r="QBA42"/>
      <c r="QBB42"/>
      <c r="QBC42"/>
      <c r="QBD42"/>
      <c r="QBE42"/>
      <c r="QBF42"/>
      <c r="QBG42"/>
      <c r="QBH42"/>
      <c r="QBI42"/>
      <c r="QBJ42"/>
      <c r="QBK42"/>
      <c r="QBL42"/>
      <c r="QBM42"/>
      <c r="QBN42"/>
      <c r="QBO42"/>
      <c r="QBP42"/>
      <c r="QBQ42"/>
      <c r="QBR42"/>
      <c r="QBS42"/>
      <c r="QBT42"/>
      <c r="QBU42"/>
      <c r="QBV42"/>
      <c r="QBW42"/>
      <c r="QBX42"/>
      <c r="QBY42"/>
      <c r="QBZ42"/>
      <c r="QCA42"/>
      <c r="QCB42"/>
      <c r="QCC42"/>
      <c r="QCD42"/>
      <c r="QCE42"/>
      <c r="QCF42"/>
      <c r="QCG42"/>
      <c r="QCH42"/>
      <c r="QCI42"/>
      <c r="QCJ42"/>
      <c r="QCK42"/>
      <c r="QCL42"/>
      <c r="QCM42"/>
      <c r="QCN42"/>
      <c r="QCO42"/>
      <c r="QCP42"/>
      <c r="QCQ42"/>
      <c r="QCR42"/>
      <c r="QCS42"/>
      <c r="QCT42"/>
      <c r="QCU42"/>
      <c r="QCV42"/>
      <c r="QCW42"/>
      <c r="QCX42"/>
      <c r="QCY42"/>
      <c r="QCZ42"/>
      <c r="QDA42"/>
      <c r="QDB42"/>
      <c r="QDC42"/>
      <c r="QDD42"/>
      <c r="QDE42"/>
      <c r="QDF42"/>
      <c r="QDG42"/>
      <c r="QDH42"/>
      <c r="QDI42"/>
      <c r="QDJ42"/>
      <c r="QDK42"/>
      <c r="QDL42"/>
      <c r="QDM42"/>
      <c r="QDN42"/>
      <c r="QDO42"/>
      <c r="QDP42"/>
      <c r="QDQ42"/>
      <c r="QDR42"/>
      <c r="QDS42"/>
      <c r="QDT42"/>
      <c r="QDU42"/>
      <c r="QDV42"/>
      <c r="QDW42"/>
      <c r="QDX42"/>
      <c r="QDY42"/>
      <c r="QDZ42"/>
      <c r="QEA42"/>
      <c r="QEB42"/>
      <c r="QEC42"/>
      <c r="QED42"/>
      <c r="QEE42"/>
      <c r="QEF42"/>
      <c r="QEG42"/>
      <c r="QEH42"/>
      <c r="QEI42"/>
      <c r="QEJ42"/>
      <c r="QEK42"/>
      <c r="QEL42"/>
      <c r="QEM42"/>
      <c r="QEN42"/>
      <c r="QEO42"/>
      <c r="QEP42"/>
      <c r="QEQ42"/>
      <c r="QER42"/>
      <c r="QES42"/>
      <c r="QET42"/>
      <c r="QEU42"/>
      <c r="QEV42"/>
      <c r="QEW42"/>
      <c r="QEX42"/>
      <c r="QEY42"/>
      <c r="QEZ42"/>
      <c r="QFA42"/>
      <c r="QFB42"/>
      <c r="QFC42"/>
      <c r="QFD42"/>
      <c r="QFE42"/>
      <c r="QFF42"/>
      <c r="QFG42"/>
      <c r="QFH42"/>
      <c r="QFI42"/>
      <c r="QFJ42"/>
      <c r="QFK42"/>
      <c r="QFL42"/>
      <c r="QFM42"/>
      <c r="QFN42"/>
      <c r="QFO42"/>
      <c r="QFP42"/>
      <c r="QFQ42"/>
      <c r="QFR42"/>
      <c r="QFS42"/>
      <c r="QFT42"/>
      <c r="QFU42"/>
      <c r="QFV42"/>
      <c r="QFW42"/>
      <c r="QFX42"/>
      <c r="QFY42"/>
      <c r="QFZ42"/>
      <c r="QGA42"/>
      <c r="QGB42"/>
      <c r="QGC42"/>
      <c r="QGD42"/>
      <c r="QGE42"/>
      <c r="QGF42"/>
      <c r="QGG42"/>
      <c r="QGH42"/>
      <c r="QGI42"/>
      <c r="QGJ42"/>
      <c r="QGK42"/>
      <c r="QGL42"/>
      <c r="QGM42"/>
      <c r="QGN42"/>
      <c r="QGO42"/>
      <c r="QGP42"/>
      <c r="QGQ42"/>
      <c r="QGR42"/>
      <c r="QGS42"/>
      <c r="QGT42"/>
      <c r="QGU42"/>
      <c r="QGV42"/>
      <c r="QGW42"/>
      <c r="QGX42"/>
      <c r="QGY42"/>
      <c r="QGZ42"/>
      <c r="QHA42"/>
      <c r="QHB42"/>
      <c r="QHC42"/>
      <c r="QHD42"/>
      <c r="QHE42"/>
      <c r="QHF42"/>
      <c r="QHG42"/>
      <c r="QHH42"/>
      <c r="QHI42"/>
      <c r="QHJ42"/>
      <c r="QHK42"/>
      <c r="QHL42"/>
      <c r="QHM42"/>
      <c r="QHN42"/>
      <c r="QHO42"/>
      <c r="QHP42"/>
      <c r="QHQ42"/>
      <c r="QHR42"/>
      <c r="QHS42"/>
      <c r="QHT42"/>
      <c r="QHU42"/>
      <c r="QHV42"/>
      <c r="QHW42"/>
      <c r="QHX42"/>
      <c r="QHY42"/>
      <c r="QHZ42"/>
      <c r="QIA42"/>
      <c r="QIB42"/>
      <c r="QIC42"/>
      <c r="QID42"/>
      <c r="QIE42"/>
      <c r="QIF42"/>
      <c r="QIG42"/>
      <c r="QIH42"/>
      <c r="QII42"/>
      <c r="QIJ42"/>
      <c r="QIK42"/>
      <c r="QIL42"/>
      <c r="QIM42"/>
      <c r="QIN42"/>
      <c r="QIO42"/>
      <c r="QIP42"/>
      <c r="QIQ42"/>
      <c r="QIR42"/>
      <c r="QIS42"/>
      <c r="QIT42"/>
      <c r="QIU42"/>
      <c r="QIV42"/>
      <c r="QIW42"/>
      <c r="QIX42"/>
      <c r="QIY42"/>
      <c r="QIZ42"/>
      <c r="QJA42"/>
      <c r="QJB42"/>
      <c r="QJC42"/>
      <c r="QJD42"/>
      <c r="QJE42"/>
      <c r="QJF42"/>
      <c r="QJG42"/>
      <c r="QJH42"/>
      <c r="QJI42"/>
      <c r="QJJ42"/>
      <c r="QJK42"/>
      <c r="QJL42"/>
      <c r="QJM42"/>
      <c r="QJN42"/>
      <c r="QJO42"/>
      <c r="QJP42"/>
      <c r="QJQ42"/>
      <c r="QJR42"/>
      <c r="QJS42"/>
      <c r="QJT42"/>
      <c r="QJU42"/>
      <c r="QJV42"/>
      <c r="QJW42"/>
      <c r="QJX42"/>
      <c r="QJY42"/>
      <c r="QJZ42"/>
      <c r="QKA42"/>
      <c r="QKB42"/>
      <c r="QKC42"/>
      <c r="QKD42"/>
      <c r="QKE42"/>
      <c r="QKF42"/>
      <c r="QKG42"/>
      <c r="QKH42"/>
      <c r="QKI42"/>
      <c r="QKJ42"/>
      <c r="QKK42"/>
      <c r="QKL42"/>
      <c r="QKM42"/>
      <c r="QKN42"/>
      <c r="QKO42"/>
      <c r="QKP42"/>
      <c r="QKQ42"/>
      <c r="QKR42"/>
      <c r="QKS42"/>
      <c r="QKT42"/>
      <c r="QKU42"/>
      <c r="QKV42"/>
      <c r="QKW42"/>
      <c r="QKX42"/>
      <c r="QKY42"/>
      <c r="QKZ42"/>
      <c r="QLA42"/>
      <c r="QLB42"/>
      <c r="QLC42"/>
      <c r="QLD42"/>
      <c r="QLE42"/>
      <c r="QLF42"/>
      <c r="QLG42"/>
      <c r="QLH42"/>
      <c r="QLI42"/>
      <c r="QLJ42"/>
      <c r="QLK42"/>
      <c r="QLL42"/>
      <c r="QLM42"/>
      <c r="QLN42"/>
      <c r="QLO42"/>
      <c r="QLP42"/>
      <c r="QLQ42"/>
      <c r="QLR42"/>
      <c r="QLS42"/>
      <c r="QLT42"/>
      <c r="QLU42"/>
      <c r="QLV42"/>
      <c r="QLW42"/>
      <c r="QLX42"/>
      <c r="QLY42"/>
      <c r="QLZ42"/>
      <c r="QMA42"/>
      <c r="QMB42"/>
      <c r="QMC42"/>
      <c r="QMD42"/>
      <c r="QME42"/>
      <c r="QMF42"/>
      <c r="QMG42"/>
      <c r="QMH42"/>
      <c r="QMI42"/>
      <c r="QMJ42"/>
      <c r="QMK42"/>
      <c r="QML42"/>
      <c r="QMM42"/>
      <c r="QMN42"/>
      <c r="QMO42"/>
      <c r="QMP42"/>
      <c r="QMQ42"/>
      <c r="QMR42"/>
      <c r="QMS42"/>
      <c r="QMT42"/>
      <c r="QMU42"/>
      <c r="QMV42"/>
      <c r="QMW42"/>
      <c r="QMX42"/>
      <c r="QMY42"/>
      <c r="QMZ42"/>
      <c r="QNA42"/>
      <c r="QNB42"/>
      <c r="QNC42"/>
      <c r="QND42"/>
      <c r="QNE42"/>
      <c r="QNF42"/>
      <c r="QNG42"/>
      <c r="QNH42"/>
      <c r="QNI42"/>
      <c r="QNJ42"/>
      <c r="QNK42"/>
      <c r="QNL42"/>
      <c r="QNM42"/>
      <c r="QNN42"/>
      <c r="QNO42"/>
      <c r="QNP42"/>
      <c r="QNQ42"/>
      <c r="QNR42"/>
      <c r="QNS42"/>
      <c r="QNT42"/>
      <c r="QNU42"/>
      <c r="QNV42"/>
      <c r="QNW42"/>
      <c r="QNX42"/>
      <c r="QNY42"/>
      <c r="QNZ42"/>
      <c r="QOA42"/>
      <c r="QOB42"/>
      <c r="QOC42"/>
      <c r="QOD42"/>
      <c r="QOE42"/>
      <c r="QOF42"/>
      <c r="QOG42"/>
      <c r="QOH42"/>
      <c r="QOI42"/>
      <c r="QOJ42"/>
      <c r="QOK42"/>
      <c r="QOL42"/>
      <c r="QOM42"/>
      <c r="QON42"/>
      <c r="QOO42"/>
      <c r="QOP42"/>
      <c r="QOQ42"/>
      <c r="QOR42"/>
      <c r="QOS42"/>
      <c r="QOT42"/>
      <c r="QOU42"/>
      <c r="QOV42"/>
      <c r="QOW42"/>
      <c r="QOX42"/>
      <c r="QOY42"/>
      <c r="QOZ42"/>
      <c r="QPA42"/>
      <c r="QPB42"/>
      <c r="QPC42"/>
      <c r="QPD42"/>
      <c r="QPE42"/>
      <c r="QPF42"/>
      <c r="QPG42"/>
      <c r="QPH42"/>
      <c r="QPI42"/>
      <c r="QPJ42"/>
      <c r="QPK42"/>
      <c r="QPL42"/>
      <c r="QPM42"/>
      <c r="QPN42"/>
      <c r="QPO42"/>
      <c r="QPP42"/>
      <c r="QPQ42"/>
      <c r="QPR42"/>
      <c r="QPS42"/>
      <c r="QPT42"/>
      <c r="QPU42"/>
      <c r="QPV42"/>
      <c r="QPW42"/>
      <c r="QPX42"/>
      <c r="QPY42"/>
      <c r="QPZ42"/>
      <c r="QQA42"/>
      <c r="QQB42"/>
      <c r="QQC42"/>
      <c r="QQD42"/>
      <c r="QQE42"/>
      <c r="QQF42"/>
      <c r="QQG42"/>
      <c r="QQH42"/>
      <c r="QQI42"/>
      <c r="QQJ42"/>
      <c r="QQK42"/>
      <c r="QQL42"/>
      <c r="QQM42"/>
      <c r="QQN42"/>
      <c r="QQO42"/>
      <c r="QQP42"/>
      <c r="QQQ42"/>
      <c r="QQR42"/>
      <c r="QQS42"/>
      <c r="QQT42"/>
      <c r="QQU42"/>
      <c r="QQV42"/>
      <c r="QQW42"/>
      <c r="QQX42"/>
      <c r="QQY42"/>
      <c r="QQZ42"/>
      <c r="QRA42"/>
      <c r="QRB42"/>
      <c r="QRC42"/>
      <c r="QRD42"/>
      <c r="QRE42"/>
      <c r="QRF42"/>
      <c r="QRG42"/>
      <c r="QRH42"/>
      <c r="QRI42"/>
      <c r="QRJ42"/>
      <c r="QRK42"/>
      <c r="QRL42"/>
      <c r="QRM42"/>
      <c r="QRN42"/>
      <c r="QRO42"/>
      <c r="QRP42"/>
      <c r="QRQ42"/>
      <c r="QRR42"/>
      <c r="QRS42"/>
      <c r="QRT42"/>
      <c r="QRU42"/>
      <c r="QRV42"/>
      <c r="QRW42"/>
      <c r="QRX42"/>
      <c r="QRY42"/>
      <c r="QRZ42"/>
      <c r="QSA42"/>
      <c r="QSB42"/>
      <c r="QSC42"/>
      <c r="QSD42"/>
      <c r="QSE42"/>
      <c r="QSF42"/>
      <c r="QSG42"/>
      <c r="QSH42"/>
      <c r="QSI42"/>
      <c r="QSJ42"/>
      <c r="QSK42"/>
      <c r="QSL42"/>
      <c r="QSM42"/>
      <c r="QSN42"/>
      <c r="QSO42"/>
      <c r="QSP42"/>
      <c r="QSQ42"/>
      <c r="QSR42"/>
      <c r="QSS42"/>
      <c r="QST42"/>
      <c r="QSU42"/>
      <c r="QSV42"/>
      <c r="QSW42"/>
      <c r="QSX42"/>
      <c r="QSY42"/>
      <c r="QSZ42"/>
      <c r="QTA42"/>
      <c r="QTB42"/>
      <c r="QTC42"/>
      <c r="QTD42"/>
      <c r="QTE42"/>
      <c r="QTF42"/>
      <c r="QTG42"/>
      <c r="QTH42"/>
      <c r="QTI42"/>
      <c r="QTJ42"/>
      <c r="QTK42"/>
      <c r="QTL42"/>
      <c r="QTM42"/>
      <c r="QTN42"/>
      <c r="QTO42"/>
      <c r="QTP42"/>
      <c r="QTQ42"/>
      <c r="QTR42"/>
      <c r="QTS42"/>
      <c r="QTT42"/>
      <c r="QTU42"/>
      <c r="QTV42"/>
      <c r="QTW42"/>
      <c r="QTX42"/>
      <c r="QTY42"/>
      <c r="QTZ42"/>
      <c r="QUA42"/>
      <c r="QUB42"/>
      <c r="QUC42"/>
      <c r="QUD42"/>
      <c r="QUE42"/>
      <c r="QUF42"/>
      <c r="QUG42"/>
      <c r="QUH42"/>
      <c r="QUI42"/>
      <c r="QUJ42"/>
      <c r="QUK42"/>
      <c r="QUL42"/>
      <c r="QUM42"/>
      <c r="QUN42"/>
      <c r="QUO42"/>
      <c r="QUP42"/>
      <c r="QUQ42"/>
      <c r="QUR42"/>
      <c r="QUS42"/>
      <c r="QUT42"/>
      <c r="QUU42"/>
      <c r="QUV42"/>
      <c r="QUW42"/>
      <c r="QUX42"/>
      <c r="QUY42"/>
      <c r="QUZ42"/>
      <c r="QVA42"/>
      <c r="QVB42"/>
      <c r="QVC42"/>
      <c r="QVD42"/>
      <c r="QVE42"/>
      <c r="QVF42"/>
      <c r="QVG42"/>
      <c r="QVH42"/>
      <c r="QVI42"/>
      <c r="QVJ42"/>
      <c r="QVK42"/>
      <c r="QVL42"/>
      <c r="QVM42"/>
      <c r="QVN42"/>
      <c r="QVO42"/>
      <c r="QVP42"/>
      <c r="QVQ42"/>
      <c r="QVR42"/>
      <c r="QVS42"/>
      <c r="QVT42"/>
      <c r="QVU42"/>
      <c r="QVV42"/>
      <c r="QVW42"/>
      <c r="QVX42"/>
      <c r="QVY42"/>
      <c r="QVZ42"/>
      <c r="QWA42"/>
      <c r="QWB42"/>
      <c r="QWC42"/>
      <c r="QWD42"/>
      <c r="QWE42"/>
      <c r="QWF42"/>
      <c r="QWG42"/>
      <c r="QWH42"/>
      <c r="QWI42"/>
      <c r="QWJ42"/>
      <c r="QWK42"/>
      <c r="QWL42"/>
      <c r="QWM42"/>
      <c r="QWN42"/>
      <c r="QWO42"/>
      <c r="QWP42"/>
      <c r="QWQ42"/>
      <c r="QWR42"/>
      <c r="QWS42"/>
      <c r="QWT42"/>
      <c r="QWU42"/>
      <c r="QWV42"/>
      <c r="QWW42"/>
      <c r="QWX42"/>
      <c r="QWY42"/>
      <c r="QWZ42"/>
      <c r="QXA42"/>
      <c r="QXB42"/>
      <c r="QXC42"/>
      <c r="QXD42"/>
      <c r="QXE42"/>
      <c r="QXF42"/>
      <c r="QXG42"/>
      <c r="QXH42"/>
      <c r="QXI42"/>
      <c r="QXJ42"/>
      <c r="QXK42"/>
      <c r="QXL42"/>
      <c r="QXM42"/>
      <c r="QXN42"/>
      <c r="QXO42"/>
      <c r="QXP42"/>
      <c r="QXQ42"/>
      <c r="QXR42"/>
      <c r="QXS42"/>
      <c r="QXT42"/>
      <c r="QXU42"/>
      <c r="QXV42"/>
      <c r="QXW42"/>
      <c r="QXX42"/>
      <c r="QXY42"/>
      <c r="QXZ42"/>
      <c r="QYA42"/>
      <c r="QYB42"/>
      <c r="QYC42"/>
      <c r="QYD42"/>
      <c r="QYE42"/>
      <c r="QYF42"/>
      <c r="QYG42"/>
      <c r="QYH42"/>
      <c r="QYI42"/>
      <c r="QYJ42"/>
      <c r="QYK42"/>
      <c r="QYL42"/>
      <c r="QYM42"/>
      <c r="QYN42"/>
      <c r="QYO42"/>
      <c r="QYP42"/>
      <c r="QYQ42"/>
      <c r="QYR42"/>
      <c r="QYS42"/>
      <c r="QYT42"/>
      <c r="QYU42"/>
      <c r="QYV42"/>
      <c r="QYW42"/>
      <c r="QYX42"/>
      <c r="QYY42"/>
      <c r="QYZ42"/>
      <c r="QZA42"/>
      <c r="QZB42"/>
      <c r="QZC42"/>
      <c r="QZD42"/>
      <c r="QZE42"/>
      <c r="QZF42"/>
      <c r="QZG42"/>
      <c r="QZH42"/>
      <c r="QZI42"/>
      <c r="QZJ42"/>
      <c r="QZK42"/>
      <c r="QZL42"/>
      <c r="QZM42"/>
      <c r="QZN42"/>
      <c r="QZO42"/>
      <c r="QZP42"/>
      <c r="QZQ42"/>
      <c r="QZR42"/>
      <c r="QZS42"/>
      <c r="QZT42"/>
      <c r="QZU42"/>
      <c r="QZV42"/>
      <c r="QZW42"/>
      <c r="QZX42"/>
      <c r="QZY42"/>
      <c r="QZZ42"/>
      <c r="RAA42"/>
      <c r="RAB42"/>
      <c r="RAC42"/>
      <c r="RAD42"/>
      <c r="RAE42"/>
      <c r="RAF42"/>
      <c r="RAG42"/>
      <c r="RAH42"/>
      <c r="RAI42"/>
      <c r="RAJ42"/>
      <c r="RAK42"/>
      <c r="RAL42"/>
      <c r="RAM42"/>
      <c r="RAN42"/>
      <c r="RAO42"/>
      <c r="RAP42"/>
      <c r="RAQ42"/>
      <c r="RAR42"/>
      <c r="RAS42"/>
      <c r="RAT42"/>
      <c r="RAU42"/>
      <c r="RAV42"/>
      <c r="RAW42"/>
      <c r="RAX42"/>
      <c r="RAY42"/>
      <c r="RAZ42"/>
      <c r="RBA42"/>
      <c r="RBB42"/>
      <c r="RBC42"/>
      <c r="RBD42"/>
      <c r="RBE42"/>
      <c r="RBF42"/>
      <c r="RBG42"/>
      <c r="RBH42"/>
      <c r="RBI42"/>
      <c r="RBJ42"/>
      <c r="RBK42"/>
      <c r="RBL42"/>
      <c r="RBM42"/>
      <c r="RBN42"/>
      <c r="RBO42"/>
      <c r="RBP42"/>
      <c r="RBQ42"/>
      <c r="RBR42"/>
      <c r="RBS42"/>
      <c r="RBT42"/>
      <c r="RBU42"/>
      <c r="RBV42"/>
      <c r="RBW42"/>
      <c r="RBX42"/>
      <c r="RBY42"/>
      <c r="RBZ42"/>
      <c r="RCA42"/>
      <c r="RCB42"/>
      <c r="RCC42"/>
      <c r="RCD42"/>
      <c r="RCE42"/>
      <c r="RCF42"/>
      <c r="RCG42"/>
      <c r="RCH42"/>
      <c r="RCI42"/>
      <c r="RCJ42"/>
      <c r="RCK42"/>
      <c r="RCL42"/>
      <c r="RCM42"/>
      <c r="RCN42"/>
      <c r="RCO42"/>
      <c r="RCP42"/>
      <c r="RCQ42"/>
      <c r="RCR42"/>
      <c r="RCS42"/>
      <c r="RCT42"/>
      <c r="RCU42"/>
      <c r="RCV42"/>
      <c r="RCW42"/>
      <c r="RCX42"/>
      <c r="RCY42"/>
      <c r="RCZ42"/>
      <c r="RDA42"/>
      <c r="RDB42"/>
      <c r="RDC42"/>
      <c r="RDD42"/>
      <c r="RDE42"/>
      <c r="RDF42"/>
      <c r="RDG42"/>
      <c r="RDH42"/>
      <c r="RDI42"/>
      <c r="RDJ42"/>
      <c r="RDK42"/>
      <c r="RDL42"/>
      <c r="RDM42"/>
      <c r="RDN42"/>
      <c r="RDO42"/>
      <c r="RDP42"/>
      <c r="RDQ42"/>
      <c r="RDR42"/>
      <c r="RDS42"/>
      <c r="RDT42"/>
      <c r="RDU42"/>
      <c r="RDV42"/>
      <c r="RDW42"/>
      <c r="RDX42"/>
      <c r="RDY42"/>
      <c r="RDZ42"/>
      <c r="REA42"/>
      <c r="REB42"/>
      <c r="REC42"/>
      <c r="RED42"/>
      <c r="REE42"/>
      <c r="REF42"/>
      <c r="REG42"/>
      <c r="REH42"/>
      <c r="REI42"/>
      <c r="REJ42"/>
      <c r="REK42"/>
      <c r="REL42"/>
      <c r="REM42"/>
      <c r="REN42"/>
      <c r="REO42"/>
      <c r="REP42"/>
      <c r="REQ42"/>
      <c r="RER42"/>
      <c r="RES42"/>
      <c r="RET42"/>
      <c r="REU42"/>
      <c r="REV42"/>
      <c r="REW42"/>
      <c r="REX42"/>
      <c r="REY42"/>
      <c r="REZ42"/>
      <c r="RFA42"/>
      <c r="RFB42"/>
      <c r="RFC42"/>
      <c r="RFD42"/>
      <c r="RFE42"/>
      <c r="RFF42"/>
      <c r="RFG42"/>
      <c r="RFH42"/>
      <c r="RFI42"/>
      <c r="RFJ42"/>
      <c r="RFK42"/>
      <c r="RFL42"/>
      <c r="RFM42"/>
      <c r="RFN42"/>
      <c r="RFO42"/>
      <c r="RFP42"/>
      <c r="RFQ42"/>
      <c r="RFR42"/>
      <c r="RFS42"/>
      <c r="RFT42"/>
      <c r="RFU42"/>
      <c r="RFV42"/>
      <c r="RFW42"/>
      <c r="RFX42"/>
      <c r="RFY42"/>
      <c r="RFZ42"/>
      <c r="RGA42"/>
      <c r="RGB42"/>
      <c r="RGC42"/>
      <c r="RGD42"/>
      <c r="RGE42"/>
      <c r="RGF42"/>
      <c r="RGG42"/>
      <c r="RGH42"/>
      <c r="RGI42"/>
      <c r="RGJ42"/>
      <c r="RGK42"/>
      <c r="RGL42"/>
      <c r="RGM42"/>
      <c r="RGN42"/>
      <c r="RGO42"/>
      <c r="RGP42"/>
      <c r="RGQ42"/>
      <c r="RGR42"/>
      <c r="RGS42"/>
      <c r="RGT42"/>
      <c r="RGU42"/>
      <c r="RGV42"/>
      <c r="RGW42"/>
      <c r="RGX42"/>
      <c r="RGY42"/>
      <c r="RGZ42"/>
      <c r="RHA42"/>
      <c r="RHB42"/>
      <c r="RHC42"/>
      <c r="RHD42"/>
      <c r="RHE42"/>
      <c r="RHF42"/>
      <c r="RHG42"/>
      <c r="RHH42"/>
      <c r="RHI42"/>
      <c r="RHJ42"/>
      <c r="RHK42"/>
      <c r="RHL42"/>
      <c r="RHM42"/>
      <c r="RHN42"/>
      <c r="RHO42"/>
      <c r="RHP42"/>
      <c r="RHQ42"/>
      <c r="RHR42"/>
      <c r="RHS42"/>
      <c r="RHT42"/>
      <c r="RHU42"/>
      <c r="RHV42"/>
      <c r="RHW42"/>
      <c r="RHX42"/>
      <c r="RHY42"/>
      <c r="RHZ42"/>
      <c r="RIA42"/>
      <c r="RIB42"/>
      <c r="RIC42"/>
      <c r="RID42"/>
      <c r="RIE42"/>
      <c r="RIF42"/>
      <c r="RIG42"/>
      <c r="RIH42"/>
      <c r="RII42"/>
      <c r="RIJ42"/>
      <c r="RIK42"/>
      <c r="RIL42"/>
      <c r="RIM42"/>
      <c r="RIN42"/>
      <c r="RIO42"/>
      <c r="RIP42"/>
      <c r="RIQ42"/>
      <c r="RIR42"/>
      <c r="RIS42"/>
      <c r="RIT42"/>
      <c r="RIU42"/>
      <c r="RIV42"/>
      <c r="RIW42"/>
      <c r="RIX42"/>
      <c r="RIY42"/>
      <c r="RIZ42"/>
      <c r="RJA42"/>
      <c r="RJB42"/>
      <c r="RJC42"/>
      <c r="RJD42"/>
      <c r="RJE42"/>
      <c r="RJF42"/>
      <c r="RJG42"/>
      <c r="RJH42"/>
      <c r="RJI42"/>
      <c r="RJJ42"/>
      <c r="RJK42"/>
      <c r="RJL42"/>
      <c r="RJM42"/>
      <c r="RJN42"/>
      <c r="RJO42"/>
      <c r="RJP42"/>
      <c r="RJQ42"/>
      <c r="RJR42"/>
      <c r="RJS42"/>
      <c r="RJT42"/>
      <c r="RJU42"/>
      <c r="RJV42"/>
      <c r="RJW42"/>
      <c r="RJX42"/>
      <c r="RJY42"/>
      <c r="RJZ42"/>
      <c r="RKA42"/>
      <c r="RKB42"/>
      <c r="RKC42"/>
      <c r="RKD42"/>
      <c r="RKE42"/>
      <c r="RKF42"/>
      <c r="RKG42"/>
      <c r="RKH42"/>
      <c r="RKI42"/>
      <c r="RKJ42"/>
      <c r="RKK42"/>
      <c r="RKL42"/>
      <c r="RKM42"/>
      <c r="RKN42"/>
      <c r="RKO42"/>
      <c r="RKP42"/>
      <c r="RKQ42"/>
      <c r="RKR42"/>
      <c r="RKS42"/>
      <c r="RKT42"/>
      <c r="RKU42"/>
      <c r="RKV42"/>
      <c r="RKW42"/>
      <c r="RKX42"/>
      <c r="RKY42"/>
      <c r="RKZ42"/>
      <c r="RLA42"/>
      <c r="RLB42"/>
      <c r="RLC42"/>
      <c r="RLD42"/>
      <c r="RLE42"/>
      <c r="RLF42"/>
      <c r="RLG42"/>
      <c r="RLH42"/>
      <c r="RLI42"/>
      <c r="RLJ42"/>
      <c r="RLK42"/>
      <c r="RLL42"/>
      <c r="RLM42"/>
      <c r="RLN42"/>
      <c r="RLO42"/>
      <c r="RLP42"/>
      <c r="RLQ42"/>
      <c r="RLR42"/>
      <c r="RLS42"/>
      <c r="RLT42"/>
      <c r="RLU42"/>
      <c r="RLV42"/>
      <c r="RLW42"/>
      <c r="RLX42"/>
      <c r="RLY42"/>
      <c r="RLZ42"/>
      <c r="RMA42"/>
      <c r="RMB42"/>
      <c r="RMC42"/>
      <c r="RMD42"/>
      <c r="RME42"/>
      <c r="RMF42"/>
      <c r="RMG42"/>
      <c r="RMH42"/>
      <c r="RMI42"/>
      <c r="RMJ42"/>
      <c r="RMK42"/>
      <c r="RML42"/>
      <c r="RMM42"/>
      <c r="RMN42"/>
      <c r="RMO42"/>
      <c r="RMP42"/>
      <c r="RMQ42"/>
      <c r="RMR42"/>
      <c r="RMS42"/>
      <c r="RMT42"/>
      <c r="RMU42"/>
      <c r="RMV42"/>
      <c r="RMW42"/>
      <c r="RMX42"/>
      <c r="RMY42"/>
      <c r="RMZ42"/>
      <c r="RNA42"/>
      <c r="RNB42"/>
      <c r="RNC42"/>
      <c r="RND42"/>
      <c r="RNE42"/>
      <c r="RNF42"/>
      <c r="RNG42"/>
      <c r="RNH42"/>
      <c r="RNI42"/>
      <c r="RNJ42"/>
      <c r="RNK42"/>
      <c r="RNL42"/>
      <c r="RNM42"/>
      <c r="RNN42"/>
      <c r="RNO42"/>
      <c r="RNP42"/>
      <c r="RNQ42"/>
      <c r="RNR42"/>
      <c r="RNS42"/>
      <c r="RNT42"/>
      <c r="RNU42"/>
      <c r="RNV42"/>
      <c r="RNW42"/>
      <c r="RNX42"/>
      <c r="RNY42"/>
      <c r="RNZ42"/>
      <c r="ROA42"/>
      <c r="ROB42"/>
      <c r="ROC42"/>
      <c r="ROD42"/>
      <c r="ROE42"/>
      <c r="ROF42"/>
      <c r="ROG42"/>
      <c r="ROH42"/>
      <c r="ROI42"/>
      <c r="ROJ42"/>
      <c r="ROK42"/>
      <c r="ROL42"/>
      <c r="ROM42"/>
      <c r="RON42"/>
      <c r="ROO42"/>
      <c r="ROP42"/>
      <c r="ROQ42"/>
      <c r="ROR42"/>
      <c r="ROS42"/>
      <c r="ROT42"/>
      <c r="ROU42"/>
      <c r="ROV42"/>
      <c r="ROW42"/>
      <c r="ROX42"/>
      <c r="ROY42"/>
      <c r="ROZ42"/>
      <c r="RPA42"/>
      <c r="RPB42"/>
      <c r="RPC42"/>
      <c r="RPD42"/>
      <c r="RPE42"/>
      <c r="RPF42"/>
      <c r="RPG42"/>
      <c r="RPH42"/>
      <c r="RPI42"/>
      <c r="RPJ42"/>
      <c r="RPK42"/>
      <c r="RPL42"/>
      <c r="RPM42"/>
      <c r="RPN42"/>
      <c r="RPO42"/>
      <c r="RPP42"/>
      <c r="RPQ42"/>
      <c r="RPR42"/>
      <c r="RPS42"/>
      <c r="RPT42"/>
      <c r="RPU42"/>
      <c r="RPV42"/>
      <c r="RPW42"/>
      <c r="RPX42"/>
      <c r="RPY42"/>
      <c r="RPZ42"/>
      <c r="RQA42"/>
      <c r="RQB42"/>
      <c r="RQC42"/>
      <c r="RQD42"/>
      <c r="RQE42"/>
      <c r="RQF42"/>
      <c r="RQG42"/>
      <c r="RQH42"/>
      <c r="RQI42"/>
      <c r="RQJ42"/>
      <c r="RQK42"/>
      <c r="RQL42"/>
      <c r="RQM42"/>
      <c r="RQN42"/>
      <c r="RQO42"/>
      <c r="RQP42"/>
      <c r="RQQ42"/>
      <c r="RQR42"/>
      <c r="RQS42"/>
      <c r="RQT42"/>
      <c r="RQU42"/>
      <c r="RQV42"/>
      <c r="RQW42"/>
      <c r="RQX42"/>
      <c r="RQY42"/>
      <c r="RQZ42"/>
      <c r="RRA42"/>
      <c r="RRB42"/>
      <c r="RRC42"/>
      <c r="RRD42"/>
      <c r="RRE42"/>
      <c r="RRF42"/>
      <c r="RRG42"/>
      <c r="RRH42"/>
      <c r="RRI42"/>
      <c r="RRJ42"/>
      <c r="RRK42"/>
      <c r="RRL42"/>
      <c r="RRM42"/>
      <c r="RRN42"/>
      <c r="RRO42"/>
      <c r="RRP42"/>
      <c r="RRQ42"/>
      <c r="RRR42"/>
      <c r="RRS42"/>
      <c r="RRT42"/>
      <c r="RRU42"/>
      <c r="RRV42"/>
      <c r="RRW42"/>
      <c r="RRX42"/>
      <c r="RRY42"/>
      <c r="RRZ42"/>
      <c r="RSA42"/>
      <c r="RSB42"/>
      <c r="RSC42"/>
      <c r="RSD42"/>
      <c r="RSE42"/>
      <c r="RSF42"/>
      <c r="RSG42"/>
      <c r="RSH42"/>
      <c r="RSI42"/>
      <c r="RSJ42"/>
      <c r="RSK42"/>
      <c r="RSL42"/>
      <c r="RSM42"/>
      <c r="RSN42"/>
      <c r="RSO42"/>
      <c r="RSP42"/>
      <c r="RSQ42"/>
      <c r="RSR42"/>
      <c r="RSS42"/>
      <c r="RST42"/>
      <c r="RSU42"/>
      <c r="RSV42"/>
      <c r="RSW42"/>
      <c r="RSX42"/>
      <c r="RSY42"/>
      <c r="RSZ42"/>
      <c r="RTA42"/>
      <c r="RTB42"/>
      <c r="RTC42"/>
      <c r="RTD42"/>
      <c r="RTE42"/>
      <c r="RTF42"/>
      <c r="RTG42"/>
      <c r="RTH42"/>
      <c r="RTI42"/>
      <c r="RTJ42"/>
      <c r="RTK42"/>
      <c r="RTL42"/>
      <c r="RTM42"/>
      <c r="RTN42"/>
      <c r="RTO42"/>
      <c r="RTP42"/>
      <c r="RTQ42"/>
      <c r="RTR42"/>
      <c r="RTS42"/>
      <c r="RTT42"/>
      <c r="RTU42"/>
      <c r="RTV42"/>
      <c r="RTW42"/>
      <c r="RTX42"/>
      <c r="RTY42"/>
      <c r="RTZ42"/>
      <c r="RUA42"/>
      <c r="RUB42"/>
      <c r="RUC42"/>
      <c r="RUD42"/>
      <c r="RUE42"/>
      <c r="RUF42"/>
      <c r="RUG42"/>
      <c r="RUH42"/>
      <c r="RUI42"/>
      <c r="RUJ42"/>
      <c r="RUK42"/>
      <c r="RUL42"/>
      <c r="RUM42"/>
      <c r="RUN42"/>
      <c r="RUO42"/>
      <c r="RUP42"/>
      <c r="RUQ42"/>
      <c r="RUR42"/>
      <c r="RUS42"/>
      <c r="RUT42"/>
      <c r="RUU42"/>
      <c r="RUV42"/>
      <c r="RUW42"/>
      <c r="RUX42"/>
      <c r="RUY42"/>
      <c r="RUZ42"/>
      <c r="RVA42"/>
      <c r="RVB42"/>
      <c r="RVC42"/>
      <c r="RVD42"/>
      <c r="RVE42"/>
      <c r="RVF42"/>
      <c r="RVG42"/>
      <c r="RVH42"/>
      <c r="RVI42"/>
      <c r="RVJ42"/>
      <c r="RVK42"/>
      <c r="RVL42"/>
      <c r="RVM42"/>
      <c r="RVN42"/>
      <c r="RVO42"/>
      <c r="RVP42"/>
      <c r="RVQ42"/>
      <c r="RVR42"/>
      <c r="RVS42"/>
      <c r="RVT42"/>
      <c r="RVU42"/>
      <c r="RVV42"/>
      <c r="RVW42"/>
      <c r="RVX42"/>
      <c r="RVY42"/>
      <c r="RVZ42"/>
      <c r="RWA42"/>
      <c r="RWB42"/>
      <c r="RWC42"/>
      <c r="RWD42"/>
      <c r="RWE42"/>
      <c r="RWF42"/>
      <c r="RWG42"/>
      <c r="RWH42"/>
      <c r="RWI42"/>
      <c r="RWJ42"/>
      <c r="RWK42"/>
      <c r="RWL42"/>
      <c r="RWM42"/>
      <c r="RWN42"/>
      <c r="RWO42"/>
      <c r="RWP42"/>
      <c r="RWQ42"/>
      <c r="RWR42"/>
      <c r="RWS42"/>
      <c r="RWT42"/>
      <c r="RWU42"/>
      <c r="RWV42"/>
      <c r="RWW42"/>
      <c r="RWX42"/>
      <c r="RWY42"/>
      <c r="RWZ42"/>
      <c r="RXA42"/>
      <c r="RXB42"/>
      <c r="RXC42"/>
      <c r="RXD42"/>
      <c r="RXE42"/>
      <c r="RXF42"/>
      <c r="RXG42"/>
      <c r="RXH42"/>
      <c r="RXI42"/>
      <c r="RXJ42"/>
      <c r="RXK42"/>
      <c r="RXL42"/>
      <c r="RXM42"/>
      <c r="RXN42"/>
      <c r="RXO42"/>
      <c r="RXP42"/>
      <c r="RXQ42"/>
      <c r="RXR42"/>
      <c r="RXS42"/>
      <c r="RXT42"/>
      <c r="RXU42"/>
      <c r="RXV42"/>
      <c r="RXW42"/>
      <c r="RXX42"/>
      <c r="RXY42"/>
      <c r="RXZ42"/>
      <c r="RYA42"/>
      <c r="RYB42"/>
      <c r="RYC42"/>
      <c r="RYD42"/>
      <c r="RYE42"/>
      <c r="RYF42"/>
      <c r="RYG42"/>
      <c r="RYH42"/>
      <c r="RYI42"/>
      <c r="RYJ42"/>
      <c r="RYK42"/>
      <c r="RYL42"/>
      <c r="RYM42"/>
      <c r="RYN42"/>
      <c r="RYO42"/>
      <c r="RYP42"/>
      <c r="RYQ42"/>
      <c r="RYR42"/>
      <c r="RYS42"/>
      <c r="RYT42"/>
      <c r="RYU42"/>
      <c r="RYV42"/>
      <c r="RYW42"/>
      <c r="RYX42"/>
      <c r="RYY42"/>
      <c r="RYZ42"/>
      <c r="RZA42"/>
      <c r="RZB42"/>
      <c r="RZC42"/>
      <c r="RZD42"/>
      <c r="RZE42"/>
      <c r="RZF42"/>
      <c r="RZG42"/>
      <c r="RZH42"/>
      <c r="RZI42"/>
      <c r="RZJ42"/>
      <c r="RZK42"/>
      <c r="RZL42"/>
      <c r="RZM42"/>
      <c r="RZN42"/>
      <c r="RZO42"/>
      <c r="RZP42"/>
      <c r="RZQ42"/>
      <c r="RZR42"/>
      <c r="RZS42"/>
      <c r="RZT42"/>
      <c r="RZU42"/>
      <c r="RZV42"/>
      <c r="RZW42"/>
      <c r="RZX42"/>
      <c r="RZY42"/>
      <c r="RZZ42"/>
      <c r="SAA42"/>
      <c r="SAB42"/>
      <c r="SAC42"/>
      <c r="SAD42"/>
      <c r="SAE42"/>
      <c r="SAF42"/>
      <c r="SAG42"/>
      <c r="SAH42"/>
      <c r="SAI42"/>
      <c r="SAJ42"/>
      <c r="SAK42"/>
      <c r="SAL42"/>
      <c r="SAM42"/>
      <c r="SAN42"/>
      <c r="SAO42"/>
      <c r="SAP42"/>
      <c r="SAQ42"/>
      <c r="SAR42"/>
      <c r="SAS42"/>
      <c r="SAT42"/>
      <c r="SAU42"/>
      <c r="SAV42"/>
      <c r="SAW42"/>
      <c r="SAX42"/>
      <c r="SAY42"/>
      <c r="SAZ42"/>
      <c r="SBA42"/>
      <c r="SBB42"/>
      <c r="SBC42"/>
      <c r="SBD42"/>
      <c r="SBE42"/>
      <c r="SBF42"/>
      <c r="SBG42"/>
      <c r="SBH42"/>
      <c r="SBI42"/>
      <c r="SBJ42"/>
      <c r="SBK42"/>
      <c r="SBL42"/>
      <c r="SBM42"/>
      <c r="SBN42"/>
      <c r="SBO42"/>
      <c r="SBP42"/>
      <c r="SBQ42"/>
      <c r="SBR42"/>
      <c r="SBS42"/>
      <c r="SBT42"/>
      <c r="SBU42"/>
      <c r="SBV42"/>
      <c r="SBW42"/>
      <c r="SBX42"/>
      <c r="SBY42"/>
      <c r="SBZ42"/>
      <c r="SCA42"/>
      <c r="SCB42"/>
      <c r="SCC42"/>
      <c r="SCD42"/>
      <c r="SCE42"/>
      <c r="SCF42"/>
      <c r="SCG42"/>
      <c r="SCH42"/>
      <c r="SCI42"/>
      <c r="SCJ42"/>
      <c r="SCK42"/>
      <c r="SCL42"/>
      <c r="SCM42"/>
      <c r="SCN42"/>
      <c r="SCO42"/>
      <c r="SCP42"/>
      <c r="SCQ42"/>
      <c r="SCR42"/>
      <c r="SCS42"/>
      <c r="SCT42"/>
      <c r="SCU42"/>
      <c r="SCV42"/>
      <c r="SCW42"/>
      <c r="SCX42"/>
      <c r="SCY42"/>
      <c r="SCZ42"/>
      <c r="SDA42"/>
      <c r="SDB42"/>
      <c r="SDC42"/>
      <c r="SDD42"/>
      <c r="SDE42"/>
      <c r="SDF42"/>
      <c r="SDG42"/>
      <c r="SDH42"/>
      <c r="SDI42"/>
      <c r="SDJ42"/>
      <c r="SDK42"/>
      <c r="SDL42"/>
      <c r="SDM42"/>
      <c r="SDN42"/>
      <c r="SDO42"/>
      <c r="SDP42"/>
      <c r="SDQ42"/>
      <c r="SDR42"/>
      <c r="SDS42"/>
      <c r="SDT42"/>
      <c r="SDU42"/>
      <c r="SDV42"/>
      <c r="SDW42"/>
      <c r="SDX42"/>
      <c r="SDY42"/>
      <c r="SDZ42"/>
      <c r="SEA42"/>
      <c r="SEB42"/>
      <c r="SEC42"/>
      <c r="SED42"/>
      <c r="SEE42"/>
      <c r="SEF42"/>
      <c r="SEG42"/>
      <c r="SEH42"/>
      <c r="SEI42"/>
      <c r="SEJ42"/>
      <c r="SEK42"/>
      <c r="SEL42"/>
      <c r="SEM42"/>
      <c r="SEN42"/>
      <c r="SEO42"/>
      <c r="SEP42"/>
      <c r="SEQ42"/>
      <c r="SER42"/>
      <c r="SES42"/>
      <c r="SET42"/>
      <c r="SEU42"/>
      <c r="SEV42"/>
      <c r="SEW42"/>
      <c r="SEX42"/>
      <c r="SEY42"/>
      <c r="SEZ42"/>
      <c r="SFA42"/>
      <c r="SFB42"/>
      <c r="SFC42"/>
      <c r="SFD42"/>
      <c r="SFE42"/>
      <c r="SFF42"/>
      <c r="SFG42"/>
      <c r="SFH42"/>
      <c r="SFI42"/>
      <c r="SFJ42"/>
      <c r="SFK42"/>
      <c r="SFL42"/>
      <c r="SFM42"/>
      <c r="SFN42"/>
      <c r="SFO42"/>
      <c r="SFP42"/>
      <c r="SFQ42"/>
      <c r="SFR42"/>
      <c r="SFS42"/>
      <c r="SFT42"/>
      <c r="SFU42"/>
      <c r="SFV42"/>
      <c r="SFW42"/>
      <c r="SFX42"/>
      <c r="SFY42"/>
      <c r="SFZ42"/>
      <c r="SGA42"/>
      <c r="SGB42"/>
      <c r="SGC42"/>
      <c r="SGD42"/>
      <c r="SGE42"/>
      <c r="SGF42"/>
      <c r="SGG42"/>
      <c r="SGH42"/>
      <c r="SGI42"/>
      <c r="SGJ42"/>
      <c r="SGK42"/>
      <c r="SGL42"/>
      <c r="SGM42"/>
      <c r="SGN42"/>
      <c r="SGO42"/>
      <c r="SGP42"/>
      <c r="SGQ42"/>
      <c r="SGR42"/>
      <c r="SGS42"/>
      <c r="SGT42"/>
      <c r="SGU42"/>
      <c r="SGV42"/>
      <c r="SGW42"/>
      <c r="SGX42"/>
      <c r="SGY42"/>
      <c r="SGZ42"/>
      <c r="SHA42"/>
      <c r="SHB42"/>
      <c r="SHC42"/>
      <c r="SHD42"/>
      <c r="SHE42"/>
      <c r="SHF42"/>
      <c r="SHG42"/>
      <c r="SHH42"/>
      <c r="SHI42"/>
      <c r="SHJ42"/>
      <c r="SHK42"/>
      <c r="SHL42"/>
      <c r="SHM42"/>
      <c r="SHN42"/>
      <c r="SHO42"/>
      <c r="SHP42"/>
      <c r="SHQ42"/>
      <c r="SHR42"/>
      <c r="SHS42"/>
      <c r="SHT42"/>
      <c r="SHU42"/>
      <c r="SHV42"/>
      <c r="SHW42"/>
      <c r="SHX42"/>
      <c r="SHY42"/>
      <c r="SHZ42"/>
      <c r="SIA42"/>
      <c r="SIB42"/>
      <c r="SIC42"/>
      <c r="SID42"/>
      <c r="SIE42"/>
      <c r="SIF42"/>
      <c r="SIG42"/>
      <c r="SIH42"/>
      <c r="SII42"/>
      <c r="SIJ42"/>
      <c r="SIK42"/>
      <c r="SIL42"/>
      <c r="SIM42"/>
      <c r="SIN42"/>
      <c r="SIO42"/>
      <c r="SIP42"/>
      <c r="SIQ42"/>
      <c r="SIR42"/>
      <c r="SIS42"/>
      <c r="SIT42"/>
      <c r="SIU42"/>
      <c r="SIV42"/>
      <c r="SIW42"/>
      <c r="SIX42"/>
      <c r="SIY42"/>
      <c r="SIZ42"/>
      <c r="SJA42"/>
      <c r="SJB42"/>
      <c r="SJC42"/>
      <c r="SJD42"/>
      <c r="SJE42"/>
      <c r="SJF42"/>
      <c r="SJG42"/>
      <c r="SJH42"/>
      <c r="SJI42"/>
      <c r="SJJ42"/>
      <c r="SJK42"/>
      <c r="SJL42"/>
      <c r="SJM42"/>
      <c r="SJN42"/>
      <c r="SJO42"/>
      <c r="SJP42"/>
      <c r="SJQ42"/>
      <c r="SJR42"/>
      <c r="SJS42"/>
      <c r="SJT42"/>
      <c r="SJU42"/>
      <c r="SJV42"/>
      <c r="SJW42"/>
      <c r="SJX42"/>
      <c r="SJY42"/>
      <c r="SJZ42"/>
      <c r="SKA42"/>
      <c r="SKB42"/>
      <c r="SKC42"/>
      <c r="SKD42"/>
      <c r="SKE42"/>
      <c r="SKF42"/>
      <c r="SKG42"/>
      <c r="SKH42"/>
      <c r="SKI42"/>
      <c r="SKJ42"/>
      <c r="SKK42"/>
      <c r="SKL42"/>
      <c r="SKM42"/>
      <c r="SKN42"/>
      <c r="SKO42"/>
      <c r="SKP42"/>
      <c r="SKQ42"/>
      <c r="SKR42"/>
      <c r="SKS42"/>
      <c r="SKT42"/>
      <c r="SKU42"/>
      <c r="SKV42"/>
      <c r="SKW42"/>
      <c r="SKX42"/>
      <c r="SKY42"/>
      <c r="SKZ42"/>
      <c r="SLA42"/>
      <c r="SLB42"/>
      <c r="SLC42"/>
      <c r="SLD42"/>
      <c r="SLE42"/>
      <c r="SLF42"/>
      <c r="SLG42"/>
      <c r="SLH42"/>
      <c r="SLI42"/>
      <c r="SLJ42"/>
      <c r="SLK42"/>
      <c r="SLL42"/>
      <c r="SLM42"/>
      <c r="SLN42"/>
      <c r="SLO42"/>
      <c r="SLP42"/>
      <c r="SLQ42"/>
      <c r="SLR42"/>
      <c r="SLS42"/>
      <c r="SLT42"/>
      <c r="SLU42"/>
      <c r="SLV42"/>
      <c r="SLW42"/>
      <c r="SLX42"/>
      <c r="SLY42"/>
      <c r="SLZ42"/>
      <c r="SMA42"/>
      <c r="SMB42"/>
      <c r="SMC42"/>
      <c r="SMD42"/>
      <c r="SME42"/>
      <c r="SMF42"/>
      <c r="SMG42"/>
      <c r="SMH42"/>
      <c r="SMI42"/>
      <c r="SMJ42"/>
      <c r="SMK42"/>
      <c r="SML42"/>
      <c r="SMM42"/>
      <c r="SMN42"/>
      <c r="SMO42"/>
      <c r="SMP42"/>
      <c r="SMQ42"/>
      <c r="SMR42"/>
      <c r="SMS42"/>
      <c r="SMT42"/>
      <c r="SMU42"/>
      <c r="SMV42"/>
      <c r="SMW42"/>
      <c r="SMX42"/>
      <c r="SMY42"/>
      <c r="SMZ42"/>
      <c r="SNA42"/>
      <c r="SNB42"/>
      <c r="SNC42"/>
      <c r="SND42"/>
      <c r="SNE42"/>
      <c r="SNF42"/>
      <c r="SNG42"/>
      <c r="SNH42"/>
      <c r="SNI42"/>
      <c r="SNJ42"/>
      <c r="SNK42"/>
      <c r="SNL42"/>
      <c r="SNM42"/>
      <c r="SNN42"/>
      <c r="SNO42"/>
      <c r="SNP42"/>
      <c r="SNQ42"/>
      <c r="SNR42"/>
      <c r="SNS42"/>
      <c r="SNT42"/>
      <c r="SNU42"/>
      <c r="SNV42"/>
      <c r="SNW42"/>
      <c r="SNX42"/>
      <c r="SNY42"/>
      <c r="SNZ42"/>
      <c r="SOA42"/>
      <c r="SOB42"/>
      <c r="SOC42"/>
      <c r="SOD42"/>
      <c r="SOE42"/>
      <c r="SOF42"/>
      <c r="SOG42"/>
      <c r="SOH42"/>
      <c r="SOI42"/>
      <c r="SOJ42"/>
      <c r="SOK42"/>
      <c r="SOL42"/>
      <c r="SOM42"/>
      <c r="SON42"/>
      <c r="SOO42"/>
      <c r="SOP42"/>
      <c r="SOQ42"/>
      <c r="SOR42"/>
      <c r="SOS42"/>
      <c r="SOT42"/>
      <c r="SOU42"/>
      <c r="SOV42"/>
      <c r="SOW42"/>
      <c r="SOX42"/>
      <c r="SOY42"/>
      <c r="SOZ42"/>
      <c r="SPA42"/>
      <c r="SPB42"/>
      <c r="SPC42"/>
      <c r="SPD42"/>
      <c r="SPE42"/>
      <c r="SPF42"/>
      <c r="SPG42"/>
      <c r="SPH42"/>
      <c r="SPI42"/>
      <c r="SPJ42"/>
      <c r="SPK42"/>
      <c r="SPL42"/>
      <c r="SPM42"/>
      <c r="SPN42"/>
      <c r="SPO42"/>
      <c r="SPP42"/>
      <c r="SPQ42"/>
      <c r="SPR42"/>
      <c r="SPS42"/>
      <c r="SPT42"/>
      <c r="SPU42"/>
      <c r="SPV42"/>
      <c r="SPW42"/>
      <c r="SPX42"/>
      <c r="SPY42"/>
      <c r="SPZ42"/>
      <c r="SQA42"/>
      <c r="SQB42"/>
      <c r="SQC42"/>
      <c r="SQD42"/>
      <c r="SQE42"/>
      <c r="SQF42"/>
      <c r="SQG42"/>
      <c r="SQH42"/>
      <c r="SQI42"/>
      <c r="SQJ42"/>
      <c r="SQK42"/>
      <c r="SQL42"/>
      <c r="SQM42"/>
      <c r="SQN42"/>
      <c r="SQO42"/>
      <c r="SQP42"/>
      <c r="SQQ42"/>
      <c r="SQR42"/>
      <c r="SQS42"/>
      <c r="SQT42"/>
      <c r="SQU42"/>
      <c r="SQV42"/>
      <c r="SQW42"/>
      <c r="SQX42"/>
      <c r="SQY42"/>
      <c r="SQZ42"/>
      <c r="SRA42"/>
      <c r="SRB42"/>
      <c r="SRC42"/>
      <c r="SRD42"/>
      <c r="SRE42"/>
      <c r="SRF42"/>
      <c r="SRG42"/>
      <c r="SRH42"/>
      <c r="SRI42"/>
      <c r="SRJ42"/>
      <c r="SRK42"/>
      <c r="SRL42"/>
      <c r="SRM42"/>
      <c r="SRN42"/>
      <c r="SRO42"/>
      <c r="SRP42"/>
      <c r="SRQ42"/>
      <c r="SRR42"/>
      <c r="SRS42"/>
      <c r="SRT42"/>
      <c r="SRU42"/>
      <c r="SRV42"/>
      <c r="SRW42"/>
      <c r="SRX42"/>
      <c r="SRY42"/>
      <c r="SRZ42"/>
      <c r="SSA42"/>
      <c r="SSB42"/>
      <c r="SSC42"/>
      <c r="SSD42"/>
      <c r="SSE42"/>
      <c r="SSF42"/>
      <c r="SSG42"/>
      <c r="SSH42"/>
      <c r="SSI42"/>
      <c r="SSJ42"/>
      <c r="SSK42"/>
      <c r="SSL42"/>
      <c r="SSM42"/>
      <c r="SSN42"/>
      <c r="SSO42"/>
      <c r="SSP42"/>
      <c r="SSQ42"/>
      <c r="SSR42"/>
      <c r="SSS42"/>
      <c r="SST42"/>
      <c r="SSU42"/>
      <c r="SSV42"/>
      <c r="SSW42"/>
      <c r="SSX42"/>
      <c r="SSY42"/>
      <c r="SSZ42"/>
      <c r="STA42"/>
      <c r="STB42"/>
      <c r="STC42"/>
      <c r="STD42"/>
      <c r="STE42"/>
      <c r="STF42"/>
      <c r="STG42"/>
      <c r="STH42"/>
      <c r="STI42"/>
      <c r="STJ42"/>
      <c r="STK42"/>
      <c r="STL42"/>
      <c r="STM42"/>
      <c r="STN42"/>
      <c r="STO42"/>
      <c r="STP42"/>
      <c r="STQ42"/>
      <c r="STR42"/>
      <c r="STS42"/>
      <c r="STT42"/>
      <c r="STU42"/>
      <c r="STV42"/>
      <c r="STW42"/>
      <c r="STX42"/>
      <c r="STY42"/>
      <c r="STZ42"/>
      <c r="SUA42"/>
      <c r="SUB42"/>
      <c r="SUC42"/>
      <c r="SUD42"/>
      <c r="SUE42"/>
      <c r="SUF42"/>
      <c r="SUG42"/>
      <c r="SUH42"/>
      <c r="SUI42"/>
      <c r="SUJ42"/>
      <c r="SUK42"/>
      <c r="SUL42"/>
      <c r="SUM42"/>
      <c r="SUN42"/>
      <c r="SUO42"/>
      <c r="SUP42"/>
      <c r="SUQ42"/>
      <c r="SUR42"/>
      <c r="SUS42"/>
      <c r="SUT42"/>
      <c r="SUU42"/>
      <c r="SUV42"/>
      <c r="SUW42"/>
      <c r="SUX42"/>
      <c r="SUY42"/>
      <c r="SUZ42"/>
      <c r="SVA42"/>
      <c r="SVB42"/>
      <c r="SVC42"/>
      <c r="SVD42"/>
      <c r="SVE42"/>
      <c r="SVF42"/>
      <c r="SVG42"/>
      <c r="SVH42"/>
      <c r="SVI42"/>
      <c r="SVJ42"/>
      <c r="SVK42"/>
      <c r="SVL42"/>
      <c r="SVM42"/>
      <c r="SVN42"/>
      <c r="SVO42"/>
      <c r="SVP42"/>
      <c r="SVQ42"/>
      <c r="SVR42"/>
      <c r="SVS42"/>
      <c r="SVT42"/>
      <c r="SVU42"/>
      <c r="SVV42"/>
      <c r="SVW42"/>
      <c r="SVX42"/>
      <c r="SVY42"/>
      <c r="SVZ42"/>
      <c r="SWA42"/>
      <c r="SWB42"/>
      <c r="SWC42"/>
      <c r="SWD42"/>
      <c r="SWE42"/>
      <c r="SWF42"/>
      <c r="SWG42"/>
      <c r="SWH42"/>
      <c r="SWI42"/>
      <c r="SWJ42"/>
      <c r="SWK42"/>
      <c r="SWL42"/>
      <c r="SWM42"/>
      <c r="SWN42"/>
      <c r="SWO42"/>
      <c r="SWP42"/>
      <c r="SWQ42"/>
      <c r="SWR42"/>
      <c r="SWS42"/>
      <c r="SWT42"/>
      <c r="SWU42"/>
      <c r="SWV42"/>
      <c r="SWW42"/>
      <c r="SWX42"/>
      <c r="SWY42"/>
      <c r="SWZ42"/>
      <c r="SXA42"/>
      <c r="SXB42"/>
      <c r="SXC42"/>
      <c r="SXD42"/>
      <c r="SXE42"/>
      <c r="SXF42"/>
      <c r="SXG42"/>
      <c r="SXH42"/>
      <c r="SXI42"/>
      <c r="SXJ42"/>
      <c r="SXK42"/>
      <c r="SXL42"/>
      <c r="SXM42"/>
      <c r="SXN42"/>
      <c r="SXO42"/>
      <c r="SXP42"/>
      <c r="SXQ42"/>
      <c r="SXR42"/>
      <c r="SXS42"/>
      <c r="SXT42"/>
      <c r="SXU42"/>
      <c r="SXV42"/>
      <c r="SXW42"/>
      <c r="SXX42"/>
      <c r="SXY42"/>
      <c r="SXZ42"/>
      <c r="SYA42"/>
      <c r="SYB42"/>
      <c r="SYC42"/>
      <c r="SYD42"/>
      <c r="SYE42"/>
      <c r="SYF42"/>
      <c r="SYG42"/>
      <c r="SYH42"/>
      <c r="SYI42"/>
      <c r="SYJ42"/>
      <c r="SYK42"/>
      <c r="SYL42"/>
      <c r="SYM42"/>
      <c r="SYN42"/>
      <c r="SYO42"/>
      <c r="SYP42"/>
      <c r="SYQ42"/>
      <c r="SYR42"/>
      <c r="SYS42"/>
      <c r="SYT42"/>
      <c r="SYU42"/>
      <c r="SYV42"/>
      <c r="SYW42"/>
      <c r="SYX42"/>
      <c r="SYY42"/>
      <c r="SYZ42"/>
      <c r="SZA42"/>
      <c r="SZB42"/>
      <c r="SZC42"/>
      <c r="SZD42"/>
      <c r="SZE42"/>
      <c r="SZF42"/>
      <c r="SZG42"/>
      <c r="SZH42"/>
      <c r="SZI42"/>
      <c r="SZJ42"/>
      <c r="SZK42"/>
      <c r="SZL42"/>
      <c r="SZM42"/>
      <c r="SZN42"/>
      <c r="SZO42"/>
      <c r="SZP42"/>
      <c r="SZQ42"/>
      <c r="SZR42"/>
      <c r="SZS42"/>
      <c r="SZT42"/>
      <c r="SZU42"/>
      <c r="SZV42"/>
      <c r="SZW42"/>
      <c r="SZX42"/>
      <c r="SZY42"/>
      <c r="SZZ42"/>
      <c r="TAA42"/>
      <c r="TAB42"/>
      <c r="TAC42"/>
      <c r="TAD42"/>
      <c r="TAE42"/>
      <c r="TAF42"/>
      <c r="TAG42"/>
      <c r="TAH42"/>
      <c r="TAI42"/>
      <c r="TAJ42"/>
      <c r="TAK42"/>
      <c r="TAL42"/>
      <c r="TAM42"/>
      <c r="TAN42"/>
      <c r="TAO42"/>
      <c r="TAP42"/>
      <c r="TAQ42"/>
      <c r="TAR42"/>
      <c r="TAS42"/>
      <c r="TAT42"/>
      <c r="TAU42"/>
      <c r="TAV42"/>
      <c r="TAW42"/>
      <c r="TAX42"/>
      <c r="TAY42"/>
      <c r="TAZ42"/>
      <c r="TBA42"/>
      <c r="TBB42"/>
      <c r="TBC42"/>
      <c r="TBD42"/>
      <c r="TBE42"/>
      <c r="TBF42"/>
      <c r="TBG42"/>
      <c r="TBH42"/>
      <c r="TBI42"/>
      <c r="TBJ42"/>
      <c r="TBK42"/>
      <c r="TBL42"/>
      <c r="TBM42"/>
      <c r="TBN42"/>
      <c r="TBO42"/>
      <c r="TBP42"/>
      <c r="TBQ42"/>
      <c r="TBR42"/>
      <c r="TBS42"/>
      <c r="TBT42"/>
      <c r="TBU42"/>
      <c r="TBV42"/>
      <c r="TBW42"/>
      <c r="TBX42"/>
      <c r="TBY42"/>
      <c r="TBZ42"/>
      <c r="TCA42"/>
      <c r="TCB42"/>
      <c r="TCC42"/>
      <c r="TCD42"/>
      <c r="TCE42"/>
      <c r="TCF42"/>
      <c r="TCG42"/>
      <c r="TCH42"/>
      <c r="TCI42"/>
      <c r="TCJ42"/>
      <c r="TCK42"/>
      <c r="TCL42"/>
      <c r="TCM42"/>
      <c r="TCN42"/>
      <c r="TCO42"/>
      <c r="TCP42"/>
      <c r="TCQ42"/>
      <c r="TCR42"/>
      <c r="TCS42"/>
      <c r="TCT42"/>
      <c r="TCU42"/>
      <c r="TCV42"/>
      <c r="TCW42"/>
      <c r="TCX42"/>
      <c r="TCY42"/>
      <c r="TCZ42"/>
      <c r="TDA42"/>
      <c r="TDB42"/>
      <c r="TDC42"/>
      <c r="TDD42"/>
      <c r="TDE42"/>
      <c r="TDF42"/>
      <c r="TDG42"/>
      <c r="TDH42"/>
      <c r="TDI42"/>
      <c r="TDJ42"/>
      <c r="TDK42"/>
      <c r="TDL42"/>
      <c r="TDM42"/>
      <c r="TDN42"/>
      <c r="TDO42"/>
      <c r="TDP42"/>
      <c r="TDQ42"/>
      <c r="TDR42"/>
      <c r="TDS42"/>
      <c r="TDT42"/>
      <c r="TDU42"/>
      <c r="TDV42"/>
      <c r="TDW42"/>
      <c r="TDX42"/>
      <c r="TDY42"/>
      <c r="TDZ42"/>
      <c r="TEA42"/>
      <c r="TEB42"/>
      <c r="TEC42"/>
      <c r="TED42"/>
      <c r="TEE42"/>
      <c r="TEF42"/>
      <c r="TEG42"/>
      <c r="TEH42"/>
      <c r="TEI42"/>
      <c r="TEJ42"/>
      <c r="TEK42"/>
      <c r="TEL42"/>
      <c r="TEM42"/>
      <c r="TEN42"/>
      <c r="TEO42"/>
      <c r="TEP42"/>
      <c r="TEQ42"/>
      <c r="TER42"/>
      <c r="TES42"/>
      <c r="TET42"/>
      <c r="TEU42"/>
      <c r="TEV42"/>
      <c r="TEW42"/>
      <c r="TEX42"/>
      <c r="TEY42"/>
      <c r="TEZ42"/>
      <c r="TFA42"/>
      <c r="TFB42"/>
      <c r="TFC42"/>
      <c r="TFD42"/>
      <c r="TFE42"/>
      <c r="TFF42"/>
      <c r="TFG42"/>
      <c r="TFH42"/>
      <c r="TFI42"/>
      <c r="TFJ42"/>
      <c r="TFK42"/>
      <c r="TFL42"/>
      <c r="TFM42"/>
      <c r="TFN42"/>
      <c r="TFO42"/>
      <c r="TFP42"/>
      <c r="TFQ42"/>
      <c r="TFR42"/>
      <c r="TFS42"/>
      <c r="TFT42"/>
      <c r="TFU42"/>
      <c r="TFV42"/>
      <c r="TFW42"/>
      <c r="TFX42"/>
      <c r="TFY42"/>
      <c r="TFZ42"/>
      <c r="TGA42"/>
      <c r="TGB42"/>
      <c r="TGC42"/>
      <c r="TGD42"/>
      <c r="TGE42"/>
      <c r="TGF42"/>
      <c r="TGG42"/>
      <c r="TGH42"/>
      <c r="TGI42"/>
      <c r="TGJ42"/>
      <c r="TGK42"/>
      <c r="TGL42"/>
      <c r="TGM42"/>
      <c r="TGN42"/>
      <c r="TGO42"/>
      <c r="TGP42"/>
      <c r="TGQ42"/>
      <c r="TGR42"/>
      <c r="TGS42"/>
      <c r="TGT42"/>
      <c r="TGU42"/>
      <c r="TGV42"/>
      <c r="TGW42"/>
      <c r="TGX42"/>
      <c r="TGY42"/>
      <c r="TGZ42"/>
      <c r="THA42"/>
      <c r="THB42"/>
      <c r="THC42"/>
      <c r="THD42"/>
      <c r="THE42"/>
      <c r="THF42"/>
      <c r="THG42"/>
      <c r="THH42"/>
      <c r="THI42"/>
      <c r="THJ42"/>
      <c r="THK42"/>
      <c r="THL42"/>
      <c r="THM42"/>
      <c r="THN42"/>
      <c r="THO42"/>
      <c r="THP42"/>
      <c r="THQ42"/>
      <c r="THR42"/>
      <c r="THS42"/>
      <c r="THT42"/>
      <c r="THU42"/>
      <c r="THV42"/>
      <c r="THW42"/>
      <c r="THX42"/>
      <c r="THY42"/>
      <c r="THZ42"/>
      <c r="TIA42"/>
      <c r="TIB42"/>
      <c r="TIC42"/>
      <c r="TID42"/>
      <c r="TIE42"/>
      <c r="TIF42"/>
      <c r="TIG42"/>
      <c r="TIH42"/>
      <c r="TII42"/>
      <c r="TIJ42"/>
      <c r="TIK42"/>
      <c r="TIL42"/>
      <c r="TIM42"/>
      <c r="TIN42"/>
      <c r="TIO42"/>
      <c r="TIP42"/>
      <c r="TIQ42"/>
      <c r="TIR42"/>
      <c r="TIS42"/>
      <c r="TIT42"/>
      <c r="TIU42"/>
      <c r="TIV42"/>
      <c r="TIW42"/>
      <c r="TIX42"/>
      <c r="TIY42"/>
      <c r="TIZ42"/>
      <c r="TJA42"/>
      <c r="TJB42"/>
      <c r="TJC42"/>
      <c r="TJD42"/>
      <c r="TJE42"/>
      <c r="TJF42"/>
      <c r="TJG42"/>
      <c r="TJH42"/>
      <c r="TJI42"/>
      <c r="TJJ42"/>
      <c r="TJK42"/>
      <c r="TJL42"/>
      <c r="TJM42"/>
      <c r="TJN42"/>
      <c r="TJO42"/>
      <c r="TJP42"/>
      <c r="TJQ42"/>
      <c r="TJR42"/>
      <c r="TJS42"/>
      <c r="TJT42"/>
      <c r="TJU42"/>
      <c r="TJV42"/>
      <c r="TJW42"/>
      <c r="TJX42"/>
      <c r="TJY42"/>
      <c r="TJZ42"/>
      <c r="TKA42"/>
      <c r="TKB42"/>
      <c r="TKC42"/>
      <c r="TKD42"/>
      <c r="TKE42"/>
      <c r="TKF42"/>
      <c r="TKG42"/>
      <c r="TKH42"/>
      <c r="TKI42"/>
      <c r="TKJ42"/>
      <c r="TKK42"/>
      <c r="TKL42"/>
      <c r="TKM42"/>
      <c r="TKN42"/>
      <c r="TKO42"/>
      <c r="TKP42"/>
      <c r="TKQ42"/>
      <c r="TKR42"/>
      <c r="TKS42"/>
      <c r="TKT42"/>
      <c r="TKU42"/>
      <c r="TKV42"/>
      <c r="TKW42"/>
      <c r="TKX42"/>
      <c r="TKY42"/>
      <c r="TKZ42"/>
      <c r="TLA42"/>
      <c r="TLB42"/>
      <c r="TLC42"/>
      <c r="TLD42"/>
      <c r="TLE42"/>
      <c r="TLF42"/>
      <c r="TLG42"/>
      <c r="TLH42"/>
      <c r="TLI42"/>
      <c r="TLJ42"/>
      <c r="TLK42"/>
      <c r="TLL42"/>
      <c r="TLM42"/>
      <c r="TLN42"/>
      <c r="TLO42"/>
      <c r="TLP42"/>
      <c r="TLQ42"/>
      <c r="TLR42"/>
      <c r="TLS42"/>
      <c r="TLT42"/>
      <c r="TLU42"/>
      <c r="TLV42"/>
      <c r="TLW42"/>
      <c r="TLX42"/>
      <c r="TLY42"/>
      <c r="TLZ42"/>
      <c r="TMA42"/>
      <c r="TMB42"/>
      <c r="TMC42"/>
      <c r="TMD42"/>
      <c r="TME42"/>
      <c r="TMF42"/>
      <c r="TMG42"/>
      <c r="TMH42"/>
      <c r="TMI42"/>
      <c r="TMJ42"/>
      <c r="TMK42"/>
      <c r="TML42"/>
      <c r="TMM42"/>
      <c r="TMN42"/>
      <c r="TMO42"/>
      <c r="TMP42"/>
      <c r="TMQ42"/>
      <c r="TMR42"/>
      <c r="TMS42"/>
      <c r="TMT42"/>
      <c r="TMU42"/>
      <c r="TMV42"/>
      <c r="TMW42"/>
      <c r="TMX42"/>
      <c r="TMY42"/>
      <c r="TMZ42"/>
      <c r="TNA42"/>
      <c r="TNB42"/>
      <c r="TNC42"/>
      <c r="TND42"/>
      <c r="TNE42"/>
      <c r="TNF42"/>
      <c r="TNG42"/>
      <c r="TNH42"/>
      <c r="TNI42"/>
      <c r="TNJ42"/>
      <c r="TNK42"/>
      <c r="TNL42"/>
      <c r="TNM42"/>
      <c r="TNN42"/>
      <c r="TNO42"/>
      <c r="TNP42"/>
      <c r="TNQ42"/>
      <c r="TNR42"/>
      <c r="TNS42"/>
      <c r="TNT42"/>
      <c r="TNU42"/>
      <c r="TNV42"/>
      <c r="TNW42"/>
      <c r="TNX42"/>
      <c r="TNY42"/>
      <c r="TNZ42"/>
      <c r="TOA42"/>
      <c r="TOB42"/>
      <c r="TOC42"/>
      <c r="TOD42"/>
      <c r="TOE42"/>
      <c r="TOF42"/>
      <c r="TOG42"/>
      <c r="TOH42"/>
      <c r="TOI42"/>
      <c r="TOJ42"/>
      <c r="TOK42"/>
      <c r="TOL42"/>
      <c r="TOM42"/>
      <c r="TON42"/>
      <c r="TOO42"/>
      <c r="TOP42"/>
      <c r="TOQ42"/>
      <c r="TOR42"/>
      <c r="TOS42"/>
      <c r="TOT42"/>
      <c r="TOU42"/>
      <c r="TOV42"/>
      <c r="TOW42"/>
      <c r="TOX42"/>
      <c r="TOY42"/>
      <c r="TOZ42"/>
      <c r="TPA42"/>
      <c r="TPB42"/>
      <c r="TPC42"/>
      <c r="TPD42"/>
      <c r="TPE42"/>
      <c r="TPF42"/>
      <c r="TPG42"/>
      <c r="TPH42"/>
      <c r="TPI42"/>
      <c r="TPJ42"/>
      <c r="TPK42"/>
      <c r="TPL42"/>
      <c r="TPM42"/>
      <c r="TPN42"/>
      <c r="TPO42"/>
      <c r="TPP42"/>
      <c r="TPQ42"/>
      <c r="TPR42"/>
      <c r="TPS42"/>
      <c r="TPT42"/>
      <c r="TPU42"/>
      <c r="TPV42"/>
      <c r="TPW42"/>
      <c r="TPX42"/>
      <c r="TPY42"/>
      <c r="TPZ42"/>
      <c r="TQA42"/>
      <c r="TQB42"/>
      <c r="TQC42"/>
      <c r="TQD42"/>
      <c r="TQE42"/>
      <c r="TQF42"/>
      <c r="TQG42"/>
      <c r="TQH42"/>
      <c r="TQI42"/>
      <c r="TQJ42"/>
      <c r="TQK42"/>
      <c r="TQL42"/>
      <c r="TQM42"/>
      <c r="TQN42"/>
      <c r="TQO42"/>
      <c r="TQP42"/>
      <c r="TQQ42"/>
      <c r="TQR42"/>
      <c r="TQS42"/>
      <c r="TQT42"/>
      <c r="TQU42"/>
      <c r="TQV42"/>
      <c r="TQW42"/>
      <c r="TQX42"/>
      <c r="TQY42"/>
      <c r="TQZ42"/>
      <c r="TRA42"/>
      <c r="TRB42"/>
      <c r="TRC42"/>
      <c r="TRD42"/>
      <c r="TRE42"/>
      <c r="TRF42"/>
      <c r="TRG42"/>
      <c r="TRH42"/>
      <c r="TRI42"/>
      <c r="TRJ42"/>
      <c r="TRK42"/>
      <c r="TRL42"/>
      <c r="TRM42"/>
      <c r="TRN42"/>
      <c r="TRO42"/>
      <c r="TRP42"/>
      <c r="TRQ42"/>
      <c r="TRR42"/>
      <c r="TRS42"/>
      <c r="TRT42"/>
      <c r="TRU42"/>
      <c r="TRV42"/>
      <c r="TRW42"/>
      <c r="TRX42"/>
      <c r="TRY42"/>
      <c r="TRZ42"/>
      <c r="TSA42"/>
      <c r="TSB42"/>
      <c r="TSC42"/>
      <c r="TSD42"/>
      <c r="TSE42"/>
      <c r="TSF42"/>
      <c r="TSG42"/>
      <c r="TSH42"/>
      <c r="TSI42"/>
      <c r="TSJ42"/>
      <c r="TSK42"/>
      <c r="TSL42"/>
      <c r="TSM42"/>
      <c r="TSN42"/>
      <c r="TSO42"/>
      <c r="TSP42"/>
      <c r="TSQ42"/>
      <c r="TSR42"/>
      <c r="TSS42"/>
      <c r="TST42"/>
      <c r="TSU42"/>
      <c r="TSV42"/>
      <c r="TSW42"/>
      <c r="TSX42"/>
      <c r="TSY42"/>
      <c r="TSZ42"/>
      <c r="TTA42"/>
      <c r="TTB42"/>
      <c r="TTC42"/>
      <c r="TTD42"/>
      <c r="TTE42"/>
      <c r="TTF42"/>
      <c r="TTG42"/>
      <c r="TTH42"/>
      <c r="TTI42"/>
      <c r="TTJ42"/>
      <c r="TTK42"/>
      <c r="TTL42"/>
      <c r="TTM42"/>
      <c r="TTN42"/>
      <c r="TTO42"/>
      <c r="TTP42"/>
      <c r="TTQ42"/>
      <c r="TTR42"/>
      <c r="TTS42"/>
      <c r="TTT42"/>
      <c r="TTU42"/>
      <c r="TTV42"/>
      <c r="TTW42"/>
      <c r="TTX42"/>
      <c r="TTY42"/>
      <c r="TTZ42"/>
      <c r="TUA42"/>
      <c r="TUB42"/>
      <c r="TUC42"/>
      <c r="TUD42"/>
      <c r="TUE42"/>
      <c r="TUF42"/>
      <c r="TUG42"/>
      <c r="TUH42"/>
      <c r="TUI42"/>
      <c r="TUJ42"/>
      <c r="TUK42"/>
      <c r="TUL42"/>
      <c r="TUM42"/>
      <c r="TUN42"/>
      <c r="TUO42"/>
      <c r="TUP42"/>
      <c r="TUQ42"/>
      <c r="TUR42"/>
      <c r="TUS42"/>
      <c r="TUT42"/>
      <c r="TUU42"/>
      <c r="TUV42"/>
      <c r="TUW42"/>
      <c r="TUX42"/>
      <c r="TUY42"/>
      <c r="TUZ42"/>
      <c r="TVA42"/>
      <c r="TVB42"/>
      <c r="TVC42"/>
      <c r="TVD42"/>
      <c r="TVE42"/>
      <c r="TVF42"/>
      <c r="TVG42"/>
      <c r="TVH42"/>
      <c r="TVI42"/>
      <c r="TVJ42"/>
      <c r="TVK42"/>
      <c r="TVL42"/>
      <c r="TVM42"/>
      <c r="TVN42"/>
      <c r="TVO42"/>
      <c r="TVP42"/>
      <c r="TVQ42"/>
      <c r="TVR42"/>
      <c r="TVS42"/>
      <c r="TVT42"/>
      <c r="TVU42"/>
      <c r="TVV42"/>
      <c r="TVW42"/>
      <c r="TVX42"/>
      <c r="TVY42"/>
      <c r="TVZ42"/>
      <c r="TWA42"/>
      <c r="TWB42"/>
      <c r="TWC42"/>
      <c r="TWD42"/>
      <c r="TWE42"/>
      <c r="TWF42"/>
      <c r="TWG42"/>
      <c r="TWH42"/>
      <c r="TWI42"/>
      <c r="TWJ42"/>
      <c r="TWK42"/>
      <c r="TWL42"/>
      <c r="TWM42"/>
      <c r="TWN42"/>
      <c r="TWO42"/>
      <c r="TWP42"/>
      <c r="TWQ42"/>
      <c r="TWR42"/>
      <c r="TWS42"/>
      <c r="TWT42"/>
      <c r="TWU42"/>
      <c r="TWV42"/>
      <c r="TWW42"/>
      <c r="TWX42"/>
      <c r="TWY42"/>
      <c r="TWZ42"/>
      <c r="TXA42"/>
      <c r="TXB42"/>
      <c r="TXC42"/>
      <c r="TXD42"/>
      <c r="TXE42"/>
      <c r="TXF42"/>
      <c r="TXG42"/>
      <c r="TXH42"/>
      <c r="TXI42"/>
      <c r="TXJ42"/>
      <c r="TXK42"/>
      <c r="TXL42"/>
      <c r="TXM42"/>
      <c r="TXN42"/>
      <c r="TXO42"/>
      <c r="TXP42"/>
      <c r="TXQ42"/>
      <c r="TXR42"/>
      <c r="TXS42"/>
      <c r="TXT42"/>
      <c r="TXU42"/>
      <c r="TXV42"/>
      <c r="TXW42"/>
      <c r="TXX42"/>
      <c r="TXY42"/>
      <c r="TXZ42"/>
      <c r="TYA42"/>
      <c r="TYB42"/>
      <c r="TYC42"/>
      <c r="TYD42"/>
      <c r="TYE42"/>
      <c r="TYF42"/>
      <c r="TYG42"/>
      <c r="TYH42"/>
      <c r="TYI42"/>
      <c r="TYJ42"/>
      <c r="TYK42"/>
      <c r="TYL42"/>
      <c r="TYM42"/>
      <c r="TYN42"/>
      <c r="TYO42"/>
      <c r="TYP42"/>
      <c r="TYQ42"/>
      <c r="TYR42"/>
      <c r="TYS42"/>
      <c r="TYT42"/>
      <c r="TYU42"/>
      <c r="TYV42"/>
      <c r="TYW42"/>
      <c r="TYX42"/>
      <c r="TYY42"/>
      <c r="TYZ42"/>
      <c r="TZA42"/>
      <c r="TZB42"/>
      <c r="TZC42"/>
      <c r="TZD42"/>
      <c r="TZE42"/>
      <c r="TZF42"/>
      <c r="TZG42"/>
      <c r="TZH42"/>
      <c r="TZI42"/>
      <c r="TZJ42"/>
      <c r="TZK42"/>
      <c r="TZL42"/>
      <c r="TZM42"/>
      <c r="TZN42"/>
      <c r="TZO42"/>
      <c r="TZP42"/>
      <c r="TZQ42"/>
      <c r="TZR42"/>
      <c r="TZS42"/>
      <c r="TZT42"/>
      <c r="TZU42"/>
      <c r="TZV42"/>
      <c r="TZW42"/>
      <c r="TZX42"/>
      <c r="TZY42"/>
      <c r="TZZ42"/>
      <c r="UAA42"/>
      <c r="UAB42"/>
      <c r="UAC42"/>
      <c r="UAD42"/>
      <c r="UAE42"/>
      <c r="UAF42"/>
      <c r="UAG42"/>
      <c r="UAH42"/>
      <c r="UAI42"/>
      <c r="UAJ42"/>
      <c r="UAK42"/>
      <c r="UAL42"/>
      <c r="UAM42"/>
      <c r="UAN42"/>
      <c r="UAO42"/>
      <c r="UAP42"/>
      <c r="UAQ42"/>
      <c r="UAR42"/>
      <c r="UAS42"/>
      <c r="UAT42"/>
      <c r="UAU42"/>
      <c r="UAV42"/>
      <c r="UAW42"/>
      <c r="UAX42"/>
      <c r="UAY42"/>
      <c r="UAZ42"/>
      <c r="UBA42"/>
      <c r="UBB42"/>
      <c r="UBC42"/>
      <c r="UBD42"/>
      <c r="UBE42"/>
      <c r="UBF42"/>
      <c r="UBG42"/>
      <c r="UBH42"/>
      <c r="UBI42"/>
      <c r="UBJ42"/>
      <c r="UBK42"/>
      <c r="UBL42"/>
      <c r="UBM42"/>
      <c r="UBN42"/>
      <c r="UBO42"/>
      <c r="UBP42"/>
      <c r="UBQ42"/>
      <c r="UBR42"/>
      <c r="UBS42"/>
      <c r="UBT42"/>
      <c r="UBU42"/>
      <c r="UBV42"/>
      <c r="UBW42"/>
      <c r="UBX42"/>
      <c r="UBY42"/>
      <c r="UBZ42"/>
      <c r="UCA42"/>
      <c r="UCB42"/>
      <c r="UCC42"/>
      <c r="UCD42"/>
      <c r="UCE42"/>
      <c r="UCF42"/>
      <c r="UCG42"/>
      <c r="UCH42"/>
      <c r="UCI42"/>
      <c r="UCJ42"/>
      <c r="UCK42"/>
      <c r="UCL42"/>
      <c r="UCM42"/>
      <c r="UCN42"/>
      <c r="UCO42"/>
      <c r="UCP42"/>
      <c r="UCQ42"/>
      <c r="UCR42"/>
      <c r="UCS42"/>
      <c r="UCT42"/>
      <c r="UCU42"/>
      <c r="UCV42"/>
      <c r="UCW42"/>
      <c r="UCX42"/>
      <c r="UCY42"/>
      <c r="UCZ42"/>
      <c r="UDA42"/>
      <c r="UDB42"/>
      <c r="UDC42"/>
      <c r="UDD42"/>
      <c r="UDE42"/>
      <c r="UDF42"/>
      <c r="UDG42"/>
      <c r="UDH42"/>
      <c r="UDI42"/>
      <c r="UDJ42"/>
      <c r="UDK42"/>
      <c r="UDL42"/>
      <c r="UDM42"/>
      <c r="UDN42"/>
      <c r="UDO42"/>
      <c r="UDP42"/>
      <c r="UDQ42"/>
      <c r="UDR42"/>
      <c r="UDS42"/>
      <c r="UDT42"/>
      <c r="UDU42"/>
      <c r="UDV42"/>
      <c r="UDW42"/>
      <c r="UDX42"/>
      <c r="UDY42"/>
      <c r="UDZ42"/>
      <c r="UEA42"/>
      <c r="UEB42"/>
      <c r="UEC42"/>
      <c r="UED42"/>
      <c r="UEE42"/>
      <c r="UEF42"/>
      <c r="UEG42"/>
      <c r="UEH42"/>
      <c r="UEI42"/>
      <c r="UEJ42"/>
      <c r="UEK42"/>
      <c r="UEL42"/>
      <c r="UEM42"/>
      <c r="UEN42"/>
      <c r="UEO42"/>
      <c r="UEP42"/>
      <c r="UEQ42"/>
      <c r="UER42"/>
      <c r="UES42"/>
      <c r="UET42"/>
      <c r="UEU42"/>
      <c r="UEV42"/>
      <c r="UEW42"/>
      <c r="UEX42"/>
      <c r="UEY42"/>
      <c r="UEZ42"/>
      <c r="UFA42"/>
      <c r="UFB42"/>
      <c r="UFC42"/>
      <c r="UFD42"/>
      <c r="UFE42"/>
      <c r="UFF42"/>
      <c r="UFG42"/>
      <c r="UFH42"/>
      <c r="UFI42"/>
      <c r="UFJ42"/>
      <c r="UFK42"/>
      <c r="UFL42"/>
      <c r="UFM42"/>
      <c r="UFN42"/>
      <c r="UFO42"/>
      <c r="UFP42"/>
      <c r="UFQ42"/>
      <c r="UFR42"/>
      <c r="UFS42"/>
      <c r="UFT42"/>
      <c r="UFU42"/>
      <c r="UFV42"/>
      <c r="UFW42"/>
      <c r="UFX42"/>
      <c r="UFY42"/>
      <c r="UFZ42"/>
      <c r="UGA42"/>
      <c r="UGB42"/>
      <c r="UGC42"/>
      <c r="UGD42"/>
      <c r="UGE42"/>
      <c r="UGF42"/>
      <c r="UGG42"/>
      <c r="UGH42"/>
      <c r="UGI42"/>
      <c r="UGJ42"/>
      <c r="UGK42"/>
      <c r="UGL42"/>
      <c r="UGM42"/>
      <c r="UGN42"/>
      <c r="UGO42"/>
      <c r="UGP42"/>
      <c r="UGQ42"/>
      <c r="UGR42"/>
      <c r="UGS42"/>
      <c r="UGT42"/>
      <c r="UGU42"/>
      <c r="UGV42"/>
      <c r="UGW42"/>
      <c r="UGX42"/>
      <c r="UGY42"/>
      <c r="UGZ42"/>
      <c r="UHA42"/>
      <c r="UHB42"/>
      <c r="UHC42"/>
      <c r="UHD42"/>
      <c r="UHE42"/>
      <c r="UHF42"/>
      <c r="UHG42"/>
      <c r="UHH42"/>
      <c r="UHI42"/>
      <c r="UHJ42"/>
      <c r="UHK42"/>
      <c r="UHL42"/>
      <c r="UHM42"/>
      <c r="UHN42"/>
      <c r="UHO42"/>
      <c r="UHP42"/>
      <c r="UHQ42"/>
      <c r="UHR42"/>
      <c r="UHS42"/>
      <c r="UHT42"/>
      <c r="UHU42"/>
      <c r="UHV42"/>
      <c r="UHW42"/>
      <c r="UHX42"/>
      <c r="UHY42"/>
      <c r="UHZ42"/>
      <c r="UIA42"/>
      <c r="UIB42"/>
      <c r="UIC42"/>
      <c r="UID42"/>
      <c r="UIE42"/>
      <c r="UIF42"/>
      <c r="UIG42"/>
      <c r="UIH42"/>
      <c r="UII42"/>
      <c r="UIJ42"/>
      <c r="UIK42"/>
      <c r="UIL42"/>
      <c r="UIM42"/>
      <c r="UIN42"/>
      <c r="UIO42"/>
      <c r="UIP42"/>
      <c r="UIQ42"/>
      <c r="UIR42"/>
      <c r="UIS42"/>
      <c r="UIT42"/>
      <c r="UIU42"/>
      <c r="UIV42"/>
      <c r="UIW42"/>
      <c r="UIX42"/>
      <c r="UIY42"/>
      <c r="UIZ42"/>
      <c r="UJA42"/>
      <c r="UJB42"/>
      <c r="UJC42"/>
      <c r="UJD42"/>
      <c r="UJE42"/>
      <c r="UJF42"/>
      <c r="UJG42"/>
      <c r="UJH42"/>
      <c r="UJI42"/>
      <c r="UJJ42"/>
      <c r="UJK42"/>
      <c r="UJL42"/>
      <c r="UJM42"/>
      <c r="UJN42"/>
      <c r="UJO42"/>
      <c r="UJP42"/>
      <c r="UJQ42"/>
      <c r="UJR42"/>
      <c r="UJS42"/>
      <c r="UJT42"/>
      <c r="UJU42"/>
      <c r="UJV42"/>
      <c r="UJW42"/>
      <c r="UJX42"/>
      <c r="UJY42"/>
      <c r="UJZ42"/>
      <c r="UKA42"/>
      <c r="UKB42"/>
      <c r="UKC42"/>
      <c r="UKD42"/>
      <c r="UKE42"/>
      <c r="UKF42"/>
      <c r="UKG42"/>
      <c r="UKH42"/>
      <c r="UKI42"/>
      <c r="UKJ42"/>
      <c r="UKK42"/>
      <c r="UKL42"/>
      <c r="UKM42"/>
      <c r="UKN42"/>
      <c r="UKO42"/>
      <c r="UKP42"/>
      <c r="UKQ42"/>
      <c r="UKR42"/>
      <c r="UKS42"/>
      <c r="UKT42"/>
      <c r="UKU42"/>
      <c r="UKV42"/>
      <c r="UKW42"/>
      <c r="UKX42"/>
      <c r="UKY42"/>
      <c r="UKZ42"/>
      <c r="ULA42"/>
      <c r="ULB42"/>
      <c r="ULC42"/>
      <c r="ULD42"/>
      <c r="ULE42"/>
      <c r="ULF42"/>
      <c r="ULG42"/>
      <c r="ULH42"/>
      <c r="ULI42"/>
      <c r="ULJ42"/>
      <c r="ULK42"/>
      <c r="ULL42"/>
      <c r="ULM42"/>
      <c r="ULN42"/>
      <c r="ULO42"/>
      <c r="ULP42"/>
      <c r="ULQ42"/>
      <c r="ULR42"/>
      <c r="ULS42"/>
      <c r="ULT42"/>
      <c r="ULU42"/>
      <c r="ULV42"/>
      <c r="ULW42"/>
      <c r="ULX42"/>
      <c r="ULY42"/>
      <c r="ULZ42"/>
      <c r="UMA42"/>
      <c r="UMB42"/>
      <c r="UMC42"/>
      <c r="UMD42"/>
      <c r="UME42"/>
      <c r="UMF42"/>
      <c r="UMG42"/>
      <c r="UMH42"/>
      <c r="UMI42"/>
      <c r="UMJ42"/>
      <c r="UMK42"/>
      <c r="UML42"/>
      <c r="UMM42"/>
      <c r="UMN42"/>
      <c r="UMO42"/>
      <c r="UMP42"/>
      <c r="UMQ42"/>
      <c r="UMR42"/>
      <c r="UMS42"/>
      <c r="UMT42"/>
      <c r="UMU42"/>
      <c r="UMV42"/>
      <c r="UMW42"/>
      <c r="UMX42"/>
      <c r="UMY42"/>
      <c r="UMZ42"/>
      <c r="UNA42"/>
      <c r="UNB42"/>
      <c r="UNC42"/>
      <c r="UND42"/>
      <c r="UNE42"/>
      <c r="UNF42"/>
      <c r="UNG42"/>
      <c r="UNH42"/>
      <c r="UNI42"/>
      <c r="UNJ42"/>
      <c r="UNK42"/>
      <c r="UNL42"/>
      <c r="UNM42"/>
      <c r="UNN42"/>
      <c r="UNO42"/>
      <c r="UNP42"/>
      <c r="UNQ42"/>
      <c r="UNR42"/>
      <c r="UNS42"/>
      <c r="UNT42"/>
      <c r="UNU42"/>
      <c r="UNV42"/>
      <c r="UNW42"/>
      <c r="UNX42"/>
      <c r="UNY42"/>
      <c r="UNZ42"/>
      <c r="UOA42"/>
      <c r="UOB42"/>
      <c r="UOC42"/>
      <c r="UOD42"/>
      <c r="UOE42"/>
      <c r="UOF42"/>
      <c r="UOG42"/>
      <c r="UOH42"/>
      <c r="UOI42"/>
      <c r="UOJ42"/>
      <c r="UOK42"/>
      <c r="UOL42"/>
      <c r="UOM42"/>
      <c r="UON42"/>
      <c r="UOO42"/>
      <c r="UOP42"/>
      <c r="UOQ42"/>
      <c r="UOR42"/>
      <c r="UOS42"/>
      <c r="UOT42"/>
      <c r="UOU42"/>
      <c r="UOV42"/>
      <c r="UOW42"/>
      <c r="UOX42"/>
      <c r="UOY42"/>
      <c r="UOZ42"/>
      <c r="UPA42"/>
      <c r="UPB42"/>
      <c r="UPC42"/>
      <c r="UPD42"/>
      <c r="UPE42"/>
      <c r="UPF42"/>
      <c r="UPG42"/>
      <c r="UPH42"/>
      <c r="UPI42"/>
      <c r="UPJ42"/>
      <c r="UPK42"/>
      <c r="UPL42"/>
      <c r="UPM42"/>
      <c r="UPN42"/>
      <c r="UPO42"/>
      <c r="UPP42"/>
      <c r="UPQ42"/>
      <c r="UPR42"/>
      <c r="UPS42"/>
      <c r="UPT42"/>
      <c r="UPU42"/>
      <c r="UPV42"/>
      <c r="UPW42"/>
      <c r="UPX42"/>
      <c r="UPY42"/>
      <c r="UPZ42"/>
      <c r="UQA42"/>
      <c r="UQB42"/>
      <c r="UQC42"/>
      <c r="UQD42"/>
      <c r="UQE42"/>
      <c r="UQF42"/>
      <c r="UQG42"/>
      <c r="UQH42"/>
      <c r="UQI42"/>
      <c r="UQJ42"/>
      <c r="UQK42"/>
      <c r="UQL42"/>
      <c r="UQM42"/>
      <c r="UQN42"/>
      <c r="UQO42"/>
      <c r="UQP42"/>
      <c r="UQQ42"/>
      <c r="UQR42"/>
      <c r="UQS42"/>
      <c r="UQT42"/>
      <c r="UQU42"/>
      <c r="UQV42"/>
      <c r="UQW42"/>
      <c r="UQX42"/>
      <c r="UQY42"/>
      <c r="UQZ42"/>
      <c r="URA42"/>
      <c r="URB42"/>
      <c r="URC42"/>
      <c r="URD42"/>
      <c r="URE42"/>
      <c r="URF42"/>
      <c r="URG42"/>
      <c r="URH42"/>
      <c r="URI42"/>
      <c r="URJ42"/>
      <c r="URK42"/>
      <c r="URL42"/>
      <c r="URM42"/>
      <c r="URN42"/>
      <c r="URO42"/>
      <c r="URP42"/>
      <c r="URQ42"/>
      <c r="URR42"/>
      <c r="URS42"/>
      <c r="URT42"/>
      <c r="URU42"/>
      <c r="URV42"/>
      <c r="URW42"/>
      <c r="URX42"/>
      <c r="URY42"/>
      <c r="URZ42"/>
      <c r="USA42"/>
      <c r="USB42"/>
      <c r="USC42"/>
      <c r="USD42"/>
      <c r="USE42"/>
      <c r="USF42"/>
      <c r="USG42"/>
      <c r="USH42"/>
      <c r="USI42"/>
      <c r="USJ42"/>
      <c r="USK42"/>
      <c r="USL42"/>
      <c r="USM42"/>
      <c r="USN42"/>
      <c r="USO42"/>
      <c r="USP42"/>
      <c r="USQ42"/>
      <c r="USR42"/>
      <c r="USS42"/>
      <c r="UST42"/>
      <c r="USU42"/>
      <c r="USV42"/>
      <c r="USW42"/>
      <c r="USX42"/>
      <c r="USY42"/>
      <c r="USZ42"/>
      <c r="UTA42"/>
      <c r="UTB42"/>
      <c r="UTC42"/>
      <c r="UTD42"/>
      <c r="UTE42"/>
      <c r="UTF42"/>
      <c r="UTG42"/>
      <c r="UTH42"/>
      <c r="UTI42"/>
      <c r="UTJ42"/>
      <c r="UTK42"/>
      <c r="UTL42"/>
      <c r="UTM42"/>
      <c r="UTN42"/>
      <c r="UTO42"/>
      <c r="UTP42"/>
      <c r="UTQ42"/>
      <c r="UTR42"/>
      <c r="UTS42"/>
      <c r="UTT42"/>
      <c r="UTU42"/>
      <c r="UTV42"/>
      <c r="UTW42"/>
      <c r="UTX42"/>
      <c r="UTY42"/>
      <c r="UTZ42"/>
      <c r="UUA42"/>
      <c r="UUB42"/>
      <c r="UUC42"/>
      <c r="UUD42"/>
      <c r="UUE42"/>
      <c r="UUF42"/>
      <c r="UUG42"/>
      <c r="UUH42"/>
      <c r="UUI42"/>
      <c r="UUJ42"/>
      <c r="UUK42"/>
      <c r="UUL42"/>
      <c r="UUM42"/>
      <c r="UUN42"/>
      <c r="UUO42"/>
      <c r="UUP42"/>
      <c r="UUQ42"/>
      <c r="UUR42"/>
      <c r="UUS42"/>
      <c r="UUT42"/>
      <c r="UUU42"/>
      <c r="UUV42"/>
      <c r="UUW42"/>
      <c r="UUX42"/>
      <c r="UUY42"/>
      <c r="UUZ42"/>
      <c r="UVA42"/>
      <c r="UVB42"/>
      <c r="UVC42"/>
      <c r="UVD42"/>
      <c r="UVE42"/>
      <c r="UVF42"/>
      <c r="UVG42"/>
      <c r="UVH42"/>
      <c r="UVI42"/>
      <c r="UVJ42"/>
      <c r="UVK42"/>
      <c r="UVL42"/>
      <c r="UVM42"/>
      <c r="UVN42"/>
      <c r="UVO42"/>
      <c r="UVP42"/>
      <c r="UVQ42"/>
      <c r="UVR42"/>
      <c r="UVS42"/>
      <c r="UVT42"/>
      <c r="UVU42"/>
      <c r="UVV42"/>
      <c r="UVW42"/>
      <c r="UVX42"/>
      <c r="UVY42"/>
      <c r="UVZ42"/>
      <c r="UWA42"/>
      <c r="UWB42"/>
      <c r="UWC42"/>
      <c r="UWD42"/>
      <c r="UWE42"/>
      <c r="UWF42"/>
      <c r="UWG42"/>
      <c r="UWH42"/>
      <c r="UWI42"/>
      <c r="UWJ42"/>
      <c r="UWK42"/>
      <c r="UWL42"/>
      <c r="UWM42"/>
      <c r="UWN42"/>
      <c r="UWO42"/>
      <c r="UWP42"/>
      <c r="UWQ42"/>
      <c r="UWR42"/>
      <c r="UWS42"/>
      <c r="UWT42"/>
      <c r="UWU42"/>
      <c r="UWV42"/>
      <c r="UWW42"/>
      <c r="UWX42"/>
      <c r="UWY42"/>
      <c r="UWZ42"/>
      <c r="UXA42"/>
      <c r="UXB42"/>
      <c r="UXC42"/>
      <c r="UXD42"/>
      <c r="UXE42"/>
      <c r="UXF42"/>
      <c r="UXG42"/>
      <c r="UXH42"/>
      <c r="UXI42"/>
      <c r="UXJ42"/>
      <c r="UXK42"/>
      <c r="UXL42"/>
      <c r="UXM42"/>
      <c r="UXN42"/>
      <c r="UXO42"/>
      <c r="UXP42"/>
      <c r="UXQ42"/>
      <c r="UXR42"/>
      <c r="UXS42"/>
      <c r="UXT42"/>
      <c r="UXU42"/>
      <c r="UXV42"/>
      <c r="UXW42"/>
      <c r="UXX42"/>
      <c r="UXY42"/>
      <c r="UXZ42"/>
      <c r="UYA42"/>
      <c r="UYB42"/>
      <c r="UYC42"/>
      <c r="UYD42"/>
      <c r="UYE42"/>
      <c r="UYF42"/>
      <c r="UYG42"/>
      <c r="UYH42"/>
      <c r="UYI42"/>
      <c r="UYJ42"/>
      <c r="UYK42"/>
      <c r="UYL42"/>
      <c r="UYM42"/>
      <c r="UYN42"/>
      <c r="UYO42"/>
      <c r="UYP42"/>
      <c r="UYQ42"/>
      <c r="UYR42"/>
      <c r="UYS42"/>
      <c r="UYT42"/>
      <c r="UYU42"/>
      <c r="UYV42"/>
      <c r="UYW42"/>
      <c r="UYX42"/>
      <c r="UYY42"/>
      <c r="UYZ42"/>
      <c r="UZA42"/>
      <c r="UZB42"/>
      <c r="UZC42"/>
      <c r="UZD42"/>
      <c r="UZE42"/>
      <c r="UZF42"/>
      <c r="UZG42"/>
      <c r="UZH42"/>
      <c r="UZI42"/>
      <c r="UZJ42"/>
      <c r="UZK42"/>
      <c r="UZL42"/>
      <c r="UZM42"/>
      <c r="UZN42"/>
      <c r="UZO42"/>
      <c r="UZP42"/>
      <c r="UZQ42"/>
      <c r="UZR42"/>
      <c r="UZS42"/>
      <c r="UZT42"/>
      <c r="UZU42"/>
      <c r="UZV42"/>
      <c r="UZW42"/>
      <c r="UZX42"/>
      <c r="UZY42"/>
      <c r="UZZ42"/>
      <c r="VAA42"/>
      <c r="VAB42"/>
      <c r="VAC42"/>
      <c r="VAD42"/>
      <c r="VAE42"/>
      <c r="VAF42"/>
      <c r="VAG42"/>
      <c r="VAH42"/>
      <c r="VAI42"/>
      <c r="VAJ42"/>
      <c r="VAK42"/>
      <c r="VAL42"/>
      <c r="VAM42"/>
      <c r="VAN42"/>
      <c r="VAO42"/>
      <c r="VAP42"/>
      <c r="VAQ42"/>
      <c r="VAR42"/>
      <c r="VAS42"/>
      <c r="VAT42"/>
      <c r="VAU42"/>
      <c r="VAV42"/>
      <c r="VAW42"/>
      <c r="VAX42"/>
      <c r="VAY42"/>
      <c r="VAZ42"/>
      <c r="VBA42"/>
      <c r="VBB42"/>
      <c r="VBC42"/>
      <c r="VBD42"/>
      <c r="VBE42"/>
      <c r="VBF42"/>
      <c r="VBG42"/>
      <c r="VBH42"/>
      <c r="VBI42"/>
      <c r="VBJ42"/>
      <c r="VBK42"/>
      <c r="VBL42"/>
      <c r="VBM42"/>
      <c r="VBN42"/>
      <c r="VBO42"/>
      <c r="VBP42"/>
      <c r="VBQ42"/>
      <c r="VBR42"/>
      <c r="VBS42"/>
      <c r="VBT42"/>
      <c r="VBU42"/>
      <c r="VBV42"/>
      <c r="VBW42"/>
      <c r="VBX42"/>
      <c r="VBY42"/>
      <c r="VBZ42"/>
      <c r="VCA42"/>
      <c r="VCB42"/>
      <c r="VCC42"/>
      <c r="VCD42"/>
      <c r="VCE42"/>
      <c r="VCF42"/>
      <c r="VCG42"/>
      <c r="VCH42"/>
      <c r="VCI42"/>
      <c r="VCJ42"/>
      <c r="VCK42"/>
      <c r="VCL42"/>
      <c r="VCM42"/>
      <c r="VCN42"/>
      <c r="VCO42"/>
      <c r="VCP42"/>
      <c r="VCQ42"/>
      <c r="VCR42"/>
      <c r="VCS42"/>
      <c r="VCT42"/>
      <c r="VCU42"/>
      <c r="VCV42"/>
      <c r="VCW42"/>
      <c r="VCX42"/>
      <c r="VCY42"/>
      <c r="VCZ42"/>
      <c r="VDA42"/>
      <c r="VDB42"/>
      <c r="VDC42"/>
      <c r="VDD42"/>
      <c r="VDE42"/>
      <c r="VDF42"/>
      <c r="VDG42"/>
      <c r="VDH42"/>
      <c r="VDI42"/>
      <c r="VDJ42"/>
      <c r="VDK42"/>
      <c r="VDL42"/>
      <c r="VDM42"/>
      <c r="VDN42"/>
      <c r="VDO42"/>
      <c r="VDP42"/>
      <c r="VDQ42"/>
      <c r="VDR42"/>
      <c r="VDS42"/>
      <c r="VDT42"/>
      <c r="VDU42"/>
      <c r="VDV42"/>
      <c r="VDW42"/>
      <c r="VDX42"/>
      <c r="VDY42"/>
      <c r="VDZ42"/>
      <c r="VEA42"/>
      <c r="VEB42"/>
      <c r="VEC42"/>
      <c r="VED42"/>
      <c r="VEE42"/>
      <c r="VEF42"/>
      <c r="VEG42"/>
      <c r="VEH42"/>
      <c r="VEI42"/>
      <c r="VEJ42"/>
      <c r="VEK42"/>
      <c r="VEL42"/>
      <c r="VEM42"/>
      <c r="VEN42"/>
      <c r="VEO42"/>
      <c r="VEP42"/>
      <c r="VEQ42"/>
      <c r="VER42"/>
      <c r="VES42"/>
      <c r="VET42"/>
      <c r="VEU42"/>
      <c r="VEV42"/>
      <c r="VEW42"/>
      <c r="VEX42"/>
      <c r="VEY42"/>
      <c r="VEZ42"/>
      <c r="VFA42"/>
      <c r="VFB42"/>
      <c r="VFC42"/>
      <c r="VFD42"/>
      <c r="VFE42"/>
      <c r="VFF42"/>
      <c r="VFG42"/>
      <c r="VFH42"/>
      <c r="VFI42"/>
      <c r="VFJ42"/>
      <c r="VFK42"/>
      <c r="VFL42"/>
      <c r="VFM42"/>
      <c r="VFN42"/>
      <c r="VFO42"/>
      <c r="VFP42"/>
      <c r="VFQ42"/>
      <c r="VFR42"/>
      <c r="VFS42"/>
      <c r="VFT42"/>
      <c r="VFU42"/>
      <c r="VFV42"/>
      <c r="VFW42"/>
      <c r="VFX42"/>
      <c r="VFY42"/>
      <c r="VFZ42"/>
      <c r="VGA42"/>
      <c r="VGB42"/>
      <c r="VGC42"/>
      <c r="VGD42"/>
      <c r="VGE42"/>
      <c r="VGF42"/>
      <c r="VGG42"/>
      <c r="VGH42"/>
      <c r="VGI42"/>
      <c r="VGJ42"/>
      <c r="VGK42"/>
      <c r="VGL42"/>
      <c r="VGM42"/>
      <c r="VGN42"/>
      <c r="VGO42"/>
      <c r="VGP42"/>
      <c r="VGQ42"/>
      <c r="VGR42"/>
      <c r="VGS42"/>
      <c r="VGT42"/>
      <c r="VGU42"/>
      <c r="VGV42"/>
      <c r="VGW42"/>
      <c r="VGX42"/>
      <c r="VGY42"/>
      <c r="VGZ42"/>
      <c r="VHA42"/>
      <c r="VHB42"/>
      <c r="VHC42"/>
      <c r="VHD42"/>
      <c r="VHE42"/>
      <c r="VHF42"/>
      <c r="VHG42"/>
      <c r="VHH42"/>
      <c r="VHI42"/>
      <c r="VHJ42"/>
      <c r="VHK42"/>
      <c r="VHL42"/>
      <c r="VHM42"/>
      <c r="VHN42"/>
      <c r="VHO42"/>
      <c r="VHP42"/>
      <c r="VHQ42"/>
      <c r="VHR42"/>
      <c r="VHS42"/>
      <c r="VHT42"/>
      <c r="VHU42"/>
      <c r="VHV42"/>
      <c r="VHW42"/>
      <c r="VHX42"/>
      <c r="VHY42"/>
      <c r="VHZ42"/>
      <c r="VIA42"/>
      <c r="VIB42"/>
      <c r="VIC42"/>
      <c r="VID42"/>
      <c r="VIE42"/>
      <c r="VIF42"/>
      <c r="VIG42"/>
      <c r="VIH42"/>
      <c r="VII42"/>
      <c r="VIJ42"/>
      <c r="VIK42"/>
      <c r="VIL42"/>
      <c r="VIM42"/>
      <c r="VIN42"/>
      <c r="VIO42"/>
      <c r="VIP42"/>
      <c r="VIQ42"/>
      <c r="VIR42"/>
      <c r="VIS42"/>
      <c r="VIT42"/>
      <c r="VIU42"/>
      <c r="VIV42"/>
      <c r="VIW42"/>
      <c r="VIX42"/>
      <c r="VIY42"/>
      <c r="VIZ42"/>
      <c r="VJA42"/>
      <c r="VJB42"/>
      <c r="VJC42"/>
      <c r="VJD42"/>
      <c r="VJE42"/>
      <c r="VJF42"/>
      <c r="VJG42"/>
      <c r="VJH42"/>
      <c r="VJI42"/>
      <c r="VJJ42"/>
      <c r="VJK42"/>
      <c r="VJL42"/>
      <c r="VJM42"/>
      <c r="VJN42"/>
      <c r="VJO42"/>
      <c r="VJP42"/>
      <c r="VJQ42"/>
      <c r="VJR42"/>
      <c r="VJS42"/>
      <c r="VJT42"/>
      <c r="VJU42"/>
      <c r="VJV42"/>
      <c r="VJW42"/>
      <c r="VJX42"/>
      <c r="VJY42"/>
      <c r="VJZ42"/>
      <c r="VKA42"/>
      <c r="VKB42"/>
      <c r="VKC42"/>
      <c r="VKD42"/>
      <c r="VKE42"/>
      <c r="VKF42"/>
      <c r="VKG42"/>
      <c r="VKH42"/>
      <c r="VKI42"/>
      <c r="VKJ42"/>
      <c r="VKK42"/>
      <c r="VKL42"/>
      <c r="VKM42"/>
      <c r="VKN42"/>
      <c r="VKO42"/>
      <c r="VKP42"/>
      <c r="VKQ42"/>
      <c r="VKR42"/>
      <c r="VKS42"/>
      <c r="VKT42"/>
      <c r="VKU42"/>
      <c r="VKV42"/>
      <c r="VKW42"/>
      <c r="VKX42"/>
      <c r="VKY42"/>
      <c r="VKZ42"/>
      <c r="VLA42"/>
      <c r="VLB42"/>
      <c r="VLC42"/>
      <c r="VLD42"/>
      <c r="VLE42"/>
      <c r="VLF42"/>
      <c r="VLG42"/>
      <c r="VLH42"/>
      <c r="VLI42"/>
      <c r="VLJ42"/>
      <c r="VLK42"/>
      <c r="VLL42"/>
      <c r="VLM42"/>
      <c r="VLN42"/>
      <c r="VLO42"/>
      <c r="VLP42"/>
      <c r="VLQ42"/>
      <c r="VLR42"/>
      <c r="VLS42"/>
      <c r="VLT42"/>
      <c r="VLU42"/>
      <c r="VLV42"/>
      <c r="VLW42"/>
      <c r="VLX42"/>
      <c r="VLY42"/>
      <c r="VLZ42"/>
      <c r="VMA42"/>
      <c r="VMB42"/>
      <c r="VMC42"/>
      <c r="VMD42"/>
      <c r="VME42"/>
      <c r="VMF42"/>
      <c r="VMG42"/>
      <c r="VMH42"/>
      <c r="VMI42"/>
      <c r="VMJ42"/>
      <c r="VMK42"/>
      <c r="VML42"/>
      <c r="VMM42"/>
      <c r="VMN42"/>
      <c r="VMO42"/>
      <c r="VMP42"/>
      <c r="VMQ42"/>
      <c r="VMR42"/>
      <c r="VMS42"/>
      <c r="VMT42"/>
      <c r="VMU42"/>
      <c r="VMV42"/>
      <c r="VMW42"/>
      <c r="VMX42"/>
      <c r="VMY42"/>
      <c r="VMZ42"/>
      <c r="VNA42"/>
      <c r="VNB42"/>
      <c r="VNC42"/>
      <c r="VND42"/>
      <c r="VNE42"/>
      <c r="VNF42"/>
      <c r="VNG42"/>
      <c r="VNH42"/>
      <c r="VNI42"/>
      <c r="VNJ42"/>
      <c r="VNK42"/>
      <c r="VNL42"/>
      <c r="VNM42"/>
      <c r="VNN42"/>
      <c r="VNO42"/>
      <c r="VNP42"/>
      <c r="VNQ42"/>
      <c r="VNR42"/>
      <c r="VNS42"/>
      <c r="VNT42"/>
      <c r="VNU42"/>
      <c r="VNV42"/>
      <c r="VNW42"/>
      <c r="VNX42"/>
      <c r="VNY42"/>
      <c r="VNZ42"/>
      <c r="VOA42"/>
      <c r="VOB42"/>
      <c r="VOC42"/>
      <c r="VOD42"/>
      <c r="VOE42"/>
      <c r="VOF42"/>
      <c r="VOG42"/>
      <c r="VOH42"/>
      <c r="VOI42"/>
      <c r="VOJ42"/>
      <c r="VOK42"/>
      <c r="VOL42"/>
      <c r="VOM42"/>
      <c r="VON42"/>
      <c r="VOO42"/>
      <c r="VOP42"/>
      <c r="VOQ42"/>
      <c r="VOR42"/>
      <c r="VOS42"/>
      <c r="VOT42"/>
      <c r="VOU42"/>
      <c r="VOV42"/>
      <c r="VOW42"/>
      <c r="VOX42"/>
      <c r="VOY42"/>
      <c r="VOZ42"/>
      <c r="VPA42"/>
      <c r="VPB42"/>
      <c r="VPC42"/>
      <c r="VPD42"/>
      <c r="VPE42"/>
      <c r="VPF42"/>
      <c r="VPG42"/>
      <c r="VPH42"/>
      <c r="VPI42"/>
      <c r="VPJ42"/>
      <c r="VPK42"/>
      <c r="VPL42"/>
      <c r="VPM42"/>
      <c r="VPN42"/>
      <c r="VPO42"/>
      <c r="VPP42"/>
      <c r="VPQ42"/>
      <c r="VPR42"/>
      <c r="VPS42"/>
      <c r="VPT42"/>
      <c r="VPU42"/>
      <c r="VPV42"/>
      <c r="VPW42"/>
      <c r="VPX42"/>
      <c r="VPY42"/>
      <c r="VPZ42"/>
      <c r="VQA42"/>
      <c r="VQB42"/>
      <c r="VQC42"/>
      <c r="VQD42"/>
      <c r="VQE42"/>
      <c r="VQF42"/>
      <c r="VQG42"/>
      <c r="VQH42"/>
      <c r="VQI42"/>
      <c r="VQJ42"/>
      <c r="VQK42"/>
      <c r="VQL42"/>
      <c r="VQM42"/>
      <c r="VQN42"/>
      <c r="VQO42"/>
      <c r="VQP42"/>
      <c r="VQQ42"/>
      <c r="VQR42"/>
      <c r="VQS42"/>
      <c r="VQT42"/>
      <c r="VQU42"/>
      <c r="VQV42"/>
      <c r="VQW42"/>
      <c r="VQX42"/>
      <c r="VQY42"/>
      <c r="VQZ42"/>
      <c r="VRA42"/>
      <c r="VRB42"/>
      <c r="VRC42"/>
      <c r="VRD42"/>
      <c r="VRE42"/>
      <c r="VRF42"/>
      <c r="VRG42"/>
      <c r="VRH42"/>
      <c r="VRI42"/>
      <c r="VRJ42"/>
      <c r="VRK42"/>
      <c r="VRL42"/>
      <c r="VRM42"/>
      <c r="VRN42"/>
      <c r="VRO42"/>
      <c r="VRP42"/>
      <c r="VRQ42"/>
      <c r="VRR42"/>
      <c r="VRS42"/>
      <c r="VRT42"/>
      <c r="VRU42"/>
      <c r="VRV42"/>
      <c r="VRW42"/>
      <c r="VRX42"/>
      <c r="VRY42"/>
      <c r="VRZ42"/>
      <c r="VSA42"/>
      <c r="VSB42"/>
      <c r="VSC42"/>
      <c r="VSD42"/>
      <c r="VSE42"/>
      <c r="VSF42"/>
      <c r="VSG42"/>
      <c r="VSH42"/>
      <c r="VSI42"/>
      <c r="VSJ42"/>
      <c r="VSK42"/>
      <c r="VSL42"/>
      <c r="VSM42"/>
      <c r="VSN42"/>
      <c r="VSO42"/>
      <c r="VSP42"/>
      <c r="VSQ42"/>
      <c r="VSR42"/>
      <c r="VSS42"/>
      <c r="VST42"/>
      <c r="VSU42"/>
      <c r="VSV42"/>
      <c r="VSW42"/>
      <c r="VSX42"/>
      <c r="VSY42"/>
      <c r="VSZ42"/>
      <c r="VTA42"/>
      <c r="VTB42"/>
      <c r="VTC42"/>
      <c r="VTD42"/>
      <c r="VTE42"/>
      <c r="VTF42"/>
      <c r="VTG42"/>
      <c r="VTH42"/>
      <c r="VTI42"/>
      <c r="VTJ42"/>
      <c r="VTK42"/>
      <c r="VTL42"/>
      <c r="VTM42"/>
      <c r="VTN42"/>
      <c r="VTO42"/>
      <c r="VTP42"/>
      <c r="VTQ42"/>
      <c r="VTR42"/>
      <c r="VTS42"/>
      <c r="VTT42"/>
      <c r="VTU42"/>
      <c r="VTV42"/>
      <c r="VTW42"/>
      <c r="VTX42"/>
      <c r="VTY42"/>
      <c r="VTZ42"/>
      <c r="VUA42"/>
      <c r="VUB42"/>
      <c r="VUC42"/>
      <c r="VUD42"/>
      <c r="VUE42"/>
      <c r="VUF42"/>
      <c r="VUG42"/>
      <c r="VUH42"/>
      <c r="VUI42"/>
      <c r="VUJ42"/>
      <c r="VUK42"/>
      <c r="VUL42"/>
      <c r="VUM42"/>
      <c r="VUN42"/>
      <c r="VUO42"/>
      <c r="VUP42"/>
      <c r="VUQ42"/>
      <c r="VUR42"/>
      <c r="VUS42"/>
      <c r="VUT42"/>
      <c r="VUU42"/>
      <c r="VUV42"/>
      <c r="VUW42"/>
      <c r="VUX42"/>
      <c r="VUY42"/>
      <c r="VUZ42"/>
      <c r="VVA42"/>
      <c r="VVB42"/>
      <c r="VVC42"/>
      <c r="VVD42"/>
      <c r="VVE42"/>
      <c r="VVF42"/>
      <c r="VVG42"/>
      <c r="VVH42"/>
      <c r="VVI42"/>
      <c r="VVJ42"/>
      <c r="VVK42"/>
      <c r="VVL42"/>
      <c r="VVM42"/>
      <c r="VVN42"/>
      <c r="VVO42"/>
      <c r="VVP42"/>
      <c r="VVQ42"/>
      <c r="VVR42"/>
      <c r="VVS42"/>
      <c r="VVT42"/>
      <c r="VVU42"/>
      <c r="VVV42"/>
      <c r="VVW42"/>
      <c r="VVX42"/>
      <c r="VVY42"/>
      <c r="VVZ42"/>
      <c r="VWA42"/>
      <c r="VWB42"/>
      <c r="VWC42"/>
      <c r="VWD42"/>
      <c r="VWE42"/>
      <c r="VWF42"/>
      <c r="VWG42"/>
      <c r="VWH42"/>
      <c r="VWI42"/>
      <c r="VWJ42"/>
      <c r="VWK42"/>
      <c r="VWL42"/>
      <c r="VWM42"/>
      <c r="VWN42"/>
      <c r="VWO42"/>
      <c r="VWP42"/>
      <c r="VWQ42"/>
      <c r="VWR42"/>
      <c r="VWS42"/>
      <c r="VWT42"/>
      <c r="VWU42"/>
      <c r="VWV42"/>
      <c r="VWW42"/>
      <c r="VWX42"/>
      <c r="VWY42"/>
      <c r="VWZ42"/>
      <c r="VXA42"/>
      <c r="VXB42"/>
      <c r="VXC42"/>
      <c r="VXD42"/>
      <c r="VXE42"/>
      <c r="VXF42"/>
      <c r="VXG42"/>
      <c r="VXH42"/>
      <c r="VXI42"/>
      <c r="VXJ42"/>
      <c r="VXK42"/>
      <c r="VXL42"/>
      <c r="VXM42"/>
      <c r="VXN42"/>
      <c r="VXO42"/>
      <c r="VXP42"/>
      <c r="VXQ42"/>
      <c r="VXR42"/>
      <c r="VXS42"/>
      <c r="VXT42"/>
      <c r="VXU42"/>
      <c r="VXV42"/>
      <c r="VXW42"/>
      <c r="VXX42"/>
      <c r="VXY42"/>
      <c r="VXZ42"/>
      <c r="VYA42"/>
      <c r="VYB42"/>
      <c r="VYC42"/>
      <c r="VYD42"/>
      <c r="VYE42"/>
      <c r="VYF42"/>
      <c r="VYG42"/>
      <c r="VYH42"/>
      <c r="VYI42"/>
      <c r="VYJ42"/>
      <c r="VYK42"/>
      <c r="VYL42"/>
      <c r="VYM42"/>
      <c r="VYN42"/>
      <c r="VYO42"/>
      <c r="VYP42"/>
      <c r="VYQ42"/>
      <c r="VYR42"/>
      <c r="VYS42"/>
      <c r="VYT42"/>
      <c r="VYU42"/>
      <c r="VYV42"/>
      <c r="VYW42"/>
      <c r="VYX42"/>
      <c r="VYY42"/>
      <c r="VYZ42"/>
      <c r="VZA42"/>
      <c r="VZB42"/>
      <c r="VZC42"/>
      <c r="VZD42"/>
      <c r="VZE42"/>
      <c r="VZF42"/>
      <c r="VZG42"/>
      <c r="VZH42"/>
      <c r="VZI42"/>
      <c r="VZJ42"/>
      <c r="VZK42"/>
      <c r="VZL42"/>
      <c r="VZM42"/>
      <c r="VZN42"/>
      <c r="VZO42"/>
      <c r="VZP42"/>
      <c r="VZQ42"/>
      <c r="VZR42"/>
      <c r="VZS42"/>
      <c r="VZT42"/>
      <c r="VZU42"/>
      <c r="VZV42"/>
      <c r="VZW42"/>
      <c r="VZX42"/>
      <c r="VZY42"/>
      <c r="VZZ42"/>
      <c r="WAA42"/>
      <c r="WAB42"/>
      <c r="WAC42"/>
      <c r="WAD42"/>
      <c r="WAE42"/>
      <c r="WAF42"/>
      <c r="WAG42"/>
      <c r="WAH42"/>
      <c r="WAI42"/>
      <c r="WAJ42"/>
      <c r="WAK42"/>
      <c r="WAL42"/>
      <c r="WAM42"/>
      <c r="WAN42"/>
      <c r="WAO42"/>
      <c r="WAP42"/>
      <c r="WAQ42"/>
      <c r="WAR42"/>
      <c r="WAS42"/>
      <c r="WAT42"/>
      <c r="WAU42"/>
      <c r="WAV42"/>
      <c r="WAW42"/>
      <c r="WAX42"/>
      <c r="WAY42"/>
      <c r="WAZ42"/>
      <c r="WBA42"/>
      <c r="WBB42"/>
      <c r="WBC42"/>
      <c r="WBD42"/>
      <c r="WBE42"/>
      <c r="WBF42"/>
      <c r="WBG42"/>
      <c r="WBH42"/>
      <c r="WBI42"/>
      <c r="WBJ42"/>
      <c r="WBK42"/>
      <c r="WBL42"/>
      <c r="WBM42"/>
      <c r="WBN42"/>
      <c r="WBO42"/>
      <c r="WBP42"/>
      <c r="WBQ42"/>
      <c r="WBR42"/>
      <c r="WBS42"/>
      <c r="WBT42"/>
      <c r="WBU42"/>
      <c r="WBV42"/>
      <c r="WBW42"/>
      <c r="WBX42"/>
      <c r="WBY42"/>
      <c r="WBZ42"/>
      <c r="WCA42"/>
      <c r="WCB42"/>
      <c r="WCC42"/>
      <c r="WCD42"/>
      <c r="WCE42"/>
      <c r="WCF42"/>
      <c r="WCG42"/>
      <c r="WCH42"/>
      <c r="WCI42"/>
      <c r="WCJ42"/>
      <c r="WCK42"/>
      <c r="WCL42"/>
      <c r="WCM42"/>
      <c r="WCN42"/>
      <c r="WCO42"/>
      <c r="WCP42"/>
      <c r="WCQ42"/>
      <c r="WCR42"/>
      <c r="WCS42"/>
      <c r="WCT42"/>
      <c r="WCU42"/>
      <c r="WCV42"/>
      <c r="WCW42"/>
      <c r="WCX42"/>
      <c r="WCY42"/>
      <c r="WCZ42"/>
      <c r="WDA42"/>
      <c r="WDB42"/>
      <c r="WDC42"/>
      <c r="WDD42"/>
      <c r="WDE42"/>
      <c r="WDF42"/>
      <c r="WDG42"/>
      <c r="WDH42"/>
      <c r="WDI42"/>
      <c r="WDJ42"/>
      <c r="WDK42"/>
      <c r="WDL42"/>
      <c r="WDM42"/>
      <c r="WDN42"/>
      <c r="WDO42"/>
      <c r="WDP42"/>
      <c r="WDQ42"/>
      <c r="WDR42"/>
      <c r="WDS42"/>
      <c r="WDT42"/>
      <c r="WDU42"/>
      <c r="WDV42"/>
      <c r="WDW42"/>
      <c r="WDX42"/>
      <c r="WDY42"/>
      <c r="WDZ42"/>
      <c r="WEA42"/>
      <c r="WEB42"/>
      <c r="WEC42"/>
      <c r="WED42"/>
      <c r="WEE42"/>
      <c r="WEF42"/>
      <c r="WEG42"/>
      <c r="WEH42"/>
      <c r="WEI42"/>
      <c r="WEJ42"/>
      <c r="WEK42"/>
      <c r="WEL42"/>
      <c r="WEM42"/>
      <c r="WEN42"/>
      <c r="WEO42"/>
      <c r="WEP42"/>
      <c r="WEQ42"/>
      <c r="WER42"/>
      <c r="WES42"/>
      <c r="WET42"/>
      <c r="WEU42"/>
      <c r="WEV42"/>
      <c r="WEW42"/>
      <c r="WEX42"/>
      <c r="WEY42"/>
      <c r="WEZ42"/>
      <c r="WFA42"/>
      <c r="WFB42"/>
      <c r="WFC42"/>
      <c r="WFD42"/>
      <c r="WFE42"/>
      <c r="WFF42"/>
      <c r="WFG42"/>
      <c r="WFH42"/>
      <c r="WFI42"/>
      <c r="WFJ42"/>
      <c r="WFK42"/>
      <c r="WFL42"/>
      <c r="WFM42"/>
      <c r="WFN42"/>
      <c r="WFO42"/>
      <c r="WFP42"/>
      <c r="WFQ42"/>
      <c r="WFR42"/>
      <c r="WFS42"/>
      <c r="WFT42"/>
      <c r="WFU42"/>
      <c r="WFV42"/>
      <c r="WFW42"/>
      <c r="WFX42"/>
      <c r="WFY42"/>
      <c r="WFZ42"/>
      <c r="WGA42"/>
      <c r="WGB42"/>
      <c r="WGC42"/>
      <c r="WGD42"/>
      <c r="WGE42"/>
      <c r="WGF42"/>
      <c r="WGG42"/>
      <c r="WGH42"/>
      <c r="WGI42"/>
      <c r="WGJ42"/>
      <c r="WGK42"/>
      <c r="WGL42"/>
      <c r="WGM42"/>
      <c r="WGN42"/>
      <c r="WGO42"/>
      <c r="WGP42"/>
      <c r="WGQ42"/>
      <c r="WGR42"/>
      <c r="WGS42"/>
      <c r="WGT42"/>
      <c r="WGU42"/>
      <c r="WGV42"/>
      <c r="WGW42"/>
      <c r="WGX42"/>
      <c r="WGY42"/>
      <c r="WGZ42"/>
      <c r="WHA42"/>
      <c r="WHB42"/>
      <c r="WHC42"/>
      <c r="WHD42"/>
      <c r="WHE42"/>
      <c r="WHF42"/>
      <c r="WHG42"/>
      <c r="WHH42"/>
      <c r="WHI42"/>
      <c r="WHJ42"/>
      <c r="WHK42"/>
      <c r="WHL42"/>
      <c r="WHM42"/>
      <c r="WHN42"/>
      <c r="WHO42"/>
      <c r="WHP42"/>
      <c r="WHQ42"/>
      <c r="WHR42"/>
      <c r="WHS42"/>
      <c r="WHT42"/>
      <c r="WHU42"/>
      <c r="WHV42"/>
      <c r="WHW42"/>
      <c r="WHX42"/>
      <c r="WHY42"/>
      <c r="WHZ42"/>
      <c r="WIA42"/>
      <c r="WIB42"/>
      <c r="WIC42"/>
      <c r="WID42"/>
      <c r="WIE42"/>
      <c r="WIF42"/>
      <c r="WIG42"/>
      <c r="WIH42"/>
      <c r="WII42"/>
      <c r="WIJ42"/>
      <c r="WIK42"/>
      <c r="WIL42"/>
      <c r="WIM42"/>
      <c r="WIN42"/>
      <c r="WIO42"/>
      <c r="WIP42"/>
      <c r="WIQ42"/>
      <c r="WIR42"/>
      <c r="WIS42"/>
      <c r="WIT42"/>
      <c r="WIU42"/>
      <c r="WIV42"/>
      <c r="WIW42"/>
      <c r="WIX42"/>
      <c r="WIY42"/>
      <c r="WIZ42"/>
      <c r="WJA42"/>
      <c r="WJB42"/>
      <c r="WJC42"/>
      <c r="WJD42"/>
      <c r="WJE42"/>
      <c r="WJF42"/>
      <c r="WJG42"/>
      <c r="WJH42"/>
      <c r="WJI42"/>
      <c r="WJJ42"/>
      <c r="WJK42"/>
      <c r="WJL42"/>
      <c r="WJM42"/>
      <c r="WJN42"/>
      <c r="WJO42"/>
      <c r="WJP42"/>
      <c r="WJQ42"/>
      <c r="WJR42"/>
      <c r="WJS42"/>
      <c r="WJT42"/>
      <c r="WJU42"/>
      <c r="WJV42"/>
      <c r="WJW42"/>
      <c r="WJX42"/>
      <c r="WJY42"/>
      <c r="WJZ42"/>
      <c r="WKA42"/>
      <c r="WKB42"/>
      <c r="WKC42"/>
      <c r="WKD42"/>
      <c r="WKE42"/>
      <c r="WKF42"/>
      <c r="WKG42"/>
      <c r="WKH42"/>
      <c r="WKI42"/>
      <c r="WKJ42"/>
      <c r="WKK42"/>
      <c r="WKL42"/>
      <c r="WKM42"/>
      <c r="WKN42"/>
      <c r="WKO42"/>
      <c r="WKP42"/>
      <c r="WKQ42"/>
      <c r="WKR42"/>
      <c r="WKS42"/>
      <c r="WKT42"/>
      <c r="WKU42"/>
      <c r="WKV42"/>
      <c r="WKW42"/>
      <c r="WKX42"/>
      <c r="WKY42"/>
      <c r="WKZ42"/>
      <c r="WLA42"/>
      <c r="WLB42"/>
      <c r="WLC42"/>
      <c r="WLD42"/>
      <c r="WLE42"/>
      <c r="WLF42"/>
      <c r="WLG42"/>
      <c r="WLH42"/>
      <c r="WLI42"/>
      <c r="WLJ42"/>
      <c r="WLK42"/>
      <c r="WLL42"/>
      <c r="WLM42"/>
      <c r="WLN42"/>
      <c r="WLO42"/>
      <c r="WLP42"/>
      <c r="WLQ42"/>
      <c r="WLR42"/>
      <c r="WLS42"/>
      <c r="WLT42"/>
      <c r="WLU42"/>
      <c r="WLV42"/>
      <c r="WLW42"/>
      <c r="WLX42"/>
      <c r="WLY42"/>
      <c r="WLZ42"/>
      <c r="WMA42"/>
      <c r="WMB42"/>
      <c r="WMC42"/>
      <c r="WMD42"/>
      <c r="WME42"/>
      <c r="WMF42"/>
      <c r="WMG42"/>
      <c r="WMH42"/>
      <c r="WMI42"/>
      <c r="WMJ42"/>
      <c r="WMK42"/>
      <c r="WML42"/>
      <c r="WMM42"/>
      <c r="WMN42"/>
      <c r="WMO42"/>
      <c r="WMP42"/>
      <c r="WMQ42"/>
      <c r="WMR42"/>
      <c r="WMS42"/>
      <c r="WMT42"/>
      <c r="WMU42"/>
      <c r="WMV42"/>
      <c r="WMW42"/>
      <c r="WMX42"/>
      <c r="WMY42"/>
      <c r="WMZ42"/>
      <c r="WNA42"/>
      <c r="WNB42"/>
      <c r="WNC42"/>
      <c r="WND42"/>
      <c r="WNE42"/>
      <c r="WNF42"/>
      <c r="WNG42"/>
      <c r="WNH42"/>
      <c r="WNI42"/>
      <c r="WNJ42"/>
      <c r="WNK42"/>
      <c r="WNL42"/>
      <c r="WNM42"/>
      <c r="WNN42"/>
      <c r="WNO42"/>
      <c r="WNP42"/>
      <c r="WNQ42"/>
      <c r="WNR42"/>
      <c r="WNS42"/>
      <c r="WNT42"/>
      <c r="WNU42"/>
      <c r="WNV42"/>
      <c r="WNW42"/>
      <c r="WNX42"/>
      <c r="WNY42"/>
      <c r="WNZ42"/>
      <c r="WOA42"/>
      <c r="WOB42"/>
      <c r="WOC42"/>
      <c r="WOD42"/>
      <c r="WOE42"/>
      <c r="WOF42"/>
      <c r="WOG42"/>
      <c r="WOH42"/>
      <c r="WOI42"/>
      <c r="WOJ42"/>
      <c r="WOK42"/>
      <c r="WOL42"/>
      <c r="WOM42"/>
      <c r="WON42"/>
      <c r="WOO42"/>
      <c r="WOP42"/>
      <c r="WOQ42"/>
      <c r="WOR42"/>
      <c r="WOS42"/>
      <c r="WOT42"/>
      <c r="WOU42"/>
      <c r="WOV42"/>
      <c r="WOW42"/>
      <c r="WOX42"/>
      <c r="WOY42"/>
      <c r="WOZ42"/>
      <c r="WPA42"/>
      <c r="WPB42"/>
      <c r="WPC42"/>
      <c r="WPD42"/>
      <c r="WPE42"/>
      <c r="WPF42"/>
      <c r="WPG42"/>
      <c r="WPH42"/>
      <c r="WPI42"/>
      <c r="WPJ42"/>
      <c r="WPK42"/>
      <c r="WPL42"/>
      <c r="WPM42"/>
      <c r="WPN42"/>
      <c r="WPO42"/>
      <c r="WPP42"/>
      <c r="WPQ42"/>
      <c r="WPR42"/>
      <c r="WPS42"/>
      <c r="WPT42"/>
      <c r="WPU42"/>
      <c r="WPV42"/>
      <c r="WPW42"/>
      <c r="WPX42"/>
      <c r="WPY42"/>
      <c r="WPZ42"/>
      <c r="WQA42"/>
      <c r="WQB42"/>
      <c r="WQC42"/>
      <c r="WQD42"/>
      <c r="WQE42"/>
      <c r="WQF42"/>
      <c r="WQG42"/>
      <c r="WQH42"/>
      <c r="WQI42"/>
      <c r="WQJ42"/>
      <c r="WQK42"/>
      <c r="WQL42"/>
      <c r="WQM42"/>
      <c r="WQN42"/>
      <c r="WQO42"/>
      <c r="WQP42"/>
      <c r="WQQ42"/>
      <c r="WQR42"/>
      <c r="WQS42"/>
      <c r="WQT42"/>
      <c r="WQU42"/>
      <c r="WQV42"/>
      <c r="WQW42"/>
      <c r="WQX42"/>
      <c r="WQY42"/>
      <c r="WQZ42"/>
      <c r="WRA42"/>
      <c r="WRB42"/>
      <c r="WRC42"/>
      <c r="WRD42"/>
      <c r="WRE42"/>
      <c r="WRF42"/>
      <c r="WRG42"/>
      <c r="WRH42"/>
      <c r="WRI42"/>
      <c r="WRJ42"/>
      <c r="WRK42"/>
      <c r="WRL42"/>
      <c r="WRM42"/>
      <c r="WRN42"/>
      <c r="WRO42"/>
      <c r="WRP42"/>
      <c r="WRQ42"/>
      <c r="WRR42"/>
      <c r="WRS42"/>
      <c r="WRT42"/>
      <c r="WRU42"/>
      <c r="WRV42"/>
      <c r="WRW42"/>
      <c r="WRX42"/>
      <c r="WRY42"/>
      <c r="WRZ42"/>
      <c r="WSA42"/>
      <c r="WSB42"/>
      <c r="WSC42"/>
      <c r="WSD42"/>
      <c r="WSE42"/>
      <c r="WSF42"/>
      <c r="WSG42"/>
      <c r="WSH42"/>
      <c r="WSI42"/>
      <c r="WSJ42"/>
      <c r="WSK42"/>
      <c r="WSL42"/>
      <c r="WSM42"/>
      <c r="WSN42"/>
      <c r="WSO42"/>
      <c r="WSP42"/>
      <c r="WSQ42"/>
      <c r="WSR42"/>
      <c r="WSS42"/>
      <c r="WST42"/>
      <c r="WSU42"/>
      <c r="WSV42"/>
      <c r="WSW42"/>
      <c r="WSX42"/>
      <c r="WSY42"/>
      <c r="WSZ42"/>
      <c r="WTA42"/>
      <c r="WTB42"/>
      <c r="WTC42"/>
      <c r="WTD42"/>
      <c r="WTE42"/>
      <c r="WTF42"/>
      <c r="WTG42"/>
      <c r="WTH42"/>
      <c r="WTI42"/>
      <c r="WTJ42"/>
      <c r="WTK42"/>
      <c r="WTL42"/>
      <c r="WTM42"/>
      <c r="WTN42"/>
      <c r="WTO42"/>
      <c r="WTP42"/>
      <c r="WTQ42"/>
      <c r="WTR42"/>
      <c r="WTS42"/>
      <c r="WTT42"/>
      <c r="WTU42"/>
      <c r="WTV42"/>
      <c r="WTW42"/>
      <c r="WTX42"/>
      <c r="WTY42"/>
      <c r="WTZ42"/>
      <c r="WUA42"/>
      <c r="WUB42"/>
      <c r="WUC42"/>
      <c r="WUD42"/>
      <c r="WUE42"/>
      <c r="WUF42"/>
      <c r="WUG42"/>
      <c r="WUH42"/>
      <c r="WUI42"/>
      <c r="WUJ42"/>
      <c r="WUK42"/>
      <c r="WUL42"/>
      <c r="WUM42"/>
      <c r="WUN42"/>
      <c r="WUO42"/>
      <c r="WUP42"/>
      <c r="WUQ42"/>
      <c r="WUR42"/>
      <c r="WUS42"/>
      <c r="WUT42"/>
      <c r="WUU42"/>
      <c r="WUV42"/>
      <c r="WUW42"/>
      <c r="WUX42"/>
      <c r="WUY42"/>
      <c r="WUZ42"/>
      <c r="WVA42"/>
      <c r="WVB42"/>
      <c r="WVC42"/>
      <c r="WVD42"/>
      <c r="WVE42"/>
      <c r="WVF42"/>
      <c r="WVG42"/>
      <c r="WVH42"/>
      <c r="WVI42"/>
      <c r="WVJ42"/>
      <c r="WVK42"/>
      <c r="WVL42"/>
      <c r="WVM42"/>
      <c r="WVN42"/>
      <c r="WVO42"/>
      <c r="WVP42"/>
      <c r="WVQ42"/>
      <c r="WVR42"/>
      <c r="WVS42"/>
      <c r="WVT42"/>
      <c r="WVU42"/>
      <c r="WVV42"/>
      <c r="WVW42"/>
      <c r="WVX42"/>
      <c r="WVY42"/>
      <c r="WVZ42"/>
      <c r="WWA42"/>
      <c r="WWB42"/>
      <c r="WWC42"/>
      <c r="WWD42"/>
      <c r="WWE42"/>
      <c r="WWF42"/>
      <c r="WWG42"/>
      <c r="WWH42"/>
      <c r="WWI42"/>
      <c r="WWJ42"/>
      <c r="WWK42"/>
      <c r="WWL42"/>
      <c r="WWM42"/>
      <c r="WWN42"/>
      <c r="WWO42"/>
      <c r="WWP42"/>
      <c r="WWQ42"/>
      <c r="WWR42"/>
      <c r="WWS42"/>
      <c r="WWT42"/>
      <c r="WWU42"/>
      <c r="WWV42"/>
      <c r="WWW42"/>
      <c r="WWX42"/>
      <c r="WWY42"/>
      <c r="WWZ42"/>
      <c r="WXA42"/>
      <c r="WXB42"/>
      <c r="WXC42"/>
      <c r="WXD42"/>
      <c r="WXE42"/>
      <c r="WXF42"/>
      <c r="WXG42"/>
      <c r="WXH42"/>
      <c r="WXI42"/>
      <c r="WXJ42"/>
      <c r="WXK42"/>
      <c r="WXL42"/>
      <c r="WXM42"/>
      <c r="WXN42"/>
      <c r="WXO42"/>
      <c r="WXP42"/>
      <c r="WXQ42"/>
      <c r="WXR42"/>
      <c r="WXS42"/>
      <c r="WXT42"/>
      <c r="WXU42"/>
      <c r="WXV42"/>
      <c r="WXW42"/>
      <c r="WXX42"/>
      <c r="WXY42"/>
      <c r="WXZ42"/>
      <c r="WYA42"/>
      <c r="WYB42"/>
      <c r="WYC42"/>
      <c r="WYD42"/>
      <c r="WYE42"/>
      <c r="WYF42"/>
      <c r="WYG42"/>
      <c r="WYH42"/>
      <c r="WYI42"/>
      <c r="WYJ42"/>
      <c r="WYK42"/>
      <c r="WYL42"/>
      <c r="WYM42"/>
      <c r="WYN42"/>
      <c r="WYO42"/>
      <c r="WYP42"/>
      <c r="WYQ42"/>
      <c r="WYR42"/>
      <c r="WYS42"/>
      <c r="WYT42"/>
      <c r="WYU42"/>
      <c r="WYV42"/>
      <c r="WYW42"/>
      <c r="WYX42"/>
      <c r="WYY42"/>
      <c r="WYZ42"/>
      <c r="WZA42"/>
      <c r="WZB42"/>
      <c r="WZC42"/>
      <c r="WZD42"/>
      <c r="WZE42"/>
      <c r="WZF42"/>
      <c r="WZG42"/>
      <c r="WZH42"/>
      <c r="WZI42"/>
      <c r="WZJ42"/>
      <c r="WZK42"/>
      <c r="WZL42"/>
      <c r="WZM42"/>
      <c r="WZN42"/>
      <c r="WZO42"/>
      <c r="WZP42"/>
      <c r="WZQ42"/>
      <c r="WZR42"/>
      <c r="WZS42"/>
      <c r="WZT42"/>
      <c r="WZU42"/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/>
      <c r="XBR42"/>
      <c r="XBS42"/>
      <c r="XBT42"/>
      <c r="XBU42"/>
      <c r="XBV42"/>
      <c r="XBW42"/>
      <c r="XBX42"/>
      <c r="XBY42"/>
      <c r="XBZ42"/>
      <c r="XCA42"/>
      <c r="XCB42"/>
      <c r="XCC42"/>
      <c r="XCD42"/>
      <c r="XCE42"/>
      <c r="XCF42"/>
      <c r="XCG42"/>
      <c r="XCH42"/>
      <c r="XCI42"/>
      <c r="XCJ42"/>
      <c r="XCK42"/>
      <c r="XCL42"/>
      <c r="XCM42"/>
      <c r="XCN42"/>
      <c r="XCO42"/>
      <c r="XCP42"/>
      <c r="XCQ42"/>
      <c r="XCR42"/>
      <c r="XCS42"/>
      <c r="XCT42"/>
      <c r="XCU42"/>
      <c r="XCV42"/>
      <c r="XCW42"/>
      <c r="XCX42"/>
      <c r="XCY42"/>
      <c r="XCZ42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  <c r="XEZ42"/>
    </row>
    <row r="43" spans="1:16380" x14ac:dyDescent="0.35">
      <c r="A43" s="49" t="s">
        <v>79</v>
      </c>
      <c r="B43" s="26" t="s">
        <v>157</v>
      </c>
      <c r="C43" s="40" t="s">
        <v>33</v>
      </c>
      <c r="D43" s="32" t="s">
        <v>244</v>
      </c>
      <c r="E43" s="27">
        <v>30005230100868</v>
      </c>
      <c r="F43" s="14" t="s">
        <v>36</v>
      </c>
      <c r="G43" s="30">
        <v>4000</v>
      </c>
      <c r="H43" s="30">
        <v>3000</v>
      </c>
      <c r="I43" s="30">
        <v>850</v>
      </c>
      <c r="J43" s="53">
        <v>1</v>
      </c>
      <c r="K43" s="9">
        <f t="shared" si="1"/>
        <v>3000</v>
      </c>
      <c r="L43" s="9">
        <v>0</v>
      </c>
      <c r="M43" s="9">
        <f t="shared" si="2"/>
        <v>30</v>
      </c>
      <c r="N43" s="9">
        <f t="shared" ref="N43:N81" si="26">L43*M43</f>
        <v>0</v>
      </c>
      <c r="O43" s="10">
        <f t="shared" ref="O43:O81" si="27">G43/30</f>
        <v>133.33333333333334</v>
      </c>
      <c r="P43" s="10">
        <f t="shared" ref="P43:P81" si="28">K43/30</f>
        <v>100</v>
      </c>
      <c r="Q43" s="10">
        <f t="shared" ref="Q43:Q81" si="29">(H43+G43)/30</f>
        <v>233.33333333333334</v>
      </c>
      <c r="R43" s="10">
        <f t="shared" ref="R43:R81" si="30">+O43/8</f>
        <v>16.666666666666668</v>
      </c>
      <c r="S43" s="9">
        <v>16</v>
      </c>
      <c r="T43" s="9">
        <f t="shared" si="8"/>
        <v>266.66666666666669</v>
      </c>
      <c r="U43" s="9">
        <v>0</v>
      </c>
      <c r="V43" s="15">
        <f t="shared" si="9"/>
        <v>8116.666666666667</v>
      </c>
      <c r="W43" s="52">
        <v>0</v>
      </c>
      <c r="X43" s="29">
        <f t="shared" si="10"/>
        <v>0</v>
      </c>
      <c r="Y43" s="43">
        <v>0</v>
      </c>
      <c r="Z43" s="29">
        <f t="shared" si="24"/>
        <v>0</v>
      </c>
      <c r="AA43" s="29">
        <v>0</v>
      </c>
      <c r="AB43" s="29">
        <f t="shared" si="12"/>
        <v>0</v>
      </c>
      <c r="AC43" s="11">
        <f t="shared" si="13"/>
        <v>0</v>
      </c>
      <c r="AD43" s="4">
        <f t="shared" ref="AD43:AD81" si="31">V43-AC43</f>
        <v>8116.666666666667</v>
      </c>
      <c r="AE43" s="3">
        <f t="shared" si="14"/>
        <v>5384.6153846153848</v>
      </c>
      <c r="AF43" s="3">
        <f t="shared" si="15"/>
        <v>592.30769230769238</v>
      </c>
      <c r="AG43" s="1">
        <v>1666.6666666666667</v>
      </c>
      <c r="AH43" s="1">
        <f t="shared" si="16"/>
        <v>70292.307692307688</v>
      </c>
      <c r="AI43" s="1">
        <f t="shared" si="17"/>
        <v>317.3717948717948</v>
      </c>
      <c r="AJ43" s="3">
        <f t="shared" si="18"/>
        <v>4.0583333333333336</v>
      </c>
      <c r="AK43" s="4">
        <f t="shared" si="19"/>
        <v>7202.9288461538463</v>
      </c>
      <c r="AL43" s="3">
        <v>0</v>
      </c>
      <c r="AM43" s="4">
        <f t="shared" si="20"/>
        <v>7202.9288461538463</v>
      </c>
      <c r="AN43" s="1">
        <f t="shared" si="25"/>
        <v>1009.6153846153846</v>
      </c>
      <c r="AO43" s="46"/>
      <c r="AP43" s="55">
        <f t="shared" si="22"/>
        <v>9126.2820512820508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</row>
    <row r="44" spans="1:16380" x14ac:dyDescent="0.35">
      <c r="A44" s="49" t="s">
        <v>80</v>
      </c>
      <c r="B44" s="26" t="s">
        <v>202</v>
      </c>
      <c r="C44" s="40" t="s">
        <v>203</v>
      </c>
      <c r="D44" s="32" t="s">
        <v>245</v>
      </c>
      <c r="E44" s="27">
        <v>29011202100962</v>
      </c>
      <c r="F44" s="14" t="s">
        <v>36</v>
      </c>
      <c r="G44" s="30">
        <v>4000</v>
      </c>
      <c r="H44" s="30">
        <v>3000</v>
      </c>
      <c r="I44" s="30">
        <v>0</v>
      </c>
      <c r="J44" s="53">
        <v>1</v>
      </c>
      <c r="K44" s="9">
        <f t="shared" si="1"/>
        <v>3000</v>
      </c>
      <c r="L44" s="9">
        <v>0</v>
      </c>
      <c r="M44" s="9">
        <f t="shared" si="2"/>
        <v>30</v>
      </c>
      <c r="N44" s="9">
        <f t="shared" si="26"/>
        <v>0</v>
      </c>
      <c r="O44" s="10">
        <f t="shared" si="27"/>
        <v>133.33333333333334</v>
      </c>
      <c r="P44" s="10">
        <f t="shared" si="28"/>
        <v>100</v>
      </c>
      <c r="Q44" s="10">
        <f t="shared" si="29"/>
        <v>233.33333333333334</v>
      </c>
      <c r="R44" s="10">
        <f t="shared" si="30"/>
        <v>16.666666666666668</v>
      </c>
      <c r="S44" s="9">
        <v>22</v>
      </c>
      <c r="T44" s="9">
        <f t="shared" si="8"/>
        <v>366.66666666666669</v>
      </c>
      <c r="U44" s="9">
        <v>0</v>
      </c>
      <c r="V44" s="15">
        <f t="shared" si="9"/>
        <v>7366.666666666667</v>
      </c>
      <c r="W44" s="52">
        <v>0</v>
      </c>
      <c r="X44" s="29">
        <f t="shared" si="10"/>
        <v>0</v>
      </c>
      <c r="Y44" s="43">
        <v>0</v>
      </c>
      <c r="Z44" s="29">
        <f t="shared" si="24"/>
        <v>0</v>
      </c>
      <c r="AA44" s="29">
        <v>0</v>
      </c>
      <c r="AB44" s="29">
        <f t="shared" si="12"/>
        <v>0</v>
      </c>
      <c r="AC44" s="11">
        <f t="shared" si="13"/>
        <v>0</v>
      </c>
      <c r="AD44" s="4">
        <f t="shared" si="31"/>
        <v>7366.666666666667</v>
      </c>
      <c r="AE44" s="3">
        <f t="shared" si="14"/>
        <v>5384.6153846153848</v>
      </c>
      <c r="AF44" s="3">
        <f t="shared" si="15"/>
        <v>592.30769230769238</v>
      </c>
      <c r="AG44" s="1">
        <v>1666.6666666666667</v>
      </c>
      <c r="AH44" s="1">
        <f t="shared" si="16"/>
        <v>61292.307692307688</v>
      </c>
      <c r="AI44" s="1">
        <f t="shared" si="17"/>
        <v>203.6538461538461</v>
      </c>
      <c r="AJ44" s="3">
        <f t="shared" si="18"/>
        <v>3.6833333333333336</v>
      </c>
      <c r="AK44" s="4">
        <f t="shared" si="19"/>
        <v>6567.0217948717955</v>
      </c>
      <c r="AL44" s="3">
        <v>0</v>
      </c>
      <c r="AM44" s="4">
        <f t="shared" si="20"/>
        <v>6567.0217948717955</v>
      </c>
      <c r="AN44" s="1">
        <f t="shared" si="25"/>
        <v>1009.6153846153846</v>
      </c>
      <c r="AO44" s="46"/>
      <c r="AP44" s="55">
        <f t="shared" si="22"/>
        <v>8376.2820512820508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/>
      <c r="ASM44"/>
      <c r="ASN44"/>
      <c r="ASO44"/>
      <c r="ASP44"/>
      <c r="ASQ44"/>
      <c r="ASR44"/>
      <c r="ASS44"/>
      <c r="AST44"/>
      <c r="ASU44"/>
      <c r="ASV44"/>
      <c r="ASW44"/>
      <c r="ASX44"/>
      <c r="ASY44"/>
      <c r="ASZ44"/>
      <c r="ATA44"/>
      <c r="ATB44"/>
      <c r="ATC44"/>
      <c r="ATD44"/>
      <c r="ATE44"/>
      <c r="ATF44"/>
      <c r="ATG44"/>
      <c r="ATH44"/>
      <c r="ATI44"/>
      <c r="ATJ44"/>
      <c r="ATK44"/>
      <c r="ATL44"/>
      <c r="ATM44"/>
      <c r="ATN44"/>
      <c r="ATO44"/>
      <c r="ATP44"/>
      <c r="ATQ44"/>
      <c r="ATR44"/>
      <c r="ATS44"/>
      <c r="ATT44"/>
      <c r="ATU44"/>
      <c r="ATV44"/>
      <c r="ATW44"/>
      <c r="ATX44"/>
      <c r="ATY44"/>
      <c r="ATZ44"/>
      <c r="AUA44"/>
      <c r="AUB44"/>
      <c r="AUC44"/>
      <c r="AUD44"/>
      <c r="AUE44"/>
      <c r="AUF44"/>
      <c r="AUG44"/>
      <c r="AUH44"/>
      <c r="AUI44"/>
      <c r="AUJ44"/>
      <c r="AUK44"/>
      <c r="AUL44"/>
      <c r="AUM44"/>
      <c r="AUN44"/>
      <c r="AUO44"/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/>
      <c r="AVG44"/>
      <c r="AVH44"/>
      <c r="AVI44"/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/>
      <c r="BHW44"/>
      <c r="BHX44"/>
      <c r="BHY44"/>
      <c r="BHZ44"/>
      <c r="BIA44"/>
      <c r="BIB44"/>
      <c r="BIC44"/>
      <c r="BID44"/>
      <c r="BIE44"/>
      <c r="BIF44"/>
      <c r="BIG44"/>
      <c r="BIH44"/>
      <c r="BII44"/>
      <c r="BIJ44"/>
      <c r="BIK44"/>
      <c r="BIL44"/>
      <c r="BIM44"/>
      <c r="BIN44"/>
      <c r="BIO44"/>
      <c r="BIP44"/>
      <c r="BIQ44"/>
      <c r="BIR44"/>
      <c r="BIS44"/>
      <c r="BIT44"/>
      <c r="BIU44"/>
      <c r="BIV44"/>
      <c r="BIW44"/>
      <c r="BIX44"/>
      <c r="BIY44"/>
      <c r="BIZ44"/>
      <c r="BJA44"/>
      <c r="BJB44"/>
      <c r="BJC44"/>
      <c r="BJD44"/>
      <c r="BJE44"/>
      <c r="BJF44"/>
      <c r="BJG44"/>
      <c r="BJH44"/>
      <c r="BJI44"/>
      <c r="BJJ44"/>
      <c r="BJK44"/>
      <c r="BJL44"/>
      <c r="BJM44"/>
      <c r="BJN44"/>
      <c r="BJO44"/>
      <c r="BJP44"/>
      <c r="BJQ44"/>
      <c r="BJR44"/>
      <c r="BJS44"/>
      <c r="BJT44"/>
      <c r="BJU44"/>
      <c r="BJV44"/>
      <c r="BJW44"/>
      <c r="BJX44"/>
      <c r="BJY44"/>
      <c r="BJZ44"/>
      <c r="BKA44"/>
      <c r="BKB44"/>
      <c r="BKC44"/>
      <c r="BKD44"/>
      <c r="BKE44"/>
      <c r="BKF44"/>
      <c r="BKG44"/>
      <c r="BKH44"/>
      <c r="BKI44"/>
      <c r="BKJ44"/>
      <c r="BKK44"/>
      <c r="BKL44"/>
      <c r="BKM44"/>
      <c r="BKN44"/>
      <c r="BKO44"/>
      <c r="BKP44"/>
      <c r="BKQ44"/>
      <c r="BKR44"/>
      <c r="BKS44"/>
      <c r="BKT44"/>
      <c r="BKU44"/>
      <c r="BKV44"/>
      <c r="BKW44"/>
      <c r="BKX44"/>
      <c r="BKY44"/>
      <c r="BKZ44"/>
      <c r="BLA44"/>
      <c r="BLB44"/>
      <c r="BLC44"/>
      <c r="BLD44"/>
      <c r="BLE44"/>
      <c r="BLF44"/>
      <c r="BLG44"/>
      <c r="BLH44"/>
      <c r="BLI44"/>
      <c r="BLJ44"/>
      <c r="BLK44"/>
      <c r="BLL44"/>
      <c r="BLM44"/>
      <c r="BLN44"/>
      <c r="BLO44"/>
      <c r="BLP44"/>
      <c r="BLQ44"/>
      <c r="BLR44"/>
      <c r="BLS44"/>
      <c r="BLT44"/>
      <c r="BLU44"/>
      <c r="BLV44"/>
      <c r="BLW44"/>
      <c r="BLX44"/>
      <c r="BLY44"/>
      <c r="BLZ44"/>
      <c r="BMA44"/>
      <c r="BMB44"/>
      <c r="BMC44"/>
      <c r="BMD44"/>
      <c r="BME44"/>
      <c r="BMF44"/>
      <c r="BMG44"/>
      <c r="BMH44"/>
      <c r="BMI44"/>
      <c r="BMJ44"/>
      <c r="BMK44"/>
      <c r="BML44"/>
      <c r="BMM44"/>
      <c r="BMN44"/>
      <c r="BMO44"/>
      <c r="BMP44"/>
      <c r="BMQ44"/>
      <c r="BMR44"/>
      <c r="BMS44"/>
      <c r="BMT44"/>
      <c r="BMU44"/>
      <c r="BMV44"/>
      <c r="BMW44"/>
      <c r="BMX44"/>
      <c r="BMY44"/>
      <c r="BMZ44"/>
      <c r="BNA44"/>
      <c r="BNB44"/>
      <c r="BNC44"/>
      <c r="BND44"/>
      <c r="BNE44"/>
      <c r="BNF44"/>
      <c r="BNG44"/>
      <c r="BNH44"/>
      <c r="BNI44"/>
      <c r="BNJ44"/>
      <c r="BNK44"/>
      <c r="BNL44"/>
      <c r="BNM44"/>
      <c r="BNN44"/>
      <c r="BNO44"/>
      <c r="BNP44"/>
      <c r="BNQ44"/>
      <c r="BNR44"/>
      <c r="BNS44"/>
      <c r="BNT44"/>
      <c r="BNU44"/>
      <c r="BNV44"/>
      <c r="BNW44"/>
      <c r="BNX44"/>
      <c r="BNY44"/>
      <c r="BNZ44"/>
      <c r="BOA44"/>
      <c r="BOB44"/>
      <c r="BOC44"/>
      <c r="BOD44"/>
      <c r="BOE44"/>
      <c r="BOF44"/>
      <c r="BOG44"/>
      <c r="BOH44"/>
      <c r="BOI44"/>
      <c r="BOJ44"/>
      <c r="BOK44"/>
      <c r="BOL44"/>
      <c r="BOM44"/>
      <c r="BON44"/>
      <c r="BOO44"/>
      <c r="BOP44"/>
      <c r="BOQ44"/>
      <c r="BOR44"/>
      <c r="BOS44"/>
      <c r="BOT44"/>
      <c r="BOU44"/>
      <c r="BOV44"/>
      <c r="BOW44"/>
      <c r="BOX44"/>
      <c r="BOY44"/>
      <c r="BOZ44"/>
      <c r="BPA44"/>
      <c r="BPB44"/>
      <c r="BPC44"/>
      <c r="BPD44"/>
      <c r="BPE44"/>
      <c r="BPF44"/>
      <c r="BPG44"/>
      <c r="BPH44"/>
      <c r="BPI44"/>
      <c r="BPJ44"/>
      <c r="BPK44"/>
      <c r="BPL44"/>
      <c r="BPM44"/>
      <c r="BPN44"/>
      <c r="BPO44"/>
      <c r="BPP44"/>
      <c r="BPQ44"/>
      <c r="BPR44"/>
      <c r="BPS44"/>
      <c r="BPT44"/>
      <c r="BPU44"/>
      <c r="BPV44"/>
      <c r="BPW44"/>
      <c r="BPX44"/>
      <c r="BPY44"/>
      <c r="BPZ44"/>
      <c r="BQA44"/>
      <c r="BQB44"/>
      <c r="BQC44"/>
      <c r="BQD44"/>
      <c r="BQE44"/>
      <c r="BQF44"/>
      <c r="BQG44"/>
      <c r="BQH44"/>
      <c r="BQI44"/>
      <c r="BQJ44"/>
      <c r="BQK44"/>
      <c r="BQL44"/>
      <c r="BQM44"/>
      <c r="BQN44"/>
      <c r="BQO44"/>
      <c r="BQP44"/>
      <c r="BQQ44"/>
      <c r="BQR44"/>
      <c r="BQS44"/>
      <c r="BQT44"/>
      <c r="BQU44"/>
      <c r="BQV44"/>
      <c r="BQW44"/>
      <c r="BQX44"/>
      <c r="BQY44"/>
      <c r="BQZ44"/>
      <c r="BRA44"/>
      <c r="BRB44"/>
      <c r="BRC44"/>
      <c r="BRD44"/>
      <c r="BRE44"/>
      <c r="BRF44"/>
      <c r="BRG44"/>
      <c r="BRH44"/>
      <c r="BRI44"/>
      <c r="BRJ44"/>
      <c r="BRK44"/>
      <c r="BRL44"/>
      <c r="BRM44"/>
      <c r="BRN44"/>
      <c r="BRO44"/>
      <c r="BRP44"/>
      <c r="BRQ44"/>
      <c r="BRR44"/>
      <c r="BRS44"/>
      <c r="BRT44"/>
      <c r="BRU44"/>
      <c r="BRV44"/>
      <c r="BRW44"/>
      <c r="BRX44"/>
      <c r="BRY44"/>
      <c r="BRZ44"/>
      <c r="BSA44"/>
      <c r="BSB44"/>
      <c r="BSC44"/>
      <c r="BSD44"/>
      <c r="BSE44"/>
      <c r="BSF44"/>
      <c r="BSG44"/>
      <c r="BSH44"/>
      <c r="BSI44"/>
      <c r="BSJ44"/>
      <c r="BSK44"/>
      <c r="BSL44"/>
      <c r="BSM44"/>
      <c r="BSN44"/>
      <c r="BSO44"/>
      <c r="BSP44"/>
      <c r="BSQ44"/>
      <c r="BSR44"/>
      <c r="BSS44"/>
      <c r="BST44"/>
      <c r="BSU44"/>
      <c r="BSV44"/>
      <c r="BSW44"/>
      <c r="BSX44"/>
      <c r="BSY44"/>
      <c r="BSZ44"/>
      <c r="BTA44"/>
      <c r="BTB44"/>
      <c r="BTC44"/>
      <c r="BTD44"/>
      <c r="BTE44"/>
      <c r="BTF44"/>
      <c r="BTG44"/>
      <c r="BTH44"/>
      <c r="BTI44"/>
      <c r="BTJ44"/>
      <c r="BTK44"/>
      <c r="BTL44"/>
      <c r="BTM44"/>
      <c r="BTN44"/>
      <c r="BTO44"/>
      <c r="BTP44"/>
      <c r="BTQ44"/>
      <c r="BTR44"/>
      <c r="BTS44"/>
      <c r="BTT44"/>
      <c r="BTU44"/>
      <c r="BTV44"/>
      <c r="BTW44"/>
      <c r="BTX44"/>
      <c r="BTY44"/>
      <c r="BTZ44"/>
      <c r="BUA44"/>
      <c r="BUB44"/>
      <c r="BUC44"/>
      <c r="BUD44"/>
      <c r="BUE44"/>
      <c r="BUF44"/>
      <c r="BUG44"/>
      <c r="BUH44"/>
      <c r="BUI44"/>
      <c r="BUJ44"/>
      <c r="BUK44"/>
      <c r="BUL44"/>
      <c r="BUM44"/>
      <c r="BUN44"/>
      <c r="BUO44"/>
      <c r="BUP44"/>
      <c r="BUQ44"/>
      <c r="BUR44"/>
      <c r="BUS44"/>
      <c r="BUT44"/>
      <c r="BUU44"/>
      <c r="BUV44"/>
      <c r="BUW44"/>
      <c r="BUX44"/>
      <c r="BUY44"/>
      <c r="BUZ44"/>
      <c r="BVA44"/>
      <c r="BVB44"/>
      <c r="BVC44"/>
      <c r="BVD44"/>
      <c r="BVE44"/>
      <c r="BVF44"/>
      <c r="BVG44"/>
      <c r="BVH44"/>
      <c r="BVI44"/>
      <c r="BVJ44"/>
      <c r="BVK44"/>
      <c r="BVL44"/>
      <c r="BVM44"/>
      <c r="BVN44"/>
      <c r="BVO44"/>
      <c r="BVP44"/>
      <c r="BVQ44"/>
      <c r="BVR44"/>
      <c r="BVS44"/>
      <c r="BVT44"/>
      <c r="BVU44"/>
      <c r="BVV44"/>
      <c r="BVW44"/>
      <c r="BVX44"/>
      <c r="BVY44"/>
      <c r="BVZ44"/>
      <c r="BWA44"/>
      <c r="BWB44"/>
      <c r="BWC44"/>
      <c r="BWD44"/>
      <c r="BWE44"/>
      <c r="BWF44"/>
      <c r="BWG44"/>
      <c r="BWH44"/>
      <c r="BWI44"/>
      <c r="BWJ44"/>
      <c r="BWK44"/>
      <c r="BWL44"/>
      <c r="BWM44"/>
      <c r="BWN44"/>
      <c r="BWO44"/>
      <c r="BWP44"/>
      <c r="BWQ44"/>
      <c r="BWR44"/>
      <c r="BWS44"/>
      <c r="BWT44"/>
      <c r="BWU44"/>
      <c r="BWV44"/>
      <c r="BWW44"/>
      <c r="BWX44"/>
      <c r="BWY44"/>
      <c r="BWZ44"/>
      <c r="BXA44"/>
      <c r="BXB44"/>
      <c r="BXC44"/>
      <c r="BXD44"/>
      <c r="BXE44"/>
      <c r="BXF44"/>
      <c r="BXG44"/>
      <c r="BXH44"/>
      <c r="BXI44"/>
      <c r="BXJ44"/>
      <c r="BXK44"/>
      <c r="BXL44"/>
      <c r="BXM44"/>
      <c r="BXN44"/>
      <c r="BXO44"/>
      <c r="BXP44"/>
      <c r="BXQ44"/>
      <c r="BXR44"/>
      <c r="BXS44"/>
      <c r="BXT44"/>
      <c r="BXU44"/>
      <c r="BXV44"/>
      <c r="BXW44"/>
      <c r="BXX44"/>
      <c r="BXY44"/>
      <c r="BXZ44"/>
      <c r="BYA44"/>
      <c r="BYB44"/>
      <c r="BYC44"/>
      <c r="BYD44"/>
      <c r="BYE44"/>
      <c r="BYF44"/>
      <c r="BYG44"/>
      <c r="BYH44"/>
      <c r="BYI44"/>
      <c r="BYJ44"/>
      <c r="BYK44"/>
      <c r="BYL44"/>
      <c r="BYM44"/>
      <c r="BYN44"/>
      <c r="BYO44"/>
      <c r="BYP44"/>
      <c r="BYQ44"/>
      <c r="BYR44"/>
      <c r="BYS44"/>
      <c r="BYT44"/>
      <c r="BYU44"/>
      <c r="BYV44"/>
      <c r="BYW44"/>
      <c r="BYX44"/>
      <c r="BYY44"/>
      <c r="BYZ44"/>
      <c r="BZA44"/>
      <c r="BZB44"/>
      <c r="BZC44"/>
      <c r="BZD44"/>
      <c r="BZE44"/>
      <c r="BZF44"/>
      <c r="BZG44"/>
      <c r="BZH44"/>
      <c r="BZI44"/>
      <c r="BZJ44"/>
      <c r="BZK44"/>
      <c r="BZL44"/>
      <c r="BZM44"/>
      <c r="BZN44"/>
      <c r="BZO44"/>
      <c r="BZP44"/>
      <c r="BZQ44"/>
      <c r="BZR44"/>
      <c r="BZS44"/>
      <c r="BZT44"/>
      <c r="BZU44"/>
      <c r="BZV44"/>
      <c r="BZW44"/>
      <c r="BZX44"/>
      <c r="BZY44"/>
      <c r="BZZ44"/>
      <c r="CAA44"/>
      <c r="CAB44"/>
      <c r="CAC44"/>
      <c r="CAD44"/>
      <c r="CAE44"/>
      <c r="CAF44"/>
      <c r="CAG44"/>
      <c r="CAH44"/>
      <c r="CAI44"/>
      <c r="CAJ44"/>
      <c r="CAK44"/>
      <c r="CAL44"/>
      <c r="CAM44"/>
      <c r="CAN44"/>
      <c r="CAO44"/>
      <c r="CAP44"/>
      <c r="CAQ44"/>
      <c r="CAR44"/>
      <c r="CAS44"/>
      <c r="CAT44"/>
      <c r="CAU44"/>
      <c r="CAV44"/>
      <c r="CAW44"/>
      <c r="CAX44"/>
      <c r="CAY44"/>
      <c r="CAZ44"/>
      <c r="CBA44"/>
      <c r="CBB44"/>
      <c r="CBC44"/>
      <c r="CBD44"/>
      <c r="CBE44"/>
      <c r="CBF44"/>
      <c r="CBG44"/>
      <c r="CBH44"/>
      <c r="CBI44"/>
      <c r="CBJ44"/>
      <c r="CBK44"/>
      <c r="CBL44"/>
      <c r="CBM44"/>
      <c r="CBN44"/>
      <c r="CBO44"/>
      <c r="CBP44"/>
      <c r="CBQ44"/>
      <c r="CBR44"/>
      <c r="CBS44"/>
      <c r="CBT44"/>
      <c r="CBU44"/>
      <c r="CBV44"/>
      <c r="CBW44"/>
      <c r="CBX44"/>
      <c r="CBY44"/>
      <c r="CBZ44"/>
      <c r="CCA44"/>
      <c r="CCB44"/>
      <c r="CCC44"/>
      <c r="CCD44"/>
      <c r="CCE44"/>
      <c r="CCF44"/>
      <c r="CCG44"/>
      <c r="CCH44"/>
      <c r="CCI44"/>
      <c r="CCJ44"/>
      <c r="CCK44"/>
      <c r="CCL44"/>
      <c r="CCM44"/>
      <c r="CCN44"/>
      <c r="CCO44"/>
      <c r="CCP44"/>
      <c r="CCQ44"/>
      <c r="CCR44"/>
      <c r="CCS44"/>
      <c r="CCT44"/>
      <c r="CCU44"/>
      <c r="CCV44"/>
      <c r="CCW44"/>
      <c r="CCX44"/>
      <c r="CCY44"/>
      <c r="CCZ44"/>
      <c r="CDA44"/>
      <c r="CDB44"/>
      <c r="CDC44"/>
      <c r="CDD44"/>
      <c r="CDE44"/>
      <c r="CDF44"/>
      <c r="CDG44"/>
      <c r="CDH44"/>
      <c r="CDI44"/>
      <c r="CDJ44"/>
      <c r="CDK44"/>
      <c r="CDL44"/>
      <c r="CDM44"/>
      <c r="CDN44"/>
      <c r="CDO44"/>
      <c r="CDP44"/>
      <c r="CDQ44"/>
      <c r="CDR44"/>
      <c r="CDS44"/>
      <c r="CDT44"/>
      <c r="CDU44"/>
      <c r="CDV44"/>
      <c r="CDW44"/>
      <c r="CDX44"/>
      <c r="CDY44"/>
      <c r="CDZ44"/>
      <c r="CEA44"/>
      <c r="CEB44"/>
      <c r="CEC44"/>
      <c r="CED44"/>
      <c r="CEE44"/>
      <c r="CEF44"/>
      <c r="CEG44"/>
      <c r="CEH44"/>
      <c r="CEI44"/>
      <c r="CEJ44"/>
      <c r="CEK44"/>
      <c r="CEL44"/>
      <c r="CEM44"/>
      <c r="CEN44"/>
      <c r="CEO44"/>
      <c r="CEP44"/>
      <c r="CEQ44"/>
      <c r="CER44"/>
      <c r="CES44"/>
      <c r="CET44"/>
      <c r="CEU44"/>
      <c r="CEV44"/>
      <c r="CEW44"/>
      <c r="CEX44"/>
      <c r="CEY44"/>
      <c r="CEZ44"/>
      <c r="CFA44"/>
      <c r="CFB44"/>
      <c r="CFC44"/>
      <c r="CFD44"/>
      <c r="CFE44"/>
      <c r="CFF44"/>
      <c r="CFG44"/>
      <c r="CFH44"/>
      <c r="CFI44"/>
      <c r="CFJ44"/>
      <c r="CFK44"/>
      <c r="CFL44"/>
      <c r="CFM44"/>
      <c r="CFN44"/>
      <c r="CFO44"/>
      <c r="CFP44"/>
      <c r="CFQ44"/>
      <c r="CFR44"/>
      <c r="CFS44"/>
      <c r="CFT44"/>
      <c r="CFU44"/>
      <c r="CFV44"/>
      <c r="CFW44"/>
      <c r="CFX44"/>
      <c r="CFY44"/>
      <c r="CFZ44"/>
      <c r="CGA44"/>
      <c r="CGB44"/>
      <c r="CGC44"/>
      <c r="CGD44"/>
      <c r="CGE44"/>
      <c r="CGF44"/>
      <c r="CGG44"/>
      <c r="CGH44"/>
      <c r="CGI44"/>
      <c r="CGJ44"/>
      <c r="CGK44"/>
      <c r="CGL44"/>
      <c r="CGM44"/>
      <c r="CGN44"/>
      <c r="CGO44"/>
      <c r="CGP44"/>
      <c r="CGQ44"/>
      <c r="CGR44"/>
      <c r="CGS44"/>
      <c r="CGT44"/>
      <c r="CGU44"/>
      <c r="CGV44"/>
      <c r="CGW44"/>
      <c r="CGX44"/>
      <c r="CGY44"/>
      <c r="CGZ44"/>
      <c r="CHA44"/>
      <c r="CHB44"/>
      <c r="CHC44"/>
      <c r="CHD44"/>
      <c r="CHE44"/>
      <c r="CHF44"/>
      <c r="CHG44"/>
      <c r="CHH44"/>
      <c r="CHI44"/>
      <c r="CHJ44"/>
      <c r="CHK44"/>
      <c r="CHL44"/>
      <c r="CHM44"/>
      <c r="CHN44"/>
      <c r="CHO44"/>
      <c r="CHP44"/>
      <c r="CHQ44"/>
      <c r="CHR44"/>
      <c r="CHS44"/>
      <c r="CHT44"/>
      <c r="CHU44"/>
      <c r="CHV44"/>
      <c r="CHW44"/>
      <c r="CHX44"/>
      <c r="CHY44"/>
      <c r="CHZ44"/>
      <c r="CIA44"/>
      <c r="CIB44"/>
      <c r="CIC44"/>
      <c r="CID44"/>
      <c r="CIE44"/>
      <c r="CIF44"/>
      <c r="CIG44"/>
      <c r="CIH44"/>
      <c r="CII44"/>
      <c r="CIJ44"/>
      <c r="CIK44"/>
      <c r="CIL44"/>
      <c r="CIM44"/>
      <c r="CIN44"/>
      <c r="CIO44"/>
      <c r="CIP44"/>
      <c r="CIQ44"/>
      <c r="CIR44"/>
      <c r="CIS44"/>
      <c r="CIT44"/>
      <c r="CIU44"/>
      <c r="CIV44"/>
      <c r="CIW44"/>
      <c r="CIX44"/>
      <c r="CIY44"/>
      <c r="CIZ44"/>
      <c r="CJA44"/>
      <c r="CJB44"/>
      <c r="CJC44"/>
      <c r="CJD44"/>
      <c r="CJE44"/>
      <c r="CJF44"/>
      <c r="CJG44"/>
      <c r="CJH44"/>
      <c r="CJI44"/>
      <c r="CJJ44"/>
      <c r="CJK44"/>
      <c r="CJL44"/>
      <c r="CJM44"/>
      <c r="CJN44"/>
      <c r="CJO44"/>
      <c r="CJP44"/>
      <c r="CJQ44"/>
      <c r="CJR44"/>
      <c r="CJS44"/>
      <c r="CJT44"/>
      <c r="CJU44"/>
      <c r="CJV44"/>
      <c r="CJW44"/>
      <c r="CJX44"/>
      <c r="CJY44"/>
      <c r="CJZ44"/>
      <c r="CKA44"/>
      <c r="CKB44"/>
      <c r="CKC44"/>
      <c r="CKD44"/>
      <c r="CKE44"/>
      <c r="CKF44"/>
      <c r="CKG44"/>
      <c r="CKH44"/>
      <c r="CKI44"/>
      <c r="CKJ44"/>
      <c r="CKK44"/>
      <c r="CKL44"/>
      <c r="CKM44"/>
      <c r="CKN44"/>
      <c r="CKO44"/>
      <c r="CKP44"/>
      <c r="CKQ44"/>
      <c r="CKR44"/>
      <c r="CKS44"/>
      <c r="CKT44"/>
      <c r="CKU44"/>
      <c r="CKV44"/>
      <c r="CKW44"/>
      <c r="CKX44"/>
      <c r="CKY44"/>
      <c r="CKZ44"/>
      <c r="CLA44"/>
      <c r="CLB44"/>
      <c r="CLC44"/>
      <c r="CLD44"/>
      <c r="CLE44"/>
      <c r="CLF44"/>
      <c r="CLG44"/>
      <c r="CLH44"/>
      <c r="CLI44"/>
      <c r="CLJ44"/>
      <c r="CLK44"/>
      <c r="CLL44"/>
      <c r="CLM44"/>
      <c r="CLN44"/>
      <c r="CLO44"/>
      <c r="CLP44"/>
      <c r="CLQ44"/>
      <c r="CLR44"/>
      <c r="CLS44"/>
      <c r="CLT44"/>
      <c r="CLU44"/>
      <c r="CLV44"/>
      <c r="CLW44"/>
      <c r="CLX44"/>
      <c r="CLY44"/>
      <c r="CLZ44"/>
      <c r="CMA44"/>
      <c r="CMB44"/>
      <c r="CMC44"/>
      <c r="CMD44"/>
      <c r="CME44"/>
      <c r="CMF44"/>
      <c r="CMG44"/>
      <c r="CMH44"/>
      <c r="CMI44"/>
      <c r="CMJ44"/>
      <c r="CMK44"/>
      <c r="CML44"/>
      <c r="CMM44"/>
      <c r="CMN44"/>
      <c r="CMO44"/>
      <c r="CMP44"/>
      <c r="CMQ44"/>
      <c r="CMR44"/>
      <c r="CMS44"/>
      <c r="CMT44"/>
      <c r="CMU44"/>
      <c r="CMV44"/>
      <c r="CMW44"/>
      <c r="CMX44"/>
      <c r="CMY44"/>
      <c r="CMZ44"/>
      <c r="CNA44"/>
      <c r="CNB44"/>
      <c r="CNC44"/>
      <c r="CND44"/>
      <c r="CNE44"/>
      <c r="CNF44"/>
      <c r="CNG44"/>
      <c r="CNH44"/>
      <c r="CNI44"/>
      <c r="CNJ44"/>
      <c r="CNK44"/>
      <c r="CNL44"/>
      <c r="CNM44"/>
      <c r="CNN44"/>
      <c r="CNO44"/>
      <c r="CNP44"/>
      <c r="CNQ44"/>
      <c r="CNR44"/>
      <c r="CNS44"/>
      <c r="CNT44"/>
      <c r="CNU44"/>
      <c r="CNV44"/>
      <c r="CNW44"/>
      <c r="CNX44"/>
      <c r="CNY44"/>
      <c r="CNZ44"/>
      <c r="COA44"/>
      <c r="COB44"/>
      <c r="COC44"/>
      <c r="COD44"/>
      <c r="COE44"/>
      <c r="COF44"/>
      <c r="COG44"/>
      <c r="COH44"/>
      <c r="COI44"/>
      <c r="COJ44"/>
      <c r="COK44"/>
      <c r="COL44"/>
      <c r="COM44"/>
      <c r="CON44"/>
      <c r="COO44"/>
      <c r="COP44"/>
      <c r="COQ44"/>
      <c r="COR44"/>
      <c r="COS44"/>
      <c r="COT44"/>
      <c r="COU44"/>
      <c r="COV44"/>
      <c r="COW44"/>
      <c r="COX44"/>
      <c r="COY44"/>
      <c r="COZ44"/>
      <c r="CPA44"/>
      <c r="CPB44"/>
      <c r="CPC44"/>
      <c r="CPD44"/>
      <c r="CPE44"/>
      <c r="CPF44"/>
      <c r="CPG44"/>
      <c r="CPH44"/>
      <c r="CPI44"/>
      <c r="CPJ44"/>
      <c r="CPK44"/>
      <c r="CPL44"/>
      <c r="CPM44"/>
      <c r="CPN44"/>
      <c r="CPO44"/>
      <c r="CPP44"/>
      <c r="CPQ44"/>
      <c r="CPR44"/>
      <c r="CPS44"/>
      <c r="CPT44"/>
      <c r="CPU44"/>
      <c r="CPV44"/>
      <c r="CPW44"/>
      <c r="CPX44"/>
      <c r="CPY44"/>
      <c r="CPZ44"/>
      <c r="CQA44"/>
      <c r="CQB44"/>
      <c r="CQC44"/>
      <c r="CQD44"/>
      <c r="CQE44"/>
      <c r="CQF44"/>
      <c r="CQG44"/>
      <c r="CQH44"/>
      <c r="CQI44"/>
      <c r="CQJ44"/>
      <c r="CQK44"/>
      <c r="CQL44"/>
      <c r="CQM44"/>
      <c r="CQN44"/>
      <c r="CQO44"/>
      <c r="CQP44"/>
      <c r="CQQ44"/>
      <c r="CQR44"/>
      <c r="CQS44"/>
      <c r="CQT44"/>
      <c r="CQU44"/>
      <c r="CQV44"/>
      <c r="CQW44"/>
      <c r="CQX44"/>
      <c r="CQY44"/>
      <c r="CQZ44"/>
      <c r="CRA44"/>
      <c r="CRB44"/>
      <c r="CRC44"/>
      <c r="CRD44"/>
      <c r="CRE44"/>
      <c r="CRF44"/>
      <c r="CRG44"/>
      <c r="CRH44"/>
      <c r="CRI44"/>
      <c r="CRJ44"/>
      <c r="CRK44"/>
      <c r="CRL44"/>
      <c r="CRM44"/>
      <c r="CRN44"/>
      <c r="CRO44"/>
      <c r="CRP44"/>
      <c r="CRQ44"/>
      <c r="CRR44"/>
      <c r="CRS44"/>
      <c r="CRT44"/>
      <c r="CRU44"/>
      <c r="CRV44"/>
      <c r="CRW44"/>
      <c r="CRX44"/>
      <c r="CRY44"/>
      <c r="CRZ44"/>
      <c r="CSA44"/>
      <c r="CSB44"/>
      <c r="CSC44"/>
      <c r="CSD44"/>
      <c r="CSE44"/>
      <c r="CSF44"/>
      <c r="CSG44"/>
      <c r="CSH44"/>
      <c r="CSI44"/>
      <c r="CSJ44"/>
      <c r="CSK44"/>
      <c r="CSL44"/>
      <c r="CSM44"/>
      <c r="CSN44"/>
      <c r="CSO44"/>
      <c r="CSP44"/>
      <c r="CSQ44"/>
      <c r="CSR44"/>
      <c r="CSS44"/>
      <c r="CST44"/>
      <c r="CSU44"/>
      <c r="CSV44"/>
      <c r="CSW44"/>
      <c r="CSX44"/>
      <c r="CSY44"/>
      <c r="CSZ44"/>
      <c r="CTA44"/>
      <c r="CTB44"/>
      <c r="CTC44"/>
      <c r="CTD44"/>
      <c r="CTE44"/>
      <c r="CTF44"/>
      <c r="CTG44"/>
      <c r="CTH44"/>
      <c r="CTI44"/>
      <c r="CTJ44"/>
      <c r="CTK44"/>
      <c r="CTL44"/>
      <c r="CTM44"/>
      <c r="CTN44"/>
      <c r="CTO44"/>
      <c r="CTP44"/>
      <c r="CTQ44"/>
      <c r="CTR44"/>
      <c r="CTS44"/>
      <c r="CTT44"/>
      <c r="CTU44"/>
      <c r="CTV44"/>
      <c r="CTW44"/>
      <c r="CTX44"/>
      <c r="CTY44"/>
      <c r="CTZ44"/>
      <c r="CUA44"/>
      <c r="CUB44"/>
      <c r="CUC44"/>
      <c r="CUD44"/>
      <c r="CUE44"/>
      <c r="CUF44"/>
      <c r="CUG44"/>
      <c r="CUH44"/>
      <c r="CUI44"/>
      <c r="CUJ44"/>
      <c r="CUK44"/>
      <c r="CUL44"/>
      <c r="CUM44"/>
      <c r="CUN44"/>
      <c r="CUO44"/>
      <c r="CUP44"/>
      <c r="CUQ44"/>
      <c r="CUR44"/>
      <c r="CUS44"/>
      <c r="CUT44"/>
      <c r="CUU44"/>
      <c r="CUV44"/>
      <c r="CUW44"/>
      <c r="CUX44"/>
      <c r="CUY44"/>
      <c r="CUZ44"/>
      <c r="CVA44"/>
      <c r="CVB44"/>
      <c r="CVC44"/>
      <c r="CVD44"/>
      <c r="CVE44"/>
      <c r="CVF44"/>
      <c r="CVG44"/>
      <c r="CVH44"/>
      <c r="CVI44"/>
      <c r="CVJ44"/>
      <c r="CVK44"/>
      <c r="CVL44"/>
      <c r="CVM44"/>
      <c r="CVN44"/>
      <c r="CVO44"/>
      <c r="CVP44"/>
      <c r="CVQ44"/>
      <c r="CVR44"/>
      <c r="CVS44"/>
      <c r="CVT44"/>
      <c r="CVU44"/>
      <c r="CVV44"/>
      <c r="CVW44"/>
      <c r="CVX44"/>
      <c r="CVY44"/>
      <c r="CVZ44"/>
      <c r="CWA44"/>
      <c r="CWB44"/>
      <c r="CWC44"/>
      <c r="CWD44"/>
      <c r="CWE44"/>
      <c r="CWF44"/>
      <c r="CWG44"/>
      <c r="CWH44"/>
      <c r="CWI44"/>
      <c r="CWJ44"/>
      <c r="CWK44"/>
      <c r="CWL44"/>
      <c r="CWM44"/>
      <c r="CWN44"/>
      <c r="CWO44"/>
      <c r="CWP44"/>
      <c r="CWQ44"/>
      <c r="CWR44"/>
      <c r="CWS44"/>
      <c r="CWT44"/>
      <c r="CWU44"/>
      <c r="CWV44"/>
      <c r="CWW44"/>
      <c r="CWX44"/>
      <c r="CWY44"/>
      <c r="CWZ44"/>
      <c r="CXA44"/>
      <c r="CXB44"/>
      <c r="CXC44"/>
      <c r="CXD44"/>
      <c r="CXE44"/>
      <c r="CXF44"/>
      <c r="CXG44"/>
      <c r="CXH44"/>
      <c r="CXI44"/>
      <c r="CXJ44"/>
      <c r="CXK44"/>
      <c r="CXL44"/>
      <c r="CXM44"/>
      <c r="CXN44"/>
      <c r="CXO44"/>
      <c r="CXP44"/>
      <c r="CXQ44"/>
      <c r="CXR44"/>
      <c r="CXS44"/>
      <c r="CXT44"/>
      <c r="CXU44"/>
      <c r="CXV44"/>
      <c r="CXW44"/>
      <c r="CXX44"/>
      <c r="CXY44"/>
      <c r="CXZ44"/>
      <c r="CYA44"/>
      <c r="CYB44"/>
      <c r="CYC44"/>
      <c r="CYD44"/>
      <c r="CYE44"/>
      <c r="CYF44"/>
      <c r="CYG44"/>
      <c r="CYH44"/>
      <c r="CYI44"/>
      <c r="CYJ44"/>
      <c r="CYK44"/>
      <c r="CYL44"/>
      <c r="CYM44"/>
      <c r="CYN44"/>
      <c r="CYO44"/>
      <c r="CYP44"/>
      <c r="CYQ44"/>
      <c r="CYR44"/>
      <c r="CYS44"/>
      <c r="CYT44"/>
      <c r="CYU44"/>
      <c r="CYV44"/>
      <c r="CYW44"/>
      <c r="CYX44"/>
      <c r="CYY44"/>
      <c r="CYZ44"/>
      <c r="CZA44"/>
      <c r="CZB44"/>
      <c r="CZC44"/>
      <c r="CZD44"/>
      <c r="CZE44"/>
      <c r="CZF44"/>
      <c r="CZG44"/>
      <c r="CZH44"/>
      <c r="CZI44"/>
      <c r="CZJ44"/>
      <c r="CZK44"/>
      <c r="CZL44"/>
      <c r="CZM44"/>
      <c r="CZN44"/>
      <c r="CZO44"/>
      <c r="CZP44"/>
      <c r="CZQ44"/>
      <c r="CZR44"/>
      <c r="CZS44"/>
      <c r="CZT44"/>
      <c r="CZU44"/>
      <c r="CZV44"/>
      <c r="CZW44"/>
      <c r="CZX44"/>
      <c r="CZY44"/>
      <c r="CZZ44"/>
      <c r="DAA44"/>
      <c r="DAB44"/>
      <c r="DAC44"/>
      <c r="DAD44"/>
      <c r="DAE44"/>
      <c r="DAF44"/>
      <c r="DAG44"/>
      <c r="DAH44"/>
      <c r="DAI44"/>
      <c r="DAJ44"/>
      <c r="DAK44"/>
      <c r="DAL44"/>
      <c r="DAM44"/>
      <c r="DAN44"/>
      <c r="DAO44"/>
      <c r="DAP44"/>
      <c r="DAQ44"/>
      <c r="DAR44"/>
      <c r="DAS44"/>
      <c r="DAT44"/>
      <c r="DAU44"/>
      <c r="DAV44"/>
      <c r="DAW44"/>
      <c r="DAX44"/>
      <c r="DAY44"/>
      <c r="DAZ44"/>
      <c r="DBA44"/>
      <c r="DBB44"/>
      <c r="DBC44"/>
      <c r="DBD44"/>
      <c r="DBE44"/>
      <c r="DBF44"/>
      <c r="DBG44"/>
      <c r="DBH44"/>
      <c r="DBI44"/>
      <c r="DBJ44"/>
      <c r="DBK44"/>
      <c r="DBL44"/>
      <c r="DBM44"/>
      <c r="DBN44"/>
      <c r="DBO44"/>
      <c r="DBP44"/>
      <c r="DBQ44"/>
      <c r="DBR44"/>
      <c r="DBS44"/>
      <c r="DBT44"/>
      <c r="DBU44"/>
      <c r="DBV44"/>
      <c r="DBW44"/>
      <c r="DBX44"/>
      <c r="DBY44"/>
      <c r="DBZ44"/>
      <c r="DCA44"/>
      <c r="DCB44"/>
      <c r="DCC44"/>
      <c r="DCD44"/>
      <c r="DCE44"/>
      <c r="DCF44"/>
      <c r="DCG44"/>
      <c r="DCH44"/>
      <c r="DCI44"/>
      <c r="DCJ44"/>
      <c r="DCK44"/>
      <c r="DCL44"/>
      <c r="DCM44"/>
      <c r="DCN44"/>
      <c r="DCO44"/>
      <c r="DCP44"/>
      <c r="DCQ44"/>
      <c r="DCR44"/>
      <c r="DCS44"/>
      <c r="DCT44"/>
      <c r="DCU44"/>
      <c r="DCV44"/>
      <c r="DCW44"/>
      <c r="DCX44"/>
      <c r="DCY44"/>
      <c r="DCZ44"/>
      <c r="DDA44"/>
      <c r="DDB44"/>
      <c r="DDC44"/>
      <c r="DDD44"/>
      <c r="DDE44"/>
      <c r="DDF44"/>
      <c r="DDG44"/>
      <c r="DDH44"/>
      <c r="DDI44"/>
      <c r="DDJ44"/>
      <c r="DDK44"/>
      <c r="DDL44"/>
      <c r="DDM44"/>
      <c r="DDN44"/>
      <c r="DDO44"/>
      <c r="DDP44"/>
      <c r="DDQ44"/>
      <c r="DDR44"/>
      <c r="DDS44"/>
      <c r="DDT44"/>
      <c r="DDU44"/>
      <c r="DDV44"/>
      <c r="DDW44"/>
      <c r="DDX44"/>
      <c r="DDY44"/>
      <c r="DDZ44"/>
      <c r="DEA44"/>
      <c r="DEB44"/>
      <c r="DEC44"/>
      <c r="DED44"/>
      <c r="DEE44"/>
      <c r="DEF44"/>
      <c r="DEG44"/>
      <c r="DEH44"/>
      <c r="DEI44"/>
      <c r="DEJ44"/>
      <c r="DEK44"/>
      <c r="DEL44"/>
      <c r="DEM44"/>
      <c r="DEN44"/>
      <c r="DEO44"/>
      <c r="DEP44"/>
      <c r="DEQ44"/>
      <c r="DER44"/>
      <c r="DES44"/>
      <c r="DET44"/>
      <c r="DEU44"/>
      <c r="DEV44"/>
      <c r="DEW44"/>
      <c r="DEX44"/>
      <c r="DEY44"/>
      <c r="DEZ44"/>
      <c r="DFA44"/>
      <c r="DFB44"/>
      <c r="DFC44"/>
      <c r="DFD44"/>
      <c r="DFE44"/>
      <c r="DFF44"/>
      <c r="DFG44"/>
      <c r="DFH44"/>
      <c r="DFI44"/>
      <c r="DFJ44"/>
      <c r="DFK44"/>
      <c r="DFL44"/>
      <c r="DFM44"/>
      <c r="DFN44"/>
      <c r="DFO44"/>
      <c r="DFP44"/>
      <c r="DFQ44"/>
      <c r="DFR44"/>
      <c r="DFS44"/>
      <c r="DFT44"/>
      <c r="DFU44"/>
      <c r="DFV44"/>
      <c r="DFW44"/>
      <c r="DFX44"/>
      <c r="DFY44"/>
      <c r="DFZ44"/>
      <c r="DGA44"/>
      <c r="DGB44"/>
      <c r="DGC44"/>
      <c r="DGD44"/>
      <c r="DGE44"/>
      <c r="DGF44"/>
      <c r="DGG44"/>
      <c r="DGH44"/>
      <c r="DGI44"/>
      <c r="DGJ44"/>
      <c r="DGK44"/>
      <c r="DGL44"/>
      <c r="DGM44"/>
      <c r="DGN44"/>
      <c r="DGO44"/>
      <c r="DGP44"/>
      <c r="DGQ44"/>
      <c r="DGR44"/>
      <c r="DGS44"/>
      <c r="DGT44"/>
      <c r="DGU44"/>
      <c r="DGV44"/>
      <c r="DGW44"/>
      <c r="DGX44"/>
      <c r="DGY44"/>
      <c r="DGZ44"/>
      <c r="DHA44"/>
      <c r="DHB44"/>
      <c r="DHC44"/>
      <c r="DHD44"/>
      <c r="DHE44"/>
      <c r="DHF44"/>
      <c r="DHG44"/>
      <c r="DHH44"/>
      <c r="DHI44"/>
      <c r="DHJ44"/>
      <c r="DHK44"/>
      <c r="DHL44"/>
      <c r="DHM44"/>
      <c r="DHN44"/>
      <c r="DHO44"/>
      <c r="DHP44"/>
      <c r="DHQ44"/>
      <c r="DHR44"/>
      <c r="DHS44"/>
      <c r="DHT44"/>
      <c r="DHU44"/>
      <c r="DHV44"/>
      <c r="DHW44"/>
      <c r="DHX44"/>
      <c r="DHY44"/>
      <c r="DHZ44"/>
      <c r="DIA44"/>
      <c r="DIB44"/>
      <c r="DIC44"/>
      <c r="DID44"/>
      <c r="DIE44"/>
      <c r="DIF44"/>
      <c r="DIG44"/>
      <c r="DIH44"/>
      <c r="DII44"/>
      <c r="DIJ44"/>
      <c r="DIK44"/>
      <c r="DIL44"/>
      <c r="DIM44"/>
      <c r="DIN44"/>
      <c r="DIO44"/>
      <c r="DIP44"/>
      <c r="DIQ44"/>
      <c r="DIR44"/>
      <c r="DIS44"/>
      <c r="DIT44"/>
      <c r="DIU44"/>
      <c r="DIV44"/>
      <c r="DIW44"/>
      <c r="DIX44"/>
      <c r="DIY44"/>
      <c r="DIZ44"/>
      <c r="DJA44"/>
      <c r="DJB44"/>
      <c r="DJC44"/>
      <c r="DJD44"/>
      <c r="DJE44"/>
      <c r="DJF44"/>
      <c r="DJG44"/>
      <c r="DJH44"/>
      <c r="DJI44"/>
      <c r="DJJ44"/>
      <c r="DJK44"/>
      <c r="DJL44"/>
      <c r="DJM44"/>
      <c r="DJN44"/>
      <c r="DJO44"/>
      <c r="DJP44"/>
      <c r="DJQ44"/>
      <c r="DJR44"/>
      <c r="DJS44"/>
      <c r="DJT44"/>
      <c r="DJU44"/>
      <c r="DJV44"/>
      <c r="DJW44"/>
      <c r="DJX44"/>
      <c r="DJY44"/>
      <c r="DJZ44"/>
      <c r="DKA44"/>
      <c r="DKB44"/>
      <c r="DKC44"/>
      <c r="DKD44"/>
      <c r="DKE44"/>
      <c r="DKF44"/>
      <c r="DKG44"/>
      <c r="DKH44"/>
      <c r="DKI44"/>
      <c r="DKJ44"/>
      <c r="DKK44"/>
      <c r="DKL44"/>
      <c r="DKM44"/>
      <c r="DKN44"/>
      <c r="DKO44"/>
      <c r="DKP44"/>
      <c r="DKQ44"/>
      <c r="DKR44"/>
      <c r="DKS44"/>
      <c r="DKT44"/>
      <c r="DKU44"/>
      <c r="DKV44"/>
      <c r="DKW44"/>
      <c r="DKX44"/>
      <c r="DKY44"/>
      <c r="DKZ44"/>
      <c r="DLA44"/>
      <c r="DLB44"/>
      <c r="DLC44"/>
      <c r="DLD44"/>
      <c r="DLE44"/>
      <c r="DLF44"/>
      <c r="DLG44"/>
      <c r="DLH44"/>
      <c r="DLI44"/>
      <c r="DLJ44"/>
      <c r="DLK44"/>
      <c r="DLL44"/>
      <c r="DLM44"/>
      <c r="DLN44"/>
      <c r="DLO44"/>
      <c r="DLP44"/>
      <c r="DLQ44"/>
      <c r="DLR44"/>
      <c r="DLS44"/>
      <c r="DLT44"/>
      <c r="DLU44"/>
      <c r="DLV44"/>
      <c r="DLW44"/>
      <c r="DLX44"/>
      <c r="DLY44"/>
      <c r="DLZ44"/>
      <c r="DMA44"/>
      <c r="DMB44"/>
      <c r="DMC44"/>
      <c r="DMD44"/>
      <c r="DME44"/>
      <c r="DMF44"/>
      <c r="DMG44"/>
      <c r="DMH44"/>
      <c r="DMI44"/>
      <c r="DMJ44"/>
      <c r="DMK44"/>
      <c r="DML44"/>
      <c r="DMM44"/>
      <c r="DMN44"/>
      <c r="DMO44"/>
      <c r="DMP44"/>
      <c r="DMQ44"/>
      <c r="DMR44"/>
      <c r="DMS44"/>
      <c r="DMT44"/>
      <c r="DMU44"/>
      <c r="DMV44"/>
      <c r="DMW44"/>
      <c r="DMX44"/>
      <c r="DMY44"/>
      <c r="DMZ44"/>
      <c r="DNA44"/>
      <c r="DNB44"/>
      <c r="DNC44"/>
      <c r="DND44"/>
      <c r="DNE44"/>
      <c r="DNF44"/>
      <c r="DNG44"/>
      <c r="DNH44"/>
      <c r="DNI44"/>
      <c r="DNJ44"/>
      <c r="DNK44"/>
      <c r="DNL44"/>
      <c r="DNM44"/>
      <c r="DNN44"/>
      <c r="DNO44"/>
      <c r="DNP44"/>
      <c r="DNQ44"/>
      <c r="DNR44"/>
      <c r="DNS44"/>
      <c r="DNT44"/>
      <c r="DNU44"/>
      <c r="DNV44"/>
      <c r="DNW44"/>
      <c r="DNX44"/>
      <c r="DNY44"/>
      <c r="DNZ44"/>
      <c r="DOA44"/>
      <c r="DOB44"/>
      <c r="DOC44"/>
      <c r="DOD44"/>
      <c r="DOE44"/>
      <c r="DOF44"/>
      <c r="DOG44"/>
      <c r="DOH44"/>
      <c r="DOI44"/>
      <c r="DOJ44"/>
      <c r="DOK44"/>
      <c r="DOL44"/>
      <c r="DOM44"/>
      <c r="DON44"/>
      <c r="DOO44"/>
      <c r="DOP44"/>
      <c r="DOQ44"/>
      <c r="DOR44"/>
      <c r="DOS44"/>
      <c r="DOT44"/>
      <c r="DOU44"/>
      <c r="DOV44"/>
      <c r="DOW44"/>
      <c r="DOX44"/>
      <c r="DOY44"/>
      <c r="DOZ44"/>
      <c r="DPA44"/>
      <c r="DPB44"/>
      <c r="DPC44"/>
      <c r="DPD44"/>
      <c r="DPE44"/>
      <c r="DPF44"/>
      <c r="DPG44"/>
      <c r="DPH44"/>
      <c r="DPI44"/>
      <c r="DPJ44"/>
      <c r="DPK44"/>
      <c r="DPL44"/>
      <c r="DPM44"/>
      <c r="DPN44"/>
      <c r="DPO44"/>
      <c r="DPP44"/>
      <c r="DPQ44"/>
      <c r="DPR44"/>
      <c r="DPS44"/>
      <c r="DPT44"/>
      <c r="DPU44"/>
      <c r="DPV44"/>
      <c r="DPW44"/>
      <c r="DPX44"/>
      <c r="DPY44"/>
      <c r="DPZ44"/>
      <c r="DQA44"/>
      <c r="DQB44"/>
      <c r="DQC44"/>
      <c r="DQD44"/>
      <c r="DQE44"/>
      <c r="DQF44"/>
      <c r="DQG44"/>
      <c r="DQH44"/>
      <c r="DQI44"/>
      <c r="DQJ44"/>
      <c r="DQK44"/>
      <c r="DQL44"/>
      <c r="DQM44"/>
      <c r="DQN44"/>
      <c r="DQO44"/>
      <c r="DQP44"/>
      <c r="DQQ44"/>
      <c r="DQR44"/>
      <c r="DQS44"/>
      <c r="DQT44"/>
      <c r="DQU44"/>
      <c r="DQV44"/>
      <c r="DQW44"/>
      <c r="DQX44"/>
      <c r="DQY44"/>
      <c r="DQZ44"/>
      <c r="DRA44"/>
      <c r="DRB44"/>
      <c r="DRC44"/>
      <c r="DRD44"/>
      <c r="DRE44"/>
      <c r="DRF44"/>
      <c r="DRG44"/>
      <c r="DRH44"/>
      <c r="DRI44"/>
      <c r="DRJ44"/>
      <c r="DRK44"/>
      <c r="DRL44"/>
      <c r="DRM44"/>
      <c r="DRN44"/>
      <c r="DRO44"/>
      <c r="DRP44"/>
      <c r="DRQ44"/>
      <c r="DRR44"/>
      <c r="DRS44"/>
      <c r="DRT44"/>
      <c r="DRU44"/>
      <c r="DRV44"/>
      <c r="DRW44"/>
      <c r="DRX44"/>
      <c r="DRY44"/>
      <c r="DRZ44"/>
      <c r="DSA44"/>
      <c r="DSB44"/>
      <c r="DSC44"/>
      <c r="DSD44"/>
      <c r="DSE44"/>
      <c r="DSF44"/>
      <c r="DSG44"/>
      <c r="DSH44"/>
      <c r="DSI44"/>
      <c r="DSJ44"/>
      <c r="DSK44"/>
      <c r="DSL44"/>
      <c r="DSM44"/>
      <c r="DSN44"/>
      <c r="DSO44"/>
      <c r="DSP44"/>
      <c r="DSQ44"/>
      <c r="DSR44"/>
      <c r="DSS44"/>
      <c r="DST44"/>
      <c r="DSU44"/>
      <c r="DSV44"/>
      <c r="DSW44"/>
      <c r="DSX44"/>
      <c r="DSY44"/>
      <c r="DSZ44"/>
      <c r="DTA44"/>
      <c r="DTB44"/>
      <c r="DTC44"/>
      <c r="DTD44"/>
      <c r="DTE44"/>
      <c r="DTF44"/>
      <c r="DTG44"/>
      <c r="DTH44"/>
      <c r="DTI44"/>
      <c r="DTJ44"/>
      <c r="DTK44"/>
      <c r="DTL44"/>
      <c r="DTM44"/>
      <c r="DTN44"/>
      <c r="DTO44"/>
      <c r="DTP44"/>
      <c r="DTQ44"/>
      <c r="DTR44"/>
      <c r="DTS44"/>
      <c r="DTT44"/>
      <c r="DTU44"/>
      <c r="DTV44"/>
      <c r="DTW44"/>
      <c r="DTX44"/>
      <c r="DTY44"/>
      <c r="DTZ44"/>
      <c r="DUA44"/>
      <c r="DUB44"/>
      <c r="DUC44"/>
      <c r="DUD44"/>
      <c r="DUE44"/>
      <c r="DUF44"/>
      <c r="DUG44"/>
      <c r="DUH44"/>
      <c r="DUI44"/>
      <c r="DUJ44"/>
      <c r="DUK44"/>
      <c r="DUL44"/>
      <c r="DUM44"/>
      <c r="DUN44"/>
      <c r="DUO44"/>
      <c r="DUP44"/>
      <c r="DUQ44"/>
      <c r="DUR44"/>
      <c r="DUS44"/>
      <c r="DUT44"/>
      <c r="DUU44"/>
      <c r="DUV44"/>
      <c r="DUW44"/>
      <c r="DUX44"/>
      <c r="DUY44"/>
      <c r="DUZ44"/>
      <c r="DVA44"/>
      <c r="DVB44"/>
      <c r="DVC44"/>
      <c r="DVD44"/>
      <c r="DVE44"/>
      <c r="DVF44"/>
      <c r="DVG44"/>
      <c r="DVH44"/>
      <c r="DVI44"/>
      <c r="DVJ44"/>
      <c r="DVK44"/>
      <c r="DVL44"/>
      <c r="DVM44"/>
      <c r="DVN44"/>
      <c r="DVO44"/>
      <c r="DVP44"/>
      <c r="DVQ44"/>
      <c r="DVR44"/>
      <c r="DVS44"/>
      <c r="DVT44"/>
      <c r="DVU44"/>
      <c r="DVV44"/>
      <c r="DVW44"/>
      <c r="DVX44"/>
      <c r="DVY44"/>
      <c r="DVZ44"/>
      <c r="DWA44"/>
      <c r="DWB44"/>
      <c r="DWC44"/>
      <c r="DWD44"/>
      <c r="DWE44"/>
      <c r="DWF44"/>
      <c r="DWG44"/>
      <c r="DWH44"/>
      <c r="DWI44"/>
      <c r="DWJ44"/>
      <c r="DWK44"/>
      <c r="DWL44"/>
      <c r="DWM44"/>
      <c r="DWN44"/>
      <c r="DWO44"/>
      <c r="DWP44"/>
      <c r="DWQ44"/>
      <c r="DWR44"/>
      <c r="DWS44"/>
      <c r="DWT44"/>
      <c r="DWU44"/>
      <c r="DWV44"/>
      <c r="DWW44"/>
      <c r="DWX44"/>
      <c r="DWY44"/>
      <c r="DWZ44"/>
      <c r="DXA44"/>
      <c r="DXB44"/>
      <c r="DXC44"/>
      <c r="DXD44"/>
      <c r="DXE44"/>
      <c r="DXF44"/>
      <c r="DXG44"/>
      <c r="DXH44"/>
      <c r="DXI44"/>
      <c r="DXJ44"/>
      <c r="DXK44"/>
      <c r="DXL44"/>
      <c r="DXM44"/>
      <c r="DXN44"/>
      <c r="DXO44"/>
      <c r="DXP44"/>
      <c r="DXQ44"/>
      <c r="DXR44"/>
      <c r="DXS44"/>
      <c r="DXT44"/>
      <c r="DXU44"/>
      <c r="DXV44"/>
      <c r="DXW44"/>
      <c r="DXX44"/>
      <c r="DXY44"/>
      <c r="DXZ44"/>
      <c r="DYA44"/>
      <c r="DYB44"/>
      <c r="DYC44"/>
      <c r="DYD44"/>
      <c r="DYE44"/>
      <c r="DYF44"/>
      <c r="DYG44"/>
      <c r="DYH44"/>
      <c r="DYI44"/>
      <c r="DYJ44"/>
      <c r="DYK44"/>
      <c r="DYL44"/>
      <c r="DYM44"/>
      <c r="DYN44"/>
      <c r="DYO44"/>
      <c r="DYP44"/>
      <c r="DYQ44"/>
      <c r="DYR44"/>
      <c r="DYS44"/>
      <c r="DYT44"/>
      <c r="DYU44"/>
      <c r="DYV44"/>
      <c r="DYW44"/>
      <c r="DYX44"/>
      <c r="DYY44"/>
      <c r="DYZ44"/>
      <c r="DZA44"/>
      <c r="DZB44"/>
      <c r="DZC44"/>
      <c r="DZD44"/>
      <c r="DZE44"/>
      <c r="DZF44"/>
      <c r="DZG44"/>
      <c r="DZH44"/>
      <c r="DZI44"/>
      <c r="DZJ44"/>
      <c r="DZK44"/>
      <c r="DZL44"/>
      <c r="DZM44"/>
      <c r="DZN44"/>
      <c r="DZO44"/>
      <c r="DZP44"/>
      <c r="DZQ44"/>
      <c r="DZR44"/>
      <c r="DZS44"/>
      <c r="DZT44"/>
      <c r="DZU44"/>
      <c r="DZV44"/>
      <c r="DZW44"/>
      <c r="DZX44"/>
      <c r="DZY44"/>
      <c r="DZZ44"/>
      <c r="EAA44"/>
      <c r="EAB44"/>
      <c r="EAC44"/>
      <c r="EAD44"/>
      <c r="EAE44"/>
      <c r="EAF44"/>
      <c r="EAG44"/>
      <c r="EAH44"/>
      <c r="EAI44"/>
      <c r="EAJ44"/>
      <c r="EAK44"/>
      <c r="EAL44"/>
      <c r="EAM44"/>
      <c r="EAN44"/>
      <c r="EAO44"/>
      <c r="EAP44"/>
      <c r="EAQ44"/>
      <c r="EAR44"/>
      <c r="EAS44"/>
      <c r="EAT44"/>
      <c r="EAU44"/>
      <c r="EAV44"/>
      <c r="EAW44"/>
      <c r="EAX44"/>
      <c r="EAY44"/>
      <c r="EAZ44"/>
      <c r="EBA44"/>
      <c r="EBB44"/>
      <c r="EBC44"/>
      <c r="EBD44"/>
      <c r="EBE44"/>
      <c r="EBF44"/>
      <c r="EBG44"/>
      <c r="EBH44"/>
      <c r="EBI44"/>
      <c r="EBJ44"/>
      <c r="EBK44"/>
      <c r="EBL44"/>
      <c r="EBM44"/>
      <c r="EBN44"/>
      <c r="EBO44"/>
      <c r="EBP44"/>
      <c r="EBQ44"/>
      <c r="EBR44"/>
      <c r="EBS44"/>
      <c r="EBT44"/>
      <c r="EBU44"/>
      <c r="EBV44"/>
      <c r="EBW44"/>
      <c r="EBX44"/>
      <c r="EBY44"/>
      <c r="EBZ44"/>
      <c r="ECA44"/>
      <c r="ECB44"/>
      <c r="ECC44"/>
      <c r="ECD44"/>
      <c r="ECE44"/>
      <c r="ECF44"/>
      <c r="ECG44"/>
      <c r="ECH44"/>
      <c r="ECI44"/>
      <c r="ECJ44"/>
      <c r="ECK44"/>
      <c r="ECL44"/>
      <c r="ECM44"/>
      <c r="ECN44"/>
      <c r="ECO44"/>
      <c r="ECP44"/>
      <c r="ECQ44"/>
      <c r="ECR44"/>
      <c r="ECS44"/>
      <c r="ECT44"/>
      <c r="ECU44"/>
      <c r="ECV44"/>
      <c r="ECW44"/>
      <c r="ECX44"/>
      <c r="ECY44"/>
      <c r="ECZ44"/>
      <c r="EDA44"/>
      <c r="EDB44"/>
      <c r="EDC44"/>
      <c r="EDD44"/>
      <c r="EDE44"/>
      <c r="EDF44"/>
      <c r="EDG44"/>
      <c r="EDH44"/>
      <c r="EDI44"/>
      <c r="EDJ44"/>
      <c r="EDK44"/>
      <c r="EDL44"/>
      <c r="EDM44"/>
      <c r="EDN44"/>
      <c r="EDO44"/>
      <c r="EDP44"/>
      <c r="EDQ44"/>
      <c r="EDR44"/>
      <c r="EDS44"/>
      <c r="EDT44"/>
      <c r="EDU44"/>
      <c r="EDV44"/>
      <c r="EDW44"/>
      <c r="EDX44"/>
      <c r="EDY44"/>
      <c r="EDZ44"/>
      <c r="EEA44"/>
      <c r="EEB44"/>
      <c r="EEC44"/>
      <c r="EED44"/>
      <c r="EEE44"/>
      <c r="EEF44"/>
      <c r="EEG44"/>
      <c r="EEH44"/>
      <c r="EEI44"/>
      <c r="EEJ44"/>
      <c r="EEK44"/>
      <c r="EEL44"/>
      <c r="EEM44"/>
      <c r="EEN44"/>
      <c r="EEO44"/>
      <c r="EEP44"/>
      <c r="EEQ44"/>
      <c r="EER44"/>
      <c r="EES44"/>
      <c r="EET44"/>
      <c r="EEU44"/>
      <c r="EEV44"/>
      <c r="EEW44"/>
      <c r="EEX44"/>
      <c r="EEY44"/>
      <c r="EEZ44"/>
      <c r="EFA44"/>
      <c r="EFB44"/>
      <c r="EFC44"/>
      <c r="EFD44"/>
      <c r="EFE44"/>
      <c r="EFF44"/>
      <c r="EFG44"/>
      <c r="EFH44"/>
      <c r="EFI44"/>
      <c r="EFJ44"/>
      <c r="EFK44"/>
      <c r="EFL44"/>
      <c r="EFM44"/>
      <c r="EFN44"/>
      <c r="EFO44"/>
      <c r="EFP44"/>
      <c r="EFQ44"/>
      <c r="EFR44"/>
      <c r="EFS44"/>
      <c r="EFT44"/>
      <c r="EFU44"/>
      <c r="EFV44"/>
      <c r="EFW44"/>
      <c r="EFX44"/>
      <c r="EFY44"/>
      <c r="EFZ44"/>
      <c r="EGA44"/>
      <c r="EGB44"/>
      <c r="EGC44"/>
      <c r="EGD44"/>
      <c r="EGE44"/>
      <c r="EGF44"/>
      <c r="EGG44"/>
      <c r="EGH44"/>
      <c r="EGI44"/>
      <c r="EGJ44"/>
      <c r="EGK44"/>
      <c r="EGL44"/>
      <c r="EGM44"/>
      <c r="EGN44"/>
      <c r="EGO44"/>
      <c r="EGP44"/>
      <c r="EGQ44"/>
      <c r="EGR44"/>
      <c r="EGS44"/>
      <c r="EGT44"/>
      <c r="EGU44"/>
      <c r="EGV44"/>
      <c r="EGW44"/>
      <c r="EGX44"/>
      <c r="EGY44"/>
      <c r="EGZ44"/>
      <c r="EHA44"/>
      <c r="EHB44"/>
      <c r="EHC44"/>
      <c r="EHD44"/>
      <c r="EHE44"/>
      <c r="EHF44"/>
      <c r="EHG44"/>
      <c r="EHH44"/>
      <c r="EHI44"/>
      <c r="EHJ44"/>
      <c r="EHK44"/>
      <c r="EHL44"/>
      <c r="EHM44"/>
      <c r="EHN44"/>
      <c r="EHO44"/>
      <c r="EHP44"/>
      <c r="EHQ44"/>
      <c r="EHR44"/>
      <c r="EHS44"/>
      <c r="EHT44"/>
      <c r="EHU44"/>
      <c r="EHV44"/>
      <c r="EHW44"/>
      <c r="EHX44"/>
      <c r="EHY44"/>
      <c r="EHZ44"/>
      <c r="EIA44"/>
      <c r="EIB44"/>
      <c r="EIC44"/>
      <c r="EID44"/>
      <c r="EIE44"/>
      <c r="EIF44"/>
      <c r="EIG44"/>
      <c r="EIH44"/>
      <c r="EII44"/>
      <c r="EIJ44"/>
      <c r="EIK44"/>
      <c r="EIL44"/>
      <c r="EIM44"/>
      <c r="EIN44"/>
      <c r="EIO44"/>
      <c r="EIP44"/>
      <c r="EIQ44"/>
      <c r="EIR44"/>
      <c r="EIS44"/>
      <c r="EIT44"/>
      <c r="EIU44"/>
      <c r="EIV44"/>
      <c r="EIW44"/>
      <c r="EIX44"/>
      <c r="EIY44"/>
      <c r="EIZ44"/>
      <c r="EJA44"/>
      <c r="EJB44"/>
      <c r="EJC44"/>
      <c r="EJD44"/>
      <c r="EJE44"/>
      <c r="EJF44"/>
      <c r="EJG44"/>
      <c r="EJH44"/>
      <c r="EJI44"/>
      <c r="EJJ44"/>
      <c r="EJK44"/>
      <c r="EJL44"/>
      <c r="EJM44"/>
      <c r="EJN44"/>
      <c r="EJO44"/>
      <c r="EJP44"/>
      <c r="EJQ44"/>
      <c r="EJR44"/>
      <c r="EJS44"/>
      <c r="EJT44"/>
      <c r="EJU44"/>
      <c r="EJV44"/>
      <c r="EJW44"/>
      <c r="EJX44"/>
      <c r="EJY44"/>
      <c r="EJZ44"/>
      <c r="EKA44"/>
      <c r="EKB44"/>
      <c r="EKC44"/>
      <c r="EKD44"/>
      <c r="EKE44"/>
      <c r="EKF44"/>
      <c r="EKG44"/>
      <c r="EKH44"/>
      <c r="EKI44"/>
      <c r="EKJ44"/>
      <c r="EKK44"/>
      <c r="EKL44"/>
      <c r="EKM44"/>
      <c r="EKN44"/>
      <c r="EKO44"/>
      <c r="EKP44"/>
      <c r="EKQ44"/>
      <c r="EKR44"/>
      <c r="EKS44"/>
      <c r="EKT44"/>
      <c r="EKU44"/>
      <c r="EKV44"/>
      <c r="EKW44"/>
      <c r="EKX44"/>
      <c r="EKY44"/>
      <c r="EKZ44"/>
      <c r="ELA44"/>
      <c r="ELB44"/>
      <c r="ELC44"/>
      <c r="ELD44"/>
      <c r="ELE44"/>
      <c r="ELF44"/>
      <c r="ELG44"/>
      <c r="ELH44"/>
      <c r="ELI44"/>
      <c r="ELJ44"/>
      <c r="ELK44"/>
      <c r="ELL44"/>
      <c r="ELM44"/>
      <c r="ELN44"/>
      <c r="ELO44"/>
      <c r="ELP44"/>
      <c r="ELQ44"/>
      <c r="ELR44"/>
      <c r="ELS44"/>
      <c r="ELT44"/>
      <c r="ELU44"/>
      <c r="ELV44"/>
      <c r="ELW44"/>
      <c r="ELX44"/>
      <c r="ELY44"/>
      <c r="ELZ44"/>
      <c r="EMA44"/>
      <c r="EMB44"/>
      <c r="EMC44"/>
      <c r="EMD44"/>
      <c r="EME44"/>
      <c r="EMF44"/>
      <c r="EMG44"/>
      <c r="EMH44"/>
      <c r="EMI44"/>
      <c r="EMJ44"/>
      <c r="EMK44"/>
      <c r="EML44"/>
      <c r="EMM44"/>
      <c r="EMN44"/>
      <c r="EMO44"/>
      <c r="EMP44"/>
      <c r="EMQ44"/>
      <c r="EMR44"/>
      <c r="EMS44"/>
      <c r="EMT44"/>
      <c r="EMU44"/>
      <c r="EMV44"/>
      <c r="EMW44"/>
      <c r="EMX44"/>
      <c r="EMY44"/>
      <c r="EMZ44"/>
      <c r="ENA44"/>
      <c r="ENB44"/>
      <c r="ENC44"/>
      <c r="END44"/>
      <c r="ENE44"/>
      <c r="ENF44"/>
      <c r="ENG44"/>
      <c r="ENH44"/>
      <c r="ENI44"/>
      <c r="ENJ44"/>
      <c r="ENK44"/>
      <c r="ENL44"/>
      <c r="ENM44"/>
      <c r="ENN44"/>
      <c r="ENO44"/>
      <c r="ENP44"/>
      <c r="ENQ44"/>
      <c r="ENR44"/>
      <c r="ENS44"/>
      <c r="ENT44"/>
      <c r="ENU44"/>
      <c r="ENV44"/>
      <c r="ENW44"/>
      <c r="ENX44"/>
      <c r="ENY44"/>
      <c r="ENZ44"/>
      <c r="EOA44"/>
      <c r="EOB44"/>
      <c r="EOC44"/>
      <c r="EOD44"/>
      <c r="EOE44"/>
      <c r="EOF44"/>
      <c r="EOG44"/>
      <c r="EOH44"/>
      <c r="EOI44"/>
      <c r="EOJ44"/>
      <c r="EOK44"/>
      <c r="EOL44"/>
      <c r="EOM44"/>
      <c r="EON44"/>
      <c r="EOO44"/>
      <c r="EOP44"/>
      <c r="EOQ44"/>
      <c r="EOR44"/>
      <c r="EOS44"/>
      <c r="EOT44"/>
      <c r="EOU44"/>
      <c r="EOV44"/>
      <c r="EOW44"/>
      <c r="EOX44"/>
      <c r="EOY44"/>
      <c r="EOZ44"/>
      <c r="EPA44"/>
      <c r="EPB44"/>
      <c r="EPC44"/>
      <c r="EPD44"/>
      <c r="EPE44"/>
      <c r="EPF44"/>
      <c r="EPG44"/>
      <c r="EPH44"/>
      <c r="EPI44"/>
      <c r="EPJ44"/>
      <c r="EPK44"/>
      <c r="EPL44"/>
      <c r="EPM44"/>
      <c r="EPN44"/>
      <c r="EPO44"/>
      <c r="EPP44"/>
      <c r="EPQ44"/>
      <c r="EPR44"/>
      <c r="EPS44"/>
      <c r="EPT44"/>
      <c r="EPU44"/>
      <c r="EPV44"/>
      <c r="EPW44"/>
      <c r="EPX44"/>
      <c r="EPY44"/>
      <c r="EPZ44"/>
      <c r="EQA44"/>
      <c r="EQB44"/>
      <c r="EQC44"/>
      <c r="EQD44"/>
      <c r="EQE44"/>
      <c r="EQF44"/>
      <c r="EQG44"/>
      <c r="EQH44"/>
      <c r="EQI44"/>
      <c r="EQJ44"/>
      <c r="EQK44"/>
      <c r="EQL44"/>
      <c r="EQM44"/>
      <c r="EQN44"/>
      <c r="EQO44"/>
      <c r="EQP44"/>
      <c r="EQQ44"/>
      <c r="EQR44"/>
      <c r="EQS44"/>
      <c r="EQT44"/>
      <c r="EQU44"/>
      <c r="EQV44"/>
      <c r="EQW44"/>
      <c r="EQX44"/>
      <c r="EQY44"/>
      <c r="EQZ44"/>
      <c r="ERA44"/>
      <c r="ERB44"/>
      <c r="ERC44"/>
      <c r="ERD44"/>
      <c r="ERE44"/>
      <c r="ERF44"/>
      <c r="ERG44"/>
      <c r="ERH44"/>
      <c r="ERI44"/>
      <c r="ERJ44"/>
      <c r="ERK44"/>
      <c r="ERL44"/>
      <c r="ERM44"/>
      <c r="ERN44"/>
      <c r="ERO44"/>
      <c r="ERP44"/>
      <c r="ERQ44"/>
      <c r="ERR44"/>
      <c r="ERS44"/>
      <c r="ERT44"/>
      <c r="ERU44"/>
      <c r="ERV44"/>
      <c r="ERW44"/>
      <c r="ERX44"/>
      <c r="ERY44"/>
      <c r="ERZ44"/>
      <c r="ESA44"/>
      <c r="ESB44"/>
      <c r="ESC44"/>
      <c r="ESD44"/>
      <c r="ESE44"/>
      <c r="ESF44"/>
      <c r="ESG44"/>
      <c r="ESH44"/>
      <c r="ESI44"/>
      <c r="ESJ44"/>
      <c r="ESK44"/>
      <c r="ESL44"/>
      <c r="ESM44"/>
      <c r="ESN44"/>
      <c r="ESO44"/>
      <c r="ESP44"/>
      <c r="ESQ44"/>
      <c r="ESR44"/>
      <c r="ESS44"/>
      <c r="EST44"/>
      <c r="ESU44"/>
      <c r="ESV44"/>
      <c r="ESW44"/>
      <c r="ESX44"/>
      <c r="ESY44"/>
      <c r="ESZ44"/>
      <c r="ETA44"/>
      <c r="ETB44"/>
      <c r="ETC44"/>
      <c r="ETD44"/>
      <c r="ETE44"/>
      <c r="ETF44"/>
      <c r="ETG44"/>
      <c r="ETH44"/>
      <c r="ETI44"/>
      <c r="ETJ44"/>
      <c r="ETK44"/>
      <c r="ETL44"/>
      <c r="ETM44"/>
      <c r="ETN44"/>
      <c r="ETO44"/>
      <c r="ETP44"/>
      <c r="ETQ44"/>
      <c r="ETR44"/>
      <c r="ETS44"/>
      <c r="ETT44"/>
      <c r="ETU44"/>
      <c r="ETV44"/>
      <c r="ETW44"/>
      <c r="ETX44"/>
      <c r="ETY44"/>
      <c r="ETZ44"/>
      <c r="EUA44"/>
      <c r="EUB44"/>
      <c r="EUC44"/>
      <c r="EUD44"/>
      <c r="EUE44"/>
      <c r="EUF44"/>
      <c r="EUG44"/>
      <c r="EUH44"/>
      <c r="EUI44"/>
      <c r="EUJ44"/>
      <c r="EUK44"/>
      <c r="EUL44"/>
      <c r="EUM44"/>
      <c r="EUN44"/>
      <c r="EUO44"/>
      <c r="EUP44"/>
      <c r="EUQ44"/>
      <c r="EUR44"/>
      <c r="EUS44"/>
      <c r="EUT44"/>
      <c r="EUU44"/>
      <c r="EUV44"/>
      <c r="EUW44"/>
      <c r="EUX44"/>
      <c r="EUY44"/>
      <c r="EUZ44"/>
      <c r="EVA44"/>
      <c r="EVB44"/>
      <c r="EVC44"/>
      <c r="EVD44"/>
      <c r="EVE44"/>
      <c r="EVF44"/>
      <c r="EVG44"/>
      <c r="EVH44"/>
      <c r="EVI44"/>
      <c r="EVJ44"/>
      <c r="EVK44"/>
      <c r="EVL44"/>
      <c r="EVM44"/>
      <c r="EVN44"/>
      <c r="EVO44"/>
      <c r="EVP44"/>
      <c r="EVQ44"/>
      <c r="EVR44"/>
      <c r="EVS44"/>
      <c r="EVT44"/>
      <c r="EVU44"/>
      <c r="EVV44"/>
      <c r="EVW44"/>
      <c r="EVX44"/>
      <c r="EVY44"/>
      <c r="EVZ44"/>
      <c r="EWA44"/>
      <c r="EWB44"/>
      <c r="EWC44"/>
      <c r="EWD44"/>
      <c r="EWE44"/>
      <c r="EWF44"/>
      <c r="EWG44"/>
      <c r="EWH44"/>
      <c r="EWI44"/>
      <c r="EWJ44"/>
      <c r="EWK44"/>
      <c r="EWL44"/>
      <c r="EWM44"/>
      <c r="EWN44"/>
      <c r="EWO44"/>
      <c r="EWP44"/>
      <c r="EWQ44"/>
      <c r="EWR44"/>
      <c r="EWS44"/>
      <c r="EWT44"/>
      <c r="EWU44"/>
      <c r="EWV44"/>
      <c r="EWW44"/>
      <c r="EWX44"/>
      <c r="EWY44"/>
      <c r="EWZ44"/>
      <c r="EXA44"/>
      <c r="EXB44"/>
      <c r="EXC44"/>
      <c r="EXD44"/>
      <c r="EXE44"/>
      <c r="EXF44"/>
      <c r="EXG44"/>
      <c r="EXH44"/>
      <c r="EXI44"/>
      <c r="EXJ44"/>
      <c r="EXK44"/>
      <c r="EXL44"/>
      <c r="EXM44"/>
      <c r="EXN44"/>
      <c r="EXO44"/>
      <c r="EXP44"/>
      <c r="EXQ44"/>
      <c r="EXR44"/>
      <c r="EXS44"/>
      <c r="EXT44"/>
      <c r="EXU44"/>
      <c r="EXV44"/>
      <c r="EXW44"/>
      <c r="EXX44"/>
      <c r="EXY44"/>
      <c r="EXZ44"/>
      <c r="EYA44"/>
      <c r="EYB44"/>
      <c r="EYC44"/>
      <c r="EYD44"/>
      <c r="EYE44"/>
      <c r="EYF44"/>
      <c r="EYG44"/>
      <c r="EYH44"/>
      <c r="EYI44"/>
      <c r="EYJ44"/>
      <c r="EYK44"/>
      <c r="EYL44"/>
      <c r="EYM44"/>
      <c r="EYN44"/>
      <c r="EYO44"/>
      <c r="EYP44"/>
      <c r="EYQ44"/>
      <c r="EYR44"/>
      <c r="EYS44"/>
      <c r="EYT44"/>
      <c r="EYU44"/>
      <c r="EYV44"/>
      <c r="EYW44"/>
      <c r="EYX44"/>
      <c r="EYY44"/>
      <c r="EYZ44"/>
      <c r="EZA44"/>
      <c r="EZB44"/>
      <c r="EZC44"/>
      <c r="EZD44"/>
      <c r="EZE44"/>
      <c r="EZF44"/>
      <c r="EZG44"/>
      <c r="EZH44"/>
      <c r="EZI44"/>
      <c r="EZJ44"/>
      <c r="EZK44"/>
      <c r="EZL44"/>
      <c r="EZM44"/>
      <c r="EZN44"/>
      <c r="EZO44"/>
      <c r="EZP44"/>
      <c r="EZQ44"/>
      <c r="EZR44"/>
      <c r="EZS44"/>
      <c r="EZT44"/>
      <c r="EZU44"/>
      <c r="EZV44"/>
      <c r="EZW44"/>
      <c r="EZX44"/>
      <c r="EZY44"/>
      <c r="EZZ44"/>
      <c r="FAA44"/>
      <c r="FAB44"/>
      <c r="FAC44"/>
      <c r="FAD44"/>
      <c r="FAE44"/>
      <c r="FAF44"/>
      <c r="FAG44"/>
      <c r="FAH44"/>
      <c r="FAI44"/>
      <c r="FAJ44"/>
      <c r="FAK44"/>
      <c r="FAL44"/>
      <c r="FAM44"/>
      <c r="FAN44"/>
      <c r="FAO44"/>
      <c r="FAP44"/>
      <c r="FAQ44"/>
      <c r="FAR44"/>
      <c r="FAS44"/>
      <c r="FAT44"/>
      <c r="FAU44"/>
      <c r="FAV44"/>
      <c r="FAW44"/>
      <c r="FAX44"/>
      <c r="FAY44"/>
      <c r="FAZ44"/>
      <c r="FBA44"/>
      <c r="FBB44"/>
      <c r="FBC44"/>
      <c r="FBD44"/>
      <c r="FBE44"/>
      <c r="FBF44"/>
      <c r="FBG44"/>
      <c r="FBH44"/>
      <c r="FBI44"/>
      <c r="FBJ44"/>
      <c r="FBK44"/>
      <c r="FBL44"/>
      <c r="FBM44"/>
      <c r="FBN44"/>
      <c r="FBO44"/>
      <c r="FBP44"/>
      <c r="FBQ44"/>
      <c r="FBR44"/>
      <c r="FBS44"/>
      <c r="FBT44"/>
      <c r="FBU44"/>
      <c r="FBV44"/>
      <c r="FBW44"/>
      <c r="FBX44"/>
      <c r="FBY44"/>
      <c r="FBZ44"/>
      <c r="FCA44"/>
      <c r="FCB44"/>
      <c r="FCC44"/>
      <c r="FCD44"/>
      <c r="FCE44"/>
      <c r="FCF44"/>
      <c r="FCG44"/>
      <c r="FCH44"/>
      <c r="FCI44"/>
      <c r="FCJ44"/>
      <c r="FCK44"/>
      <c r="FCL44"/>
      <c r="FCM44"/>
      <c r="FCN44"/>
      <c r="FCO44"/>
      <c r="FCP44"/>
      <c r="FCQ44"/>
      <c r="FCR44"/>
      <c r="FCS44"/>
      <c r="FCT44"/>
      <c r="FCU44"/>
      <c r="FCV44"/>
      <c r="FCW44"/>
      <c r="FCX44"/>
      <c r="FCY44"/>
      <c r="FCZ44"/>
      <c r="FDA44"/>
      <c r="FDB44"/>
      <c r="FDC44"/>
      <c r="FDD44"/>
      <c r="FDE44"/>
      <c r="FDF44"/>
      <c r="FDG44"/>
      <c r="FDH44"/>
      <c r="FDI44"/>
      <c r="FDJ44"/>
      <c r="FDK44"/>
      <c r="FDL44"/>
      <c r="FDM44"/>
      <c r="FDN44"/>
      <c r="FDO44"/>
      <c r="FDP44"/>
      <c r="FDQ44"/>
      <c r="FDR44"/>
      <c r="FDS44"/>
      <c r="FDT44"/>
      <c r="FDU44"/>
      <c r="FDV44"/>
      <c r="FDW44"/>
      <c r="FDX44"/>
      <c r="FDY44"/>
      <c r="FDZ44"/>
      <c r="FEA44"/>
      <c r="FEB44"/>
      <c r="FEC44"/>
      <c r="FED44"/>
      <c r="FEE44"/>
      <c r="FEF44"/>
      <c r="FEG44"/>
      <c r="FEH44"/>
      <c r="FEI44"/>
      <c r="FEJ44"/>
      <c r="FEK44"/>
      <c r="FEL44"/>
      <c r="FEM44"/>
      <c r="FEN44"/>
      <c r="FEO44"/>
      <c r="FEP44"/>
      <c r="FEQ44"/>
      <c r="FER44"/>
      <c r="FES44"/>
      <c r="FET44"/>
      <c r="FEU44"/>
      <c r="FEV44"/>
      <c r="FEW44"/>
      <c r="FEX44"/>
      <c r="FEY44"/>
      <c r="FEZ44"/>
      <c r="FFA44"/>
      <c r="FFB44"/>
      <c r="FFC44"/>
      <c r="FFD44"/>
      <c r="FFE44"/>
      <c r="FFF44"/>
      <c r="FFG44"/>
      <c r="FFH44"/>
      <c r="FFI44"/>
      <c r="FFJ44"/>
      <c r="FFK44"/>
      <c r="FFL44"/>
      <c r="FFM44"/>
      <c r="FFN44"/>
      <c r="FFO44"/>
      <c r="FFP44"/>
      <c r="FFQ44"/>
      <c r="FFR44"/>
      <c r="FFS44"/>
      <c r="FFT44"/>
      <c r="FFU44"/>
      <c r="FFV44"/>
      <c r="FFW44"/>
      <c r="FFX44"/>
      <c r="FFY44"/>
      <c r="FFZ44"/>
      <c r="FGA44"/>
      <c r="FGB44"/>
      <c r="FGC44"/>
      <c r="FGD44"/>
      <c r="FGE44"/>
      <c r="FGF44"/>
      <c r="FGG44"/>
      <c r="FGH44"/>
      <c r="FGI44"/>
      <c r="FGJ44"/>
      <c r="FGK44"/>
      <c r="FGL44"/>
      <c r="FGM44"/>
      <c r="FGN44"/>
      <c r="FGO44"/>
      <c r="FGP44"/>
      <c r="FGQ44"/>
      <c r="FGR44"/>
      <c r="FGS44"/>
      <c r="FGT44"/>
      <c r="FGU44"/>
      <c r="FGV44"/>
      <c r="FGW44"/>
      <c r="FGX44"/>
      <c r="FGY44"/>
      <c r="FGZ44"/>
      <c r="FHA44"/>
      <c r="FHB44"/>
      <c r="FHC44"/>
      <c r="FHD44"/>
      <c r="FHE44"/>
      <c r="FHF44"/>
      <c r="FHG44"/>
      <c r="FHH44"/>
      <c r="FHI44"/>
      <c r="FHJ44"/>
      <c r="FHK44"/>
      <c r="FHL44"/>
      <c r="FHM44"/>
      <c r="FHN44"/>
      <c r="FHO44"/>
      <c r="FHP44"/>
      <c r="FHQ44"/>
      <c r="FHR44"/>
      <c r="FHS44"/>
      <c r="FHT44"/>
      <c r="FHU44"/>
      <c r="FHV44"/>
      <c r="FHW44"/>
      <c r="FHX44"/>
      <c r="FHY44"/>
      <c r="FHZ44"/>
      <c r="FIA44"/>
      <c r="FIB44"/>
      <c r="FIC44"/>
      <c r="FID44"/>
      <c r="FIE44"/>
      <c r="FIF44"/>
      <c r="FIG44"/>
      <c r="FIH44"/>
      <c r="FII44"/>
      <c r="FIJ44"/>
      <c r="FIK44"/>
      <c r="FIL44"/>
      <c r="FIM44"/>
      <c r="FIN44"/>
      <c r="FIO44"/>
      <c r="FIP44"/>
      <c r="FIQ44"/>
      <c r="FIR44"/>
      <c r="FIS44"/>
      <c r="FIT44"/>
      <c r="FIU44"/>
      <c r="FIV44"/>
      <c r="FIW44"/>
      <c r="FIX44"/>
      <c r="FIY44"/>
      <c r="FIZ44"/>
      <c r="FJA44"/>
      <c r="FJB44"/>
      <c r="FJC44"/>
      <c r="FJD44"/>
      <c r="FJE44"/>
      <c r="FJF44"/>
      <c r="FJG44"/>
      <c r="FJH44"/>
      <c r="FJI44"/>
      <c r="FJJ44"/>
      <c r="FJK44"/>
      <c r="FJL44"/>
      <c r="FJM44"/>
      <c r="FJN44"/>
      <c r="FJO44"/>
      <c r="FJP44"/>
      <c r="FJQ44"/>
      <c r="FJR44"/>
      <c r="FJS44"/>
      <c r="FJT44"/>
      <c r="FJU44"/>
      <c r="FJV44"/>
      <c r="FJW44"/>
      <c r="FJX44"/>
      <c r="FJY44"/>
      <c r="FJZ44"/>
      <c r="FKA44"/>
      <c r="FKB44"/>
      <c r="FKC44"/>
      <c r="FKD44"/>
      <c r="FKE44"/>
      <c r="FKF44"/>
      <c r="FKG44"/>
      <c r="FKH44"/>
      <c r="FKI44"/>
      <c r="FKJ44"/>
      <c r="FKK44"/>
      <c r="FKL44"/>
      <c r="FKM44"/>
      <c r="FKN44"/>
      <c r="FKO44"/>
      <c r="FKP44"/>
      <c r="FKQ44"/>
      <c r="FKR44"/>
      <c r="FKS44"/>
      <c r="FKT44"/>
      <c r="FKU44"/>
      <c r="FKV44"/>
      <c r="FKW44"/>
      <c r="FKX44"/>
      <c r="FKY44"/>
      <c r="FKZ44"/>
      <c r="FLA44"/>
      <c r="FLB44"/>
      <c r="FLC44"/>
      <c r="FLD44"/>
      <c r="FLE44"/>
      <c r="FLF44"/>
      <c r="FLG44"/>
      <c r="FLH44"/>
      <c r="FLI44"/>
      <c r="FLJ44"/>
      <c r="FLK44"/>
      <c r="FLL44"/>
      <c r="FLM44"/>
      <c r="FLN44"/>
      <c r="FLO44"/>
      <c r="FLP44"/>
      <c r="FLQ44"/>
      <c r="FLR44"/>
      <c r="FLS44"/>
      <c r="FLT44"/>
      <c r="FLU44"/>
      <c r="FLV44"/>
      <c r="FLW44"/>
      <c r="FLX44"/>
      <c r="FLY44"/>
      <c r="FLZ44"/>
      <c r="FMA44"/>
      <c r="FMB44"/>
      <c r="FMC44"/>
      <c r="FMD44"/>
      <c r="FME44"/>
      <c r="FMF44"/>
      <c r="FMG44"/>
      <c r="FMH44"/>
      <c r="FMI44"/>
      <c r="FMJ44"/>
      <c r="FMK44"/>
      <c r="FML44"/>
      <c r="FMM44"/>
      <c r="FMN44"/>
      <c r="FMO44"/>
      <c r="FMP44"/>
      <c r="FMQ44"/>
      <c r="FMR44"/>
      <c r="FMS44"/>
      <c r="FMT44"/>
      <c r="FMU44"/>
      <c r="FMV44"/>
      <c r="FMW44"/>
      <c r="FMX44"/>
      <c r="FMY44"/>
      <c r="FMZ44"/>
      <c r="FNA44"/>
      <c r="FNB44"/>
      <c r="FNC44"/>
      <c r="FND44"/>
      <c r="FNE44"/>
      <c r="FNF44"/>
      <c r="FNG44"/>
      <c r="FNH44"/>
      <c r="FNI44"/>
      <c r="FNJ44"/>
      <c r="FNK44"/>
      <c r="FNL44"/>
      <c r="FNM44"/>
      <c r="FNN44"/>
      <c r="FNO44"/>
      <c r="FNP44"/>
      <c r="FNQ44"/>
      <c r="FNR44"/>
      <c r="FNS44"/>
      <c r="FNT44"/>
      <c r="FNU44"/>
      <c r="FNV44"/>
      <c r="FNW44"/>
      <c r="FNX44"/>
      <c r="FNY44"/>
      <c r="FNZ44"/>
      <c r="FOA44"/>
      <c r="FOB44"/>
      <c r="FOC44"/>
      <c r="FOD44"/>
      <c r="FOE44"/>
      <c r="FOF44"/>
      <c r="FOG44"/>
      <c r="FOH44"/>
      <c r="FOI44"/>
      <c r="FOJ44"/>
      <c r="FOK44"/>
      <c r="FOL44"/>
      <c r="FOM44"/>
      <c r="FON44"/>
      <c r="FOO44"/>
      <c r="FOP44"/>
      <c r="FOQ44"/>
      <c r="FOR44"/>
      <c r="FOS44"/>
      <c r="FOT44"/>
      <c r="FOU44"/>
      <c r="FOV44"/>
      <c r="FOW44"/>
      <c r="FOX44"/>
      <c r="FOY44"/>
      <c r="FOZ44"/>
      <c r="FPA44"/>
      <c r="FPB44"/>
      <c r="FPC44"/>
      <c r="FPD44"/>
      <c r="FPE44"/>
      <c r="FPF44"/>
      <c r="FPG44"/>
      <c r="FPH44"/>
      <c r="FPI44"/>
      <c r="FPJ44"/>
      <c r="FPK44"/>
      <c r="FPL44"/>
      <c r="FPM44"/>
      <c r="FPN44"/>
      <c r="FPO44"/>
      <c r="FPP44"/>
      <c r="FPQ44"/>
      <c r="FPR44"/>
      <c r="FPS44"/>
      <c r="FPT44"/>
      <c r="FPU44"/>
      <c r="FPV44"/>
      <c r="FPW44"/>
      <c r="FPX44"/>
      <c r="FPY44"/>
      <c r="FPZ44"/>
      <c r="FQA44"/>
      <c r="FQB44"/>
      <c r="FQC44"/>
      <c r="FQD44"/>
      <c r="FQE44"/>
      <c r="FQF44"/>
      <c r="FQG44"/>
      <c r="FQH44"/>
      <c r="FQI44"/>
      <c r="FQJ44"/>
      <c r="FQK44"/>
      <c r="FQL44"/>
      <c r="FQM44"/>
      <c r="FQN44"/>
      <c r="FQO44"/>
      <c r="FQP44"/>
      <c r="FQQ44"/>
      <c r="FQR44"/>
      <c r="FQS44"/>
      <c r="FQT44"/>
      <c r="FQU44"/>
      <c r="FQV44"/>
      <c r="FQW44"/>
      <c r="FQX44"/>
      <c r="FQY44"/>
      <c r="FQZ44"/>
      <c r="FRA44"/>
      <c r="FRB44"/>
      <c r="FRC44"/>
      <c r="FRD44"/>
      <c r="FRE44"/>
      <c r="FRF44"/>
      <c r="FRG44"/>
      <c r="FRH44"/>
      <c r="FRI44"/>
      <c r="FRJ44"/>
      <c r="FRK44"/>
      <c r="FRL44"/>
      <c r="FRM44"/>
      <c r="FRN44"/>
      <c r="FRO44"/>
      <c r="FRP44"/>
      <c r="FRQ44"/>
      <c r="FRR44"/>
      <c r="FRS44"/>
      <c r="FRT44"/>
      <c r="FRU44"/>
      <c r="FRV44"/>
      <c r="FRW44"/>
      <c r="FRX44"/>
      <c r="FRY44"/>
      <c r="FRZ44"/>
      <c r="FSA44"/>
      <c r="FSB44"/>
      <c r="FSC44"/>
      <c r="FSD44"/>
      <c r="FSE44"/>
      <c r="FSF44"/>
      <c r="FSG44"/>
      <c r="FSH44"/>
      <c r="FSI44"/>
      <c r="FSJ44"/>
      <c r="FSK44"/>
      <c r="FSL44"/>
      <c r="FSM44"/>
      <c r="FSN44"/>
      <c r="FSO44"/>
      <c r="FSP44"/>
      <c r="FSQ44"/>
      <c r="FSR44"/>
      <c r="FSS44"/>
      <c r="FST44"/>
      <c r="FSU44"/>
      <c r="FSV44"/>
      <c r="FSW44"/>
      <c r="FSX44"/>
      <c r="FSY44"/>
      <c r="FSZ44"/>
      <c r="FTA44"/>
      <c r="FTB44"/>
      <c r="FTC44"/>
      <c r="FTD44"/>
      <c r="FTE44"/>
      <c r="FTF44"/>
      <c r="FTG44"/>
      <c r="FTH44"/>
      <c r="FTI44"/>
      <c r="FTJ44"/>
      <c r="FTK44"/>
      <c r="FTL44"/>
      <c r="FTM44"/>
      <c r="FTN44"/>
      <c r="FTO44"/>
      <c r="FTP44"/>
      <c r="FTQ44"/>
      <c r="FTR44"/>
      <c r="FTS44"/>
      <c r="FTT44"/>
      <c r="FTU44"/>
      <c r="FTV44"/>
      <c r="FTW44"/>
      <c r="FTX44"/>
      <c r="FTY44"/>
      <c r="FTZ44"/>
      <c r="FUA44"/>
      <c r="FUB44"/>
      <c r="FUC44"/>
      <c r="FUD44"/>
      <c r="FUE44"/>
      <c r="FUF44"/>
      <c r="FUG44"/>
      <c r="FUH44"/>
      <c r="FUI44"/>
      <c r="FUJ44"/>
      <c r="FUK44"/>
      <c r="FUL44"/>
      <c r="FUM44"/>
      <c r="FUN44"/>
      <c r="FUO44"/>
      <c r="FUP44"/>
      <c r="FUQ44"/>
      <c r="FUR44"/>
      <c r="FUS44"/>
      <c r="FUT44"/>
      <c r="FUU44"/>
      <c r="FUV44"/>
      <c r="FUW44"/>
      <c r="FUX44"/>
      <c r="FUY44"/>
      <c r="FUZ44"/>
      <c r="FVA44"/>
      <c r="FVB44"/>
      <c r="FVC44"/>
      <c r="FVD44"/>
      <c r="FVE44"/>
      <c r="FVF44"/>
      <c r="FVG44"/>
      <c r="FVH44"/>
      <c r="FVI44"/>
      <c r="FVJ44"/>
      <c r="FVK44"/>
      <c r="FVL44"/>
      <c r="FVM44"/>
      <c r="FVN44"/>
      <c r="FVO44"/>
      <c r="FVP44"/>
      <c r="FVQ44"/>
      <c r="FVR44"/>
      <c r="FVS44"/>
      <c r="FVT44"/>
      <c r="FVU44"/>
      <c r="FVV44"/>
      <c r="FVW44"/>
      <c r="FVX44"/>
      <c r="FVY44"/>
      <c r="FVZ44"/>
      <c r="FWA44"/>
      <c r="FWB44"/>
      <c r="FWC44"/>
      <c r="FWD44"/>
      <c r="FWE44"/>
      <c r="FWF44"/>
      <c r="FWG44"/>
      <c r="FWH44"/>
      <c r="FWI44"/>
      <c r="FWJ44"/>
      <c r="FWK44"/>
      <c r="FWL44"/>
      <c r="FWM44"/>
      <c r="FWN44"/>
      <c r="FWO44"/>
      <c r="FWP44"/>
      <c r="FWQ44"/>
      <c r="FWR44"/>
      <c r="FWS44"/>
      <c r="FWT44"/>
      <c r="FWU44"/>
      <c r="FWV44"/>
      <c r="FWW44"/>
      <c r="FWX44"/>
      <c r="FWY44"/>
      <c r="FWZ44"/>
      <c r="FXA44"/>
      <c r="FXB44"/>
      <c r="FXC44"/>
      <c r="FXD44"/>
      <c r="FXE44"/>
      <c r="FXF44"/>
      <c r="FXG44"/>
      <c r="FXH44"/>
      <c r="FXI44"/>
      <c r="FXJ44"/>
      <c r="FXK44"/>
      <c r="FXL44"/>
      <c r="FXM44"/>
      <c r="FXN44"/>
      <c r="FXO44"/>
      <c r="FXP44"/>
      <c r="FXQ44"/>
      <c r="FXR44"/>
      <c r="FXS44"/>
      <c r="FXT44"/>
      <c r="FXU44"/>
      <c r="FXV44"/>
      <c r="FXW44"/>
      <c r="FXX44"/>
      <c r="FXY44"/>
      <c r="FXZ44"/>
      <c r="FYA44"/>
      <c r="FYB44"/>
      <c r="FYC44"/>
      <c r="FYD44"/>
      <c r="FYE44"/>
      <c r="FYF44"/>
      <c r="FYG44"/>
      <c r="FYH44"/>
      <c r="FYI44"/>
      <c r="FYJ44"/>
      <c r="FYK44"/>
      <c r="FYL44"/>
      <c r="FYM44"/>
      <c r="FYN44"/>
      <c r="FYO44"/>
      <c r="FYP44"/>
      <c r="FYQ44"/>
      <c r="FYR44"/>
      <c r="FYS44"/>
      <c r="FYT44"/>
      <c r="FYU44"/>
      <c r="FYV44"/>
      <c r="FYW44"/>
      <c r="FYX44"/>
      <c r="FYY44"/>
      <c r="FYZ44"/>
      <c r="FZA44"/>
      <c r="FZB44"/>
      <c r="FZC44"/>
      <c r="FZD44"/>
      <c r="FZE44"/>
      <c r="FZF44"/>
      <c r="FZG44"/>
      <c r="FZH44"/>
      <c r="FZI44"/>
      <c r="FZJ44"/>
      <c r="FZK44"/>
      <c r="FZL44"/>
      <c r="FZM44"/>
      <c r="FZN44"/>
      <c r="FZO44"/>
      <c r="FZP44"/>
      <c r="FZQ44"/>
      <c r="FZR44"/>
      <c r="FZS44"/>
      <c r="FZT44"/>
      <c r="FZU44"/>
      <c r="FZV44"/>
      <c r="FZW44"/>
      <c r="FZX44"/>
      <c r="FZY44"/>
      <c r="FZZ44"/>
      <c r="GAA44"/>
      <c r="GAB44"/>
      <c r="GAC44"/>
      <c r="GAD44"/>
      <c r="GAE44"/>
      <c r="GAF44"/>
      <c r="GAG44"/>
      <c r="GAH44"/>
      <c r="GAI44"/>
      <c r="GAJ44"/>
      <c r="GAK44"/>
      <c r="GAL44"/>
      <c r="GAM44"/>
      <c r="GAN44"/>
      <c r="GAO44"/>
      <c r="GAP44"/>
      <c r="GAQ44"/>
      <c r="GAR44"/>
      <c r="GAS44"/>
      <c r="GAT44"/>
      <c r="GAU44"/>
      <c r="GAV44"/>
      <c r="GAW44"/>
      <c r="GAX44"/>
      <c r="GAY44"/>
      <c r="GAZ44"/>
      <c r="GBA44"/>
      <c r="GBB44"/>
      <c r="GBC44"/>
      <c r="GBD44"/>
      <c r="GBE44"/>
      <c r="GBF44"/>
      <c r="GBG44"/>
      <c r="GBH44"/>
      <c r="GBI44"/>
      <c r="GBJ44"/>
      <c r="GBK44"/>
      <c r="GBL44"/>
      <c r="GBM44"/>
      <c r="GBN44"/>
      <c r="GBO44"/>
      <c r="GBP44"/>
      <c r="GBQ44"/>
      <c r="GBR44"/>
      <c r="GBS44"/>
      <c r="GBT44"/>
      <c r="GBU44"/>
      <c r="GBV44"/>
      <c r="GBW44"/>
      <c r="GBX44"/>
      <c r="GBY44"/>
      <c r="GBZ44"/>
      <c r="GCA44"/>
      <c r="GCB44"/>
      <c r="GCC44"/>
      <c r="GCD44"/>
      <c r="GCE44"/>
      <c r="GCF44"/>
      <c r="GCG44"/>
      <c r="GCH44"/>
      <c r="GCI44"/>
      <c r="GCJ44"/>
      <c r="GCK44"/>
      <c r="GCL44"/>
      <c r="GCM44"/>
      <c r="GCN44"/>
      <c r="GCO44"/>
      <c r="GCP44"/>
      <c r="GCQ44"/>
      <c r="GCR44"/>
      <c r="GCS44"/>
      <c r="GCT44"/>
      <c r="GCU44"/>
      <c r="GCV44"/>
      <c r="GCW44"/>
      <c r="GCX44"/>
      <c r="GCY44"/>
      <c r="GCZ44"/>
      <c r="GDA44"/>
      <c r="GDB44"/>
      <c r="GDC44"/>
      <c r="GDD44"/>
      <c r="GDE44"/>
      <c r="GDF44"/>
      <c r="GDG44"/>
      <c r="GDH44"/>
      <c r="GDI44"/>
      <c r="GDJ44"/>
      <c r="GDK44"/>
      <c r="GDL44"/>
      <c r="GDM44"/>
      <c r="GDN44"/>
      <c r="GDO44"/>
      <c r="GDP44"/>
      <c r="GDQ44"/>
      <c r="GDR44"/>
      <c r="GDS44"/>
      <c r="GDT44"/>
      <c r="GDU44"/>
      <c r="GDV44"/>
      <c r="GDW44"/>
      <c r="GDX44"/>
      <c r="GDY44"/>
      <c r="GDZ44"/>
      <c r="GEA44"/>
      <c r="GEB44"/>
      <c r="GEC44"/>
      <c r="GED44"/>
      <c r="GEE44"/>
      <c r="GEF44"/>
      <c r="GEG44"/>
      <c r="GEH44"/>
      <c r="GEI44"/>
      <c r="GEJ44"/>
      <c r="GEK44"/>
      <c r="GEL44"/>
      <c r="GEM44"/>
      <c r="GEN44"/>
      <c r="GEO44"/>
      <c r="GEP44"/>
      <c r="GEQ44"/>
      <c r="GER44"/>
      <c r="GES44"/>
      <c r="GET44"/>
      <c r="GEU44"/>
      <c r="GEV44"/>
      <c r="GEW44"/>
      <c r="GEX44"/>
      <c r="GEY44"/>
      <c r="GEZ44"/>
      <c r="GFA44"/>
      <c r="GFB44"/>
      <c r="GFC44"/>
      <c r="GFD44"/>
      <c r="GFE44"/>
      <c r="GFF44"/>
      <c r="GFG44"/>
      <c r="GFH44"/>
      <c r="GFI44"/>
      <c r="GFJ44"/>
      <c r="GFK44"/>
      <c r="GFL44"/>
      <c r="GFM44"/>
      <c r="GFN44"/>
      <c r="GFO44"/>
      <c r="GFP44"/>
      <c r="GFQ44"/>
      <c r="GFR44"/>
      <c r="GFS44"/>
      <c r="GFT44"/>
      <c r="GFU44"/>
      <c r="GFV44"/>
      <c r="GFW44"/>
      <c r="GFX44"/>
      <c r="GFY44"/>
      <c r="GFZ44"/>
      <c r="GGA44"/>
      <c r="GGB44"/>
      <c r="GGC44"/>
      <c r="GGD44"/>
      <c r="GGE44"/>
      <c r="GGF44"/>
      <c r="GGG44"/>
      <c r="GGH44"/>
      <c r="GGI44"/>
      <c r="GGJ44"/>
      <c r="GGK44"/>
      <c r="GGL44"/>
      <c r="GGM44"/>
      <c r="GGN44"/>
      <c r="GGO44"/>
      <c r="GGP44"/>
      <c r="GGQ44"/>
      <c r="GGR44"/>
      <c r="GGS44"/>
      <c r="GGT44"/>
      <c r="GGU44"/>
      <c r="GGV44"/>
      <c r="GGW44"/>
      <c r="GGX44"/>
      <c r="GGY44"/>
      <c r="GGZ44"/>
      <c r="GHA44"/>
      <c r="GHB44"/>
      <c r="GHC44"/>
      <c r="GHD44"/>
      <c r="GHE44"/>
      <c r="GHF44"/>
      <c r="GHG44"/>
      <c r="GHH44"/>
      <c r="GHI44"/>
      <c r="GHJ44"/>
      <c r="GHK44"/>
      <c r="GHL44"/>
      <c r="GHM44"/>
      <c r="GHN44"/>
      <c r="GHO44"/>
      <c r="GHP44"/>
      <c r="GHQ44"/>
      <c r="GHR44"/>
      <c r="GHS44"/>
      <c r="GHT44"/>
      <c r="GHU44"/>
      <c r="GHV44"/>
      <c r="GHW44"/>
      <c r="GHX44"/>
      <c r="GHY44"/>
      <c r="GHZ44"/>
      <c r="GIA44"/>
      <c r="GIB44"/>
      <c r="GIC44"/>
      <c r="GID44"/>
      <c r="GIE44"/>
      <c r="GIF44"/>
      <c r="GIG44"/>
      <c r="GIH44"/>
      <c r="GII44"/>
      <c r="GIJ44"/>
      <c r="GIK44"/>
      <c r="GIL44"/>
      <c r="GIM44"/>
      <c r="GIN44"/>
      <c r="GIO44"/>
      <c r="GIP44"/>
      <c r="GIQ44"/>
      <c r="GIR44"/>
      <c r="GIS44"/>
      <c r="GIT44"/>
      <c r="GIU44"/>
      <c r="GIV44"/>
      <c r="GIW44"/>
      <c r="GIX44"/>
      <c r="GIY44"/>
      <c r="GIZ44"/>
      <c r="GJA44"/>
      <c r="GJB44"/>
      <c r="GJC44"/>
      <c r="GJD44"/>
      <c r="GJE44"/>
      <c r="GJF44"/>
      <c r="GJG44"/>
      <c r="GJH44"/>
      <c r="GJI44"/>
      <c r="GJJ44"/>
      <c r="GJK44"/>
      <c r="GJL44"/>
      <c r="GJM44"/>
      <c r="GJN44"/>
      <c r="GJO44"/>
      <c r="GJP44"/>
      <c r="GJQ44"/>
      <c r="GJR44"/>
      <c r="GJS44"/>
      <c r="GJT44"/>
      <c r="GJU44"/>
      <c r="GJV44"/>
      <c r="GJW44"/>
      <c r="GJX44"/>
      <c r="GJY44"/>
      <c r="GJZ44"/>
      <c r="GKA44"/>
      <c r="GKB44"/>
      <c r="GKC44"/>
      <c r="GKD44"/>
      <c r="GKE44"/>
      <c r="GKF44"/>
      <c r="GKG44"/>
      <c r="GKH44"/>
      <c r="GKI44"/>
      <c r="GKJ44"/>
      <c r="GKK44"/>
      <c r="GKL44"/>
      <c r="GKM44"/>
      <c r="GKN44"/>
      <c r="GKO44"/>
      <c r="GKP44"/>
      <c r="GKQ44"/>
      <c r="GKR44"/>
      <c r="GKS44"/>
      <c r="GKT44"/>
      <c r="GKU44"/>
      <c r="GKV44"/>
      <c r="GKW44"/>
      <c r="GKX44"/>
      <c r="GKY44"/>
      <c r="GKZ44"/>
      <c r="GLA44"/>
      <c r="GLB44"/>
      <c r="GLC44"/>
      <c r="GLD44"/>
      <c r="GLE44"/>
      <c r="GLF44"/>
      <c r="GLG44"/>
      <c r="GLH44"/>
      <c r="GLI44"/>
      <c r="GLJ44"/>
      <c r="GLK44"/>
      <c r="GLL44"/>
      <c r="GLM44"/>
      <c r="GLN44"/>
      <c r="GLO44"/>
      <c r="GLP44"/>
      <c r="GLQ44"/>
      <c r="GLR44"/>
      <c r="GLS44"/>
      <c r="GLT44"/>
      <c r="GLU44"/>
      <c r="GLV44"/>
      <c r="GLW44"/>
      <c r="GLX44"/>
      <c r="GLY44"/>
      <c r="GLZ44"/>
      <c r="GMA44"/>
      <c r="GMB44"/>
      <c r="GMC44"/>
      <c r="GMD44"/>
      <c r="GME44"/>
      <c r="GMF44"/>
      <c r="GMG44"/>
      <c r="GMH44"/>
      <c r="GMI44"/>
      <c r="GMJ44"/>
      <c r="GMK44"/>
      <c r="GML44"/>
      <c r="GMM44"/>
      <c r="GMN44"/>
      <c r="GMO44"/>
      <c r="GMP44"/>
      <c r="GMQ44"/>
      <c r="GMR44"/>
      <c r="GMS44"/>
      <c r="GMT44"/>
      <c r="GMU44"/>
      <c r="GMV44"/>
      <c r="GMW44"/>
      <c r="GMX44"/>
      <c r="GMY44"/>
      <c r="GMZ44"/>
      <c r="GNA44"/>
      <c r="GNB44"/>
      <c r="GNC44"/>
      <c r="GND44"/>
      <c r="GNE44"/>
      <c r="GNF44"/>
      <c r="GNG44"/>
      <c r="GNH44"/>
      <c r="GNI44"/>
      <c r="GNJ44"/>
      <c r="GNK44"/>
      <c r="GNL44"/>
      <c r="GNM44"/>
      <c r="GNN44"/>
      <c r="GNO44"/>
      <c r="GNP44"/>
      <c r="GNQ44"/>
      <c r="GNR44"/>
      <c r="GNS44"/>
      <c r="GNT44"/>
      <c r="GNU44"/>
      <c r="GNV44"/>
      <c r="GNW44"/>
      <c r="GNX44"/>
      <c r="GNY44"/>
      <c r="GNZ44"/>
      <c r="GOA44"/>
      <c r="GOB44"/>
      <c r="GOC44"/>
      <c r="GOD44"/>
      <c r="GOE44"/>
      <c r="GOF44"/>
      <c r="GOG44"/>
      <c r="GOH44"/>
      <c r="GOI44"/>
      <c r="GOJ44"/>
      <c r="GOK44"/>
      <c r="GOL44"/>
      <c r="GOM44"/>
      <c r="GON44"/>
      <c r="GOO44"/>
      <c r="GOP44"/>
      <c r="GOQ44"/>
      <c r="GOR44"/>
      <c r="GOS44"/>
      <c r="GOT44"/>
      <c r="GOU44"/>
      <c r="GOV44"/>
      <c r="GOW44"/>
      <c r="GOX44"/>
      <c r="GOY44"/>
      <c r="GOZ44"/>
      <c r="GPA44"/>
      <c r="GPB44"/>
      <c r="GPC44"/>
      <c r="GPD44"/>
      <c r="GPE44"/>
      <c r="GPF44"/>
      <c r="GPG44"/>
      <c r="GPH44"/>
      <c r="GPI44"/>
      <c r="GPJ44"/>
      <c r="GPK44"/>
      <c r="GPL44"/>
      <c r="GPM44"/>
      <c r="GPN44"/>
      <c r="GPO44"/>
      <c r="GPP44"/>
      <c r="GPQ44"/>
      <c r="GPR44"/>
      <c r="GPS44"/>
      <c r="GPT44"/>
      <c r="GPU44"/>
      <c r="GPV44"/>
      <c r="GPW44"/>
      <c r="GPX44"/>
      <c r="GPY44"/>
      <c r="GPZ44"/>
      <c r="GQA44"/>
      <c r="GQB44"/>
      <c r="GQC44"/>
      <c r="GQD44"/>
      <c r="GQE44"/>
      <c r="GQF44"/>
      <c r="GQG44"/>
      <c r="GQH44"/>
      <c r="GQI44"/>
      <c r="GQJ44"/>
      <c r="GQK44"/>
      <c r="GQL44"/>
      <c r="GQM44"/>
      <c r="GQN44"/>
      <c r="GQO44"/>
      <c r="GQP44"/>
      <c r="GQQ44"/>
      <c r="GQR44"/>
      <c r="GQS44"/>
      <c r="GQT44"/>
      <c r="GQU44"/>
      <c r="GQV44"/>
      <c r="GQW44"/>
      <c r="GQX44"/>
      <c r="GQY44"/>
      <c r="GQZ44"/>
      <c r="GRA44"/>
      <c r="GRB44"/>
      <c r="GRC44"/>
      <c r="GRD44"/>
      <c r="GRE44"/>
      <c r="GRF44"/>
      <c r="GRG44"/>
      <c r="GRH44"/>
      <c r="GRI44"/>
      <c r="GRJ44"/>
      <c r="GRK44"/>
      <c r="GRL44"/>
      <c r="GRM44"/>
      <c r="GRN44"/>
      <c r="GRO44"/>
      <c r="GRP44"/>
      <c r="GRQ44"/>
      <c r="GRR44"/>
      <c r="GRS44"/>
      <c r="GRT44"/>
      <c r="GRU44"/>
      <c r="GRV44"/>
      <c r="GRW44"/>
      <c r="GRX44"/>
      <c r="GRY44"/>
      <c r="GRZ44"/>
      <c r="GSA44"/>
      <c r="GSB44"/>
      <c r="GSC44"/>
      <c r="GSD44"/>
      <c r="GSE44"/>
      <c r="GSF44"/>
      <c r="GSG44"/>
      <c r="GSH44"/>
      <c r="GSI44"/>
      <c r="GSJ44"/>
      <c r="GSK44"/>
      <c r="GSL44"/>
      <c r="GSM44"/>
      <c r="GSN44"/>
      <c r="GSO44"/>
      <c r="GSP44"/>
      <c r="GSQ44"/>
      <c r="GSR44"/>
      <c r="GSS44"/>
      <c r="GST44"/>
      <c r="GSU44"/>
      <c r="GSV44"/>
      <c r="GSW44"/>
      <c r="GSX44"/>
      <c r="GSY44"/>
      <c r="GSZ44"/>
      <c r="GTA44"/>
      <c r="GTB44"/>
      <c r="GTC44"/>
      <c r="GTD44"/>
      <c r="GTE44"/>
      <c r="GTF44"/>
      <c r="GTG44"/>
      <c r="GTH44"/>
      <c r="GTI44"/>
      <c r="GTJ44"/>
      <c r="GTK44"/>
      <c r="GTL44"/>
      <c r="GTM44"/>
      <c r="GTN44"/>
      <c r="GTO44"/>
      <c r="GTP44"/>
      <c r="GTQ44"/>
      <c r="GTR44"/>
      <c r="GTS44"/>
      <c r="GTT44"/>
      <c r="GTU44"/>
      <c r="GTV44"/>
      <c r="GTW44"/>
      <c r="GTX44"/>
      <c r="GTY44"/>
      <c r="GTZ44"/>
      <c r="GUA44"/>
      <c r="GUB44"/>
      <c r="GUC44"/>
      <c r="GUD44"/>
      <c r="GUE44"/>
      <c r="GUF44"/>
      <c r="GUG44"/>
      <c r="GUH44"/>
      <c r="GUI44"/>
      <c r="GUJ44"/>
      <c r="GUK44"/>
      <c r="GUL44"/>
      <c r="GUM44"/>
      <c r="GUN44"/>
      <c r="GUO44"/>
      <c r="GUP44"/>
      <c r="GUQ44"/>
      <c r="GUR44"/>
      <c r="GUS44"/>
      <c r="GUT44"/>
      <c r="GUU44"/>
      <c r="GUV44"/>
      <c r="GUW44"/>
      <c r="GUX44"/>
      <c r="GUY44"/>
      <c r="GUZ44"/>
      <c r="GVA44"/>
      <c r="GVB44"/>
      <c r="GVC44"/>
      <c r="GVD44"/>
      <c r="GVE44"/>
      <c r="GVF44"/>
      <c r="GVG44"/>
      <c r="GVH44"/>
      <c r="GVI44"/>
      <c r="GVJ44"/>
      <c r="GVK44"/>
      <c r="GVL44"/>
      <c r="GVM44"/>
      <c r="GVN44"/>
      <c r="GVO44"/>
      <c r="GVP44"/>
      <c r="GVQ44"/>
      <c r="GVR44"/>
      <c r="GVS44"/>
      <c r="GVT44"/>
      <c r="GVU44"/>
      <c r="GVV44"/>
      <c r="GVW44"/>
      <c r="GVX44"/>
      <c r="GVY44"/>
      <c r="GVZ44"/>
      <c r="GWA44"/>
      <c r="GWB44"/>
      <c r="GWC44"/>
      <c r="GWD44"/>
      <c r="GWE44"/>
      <c r="GWF44"/>
      <c r="GWG44"/>
      <c r="GWH44"/>
      <c r="GWI44"/>
      <c r="GWJ44"/>
      <c r="GWK44"/>
      <c r="GWL44"/>
      <c r="GWM44"/>
      <c r="GWN44"/>
      <c r="GWO44"/>
      <c r="GWP44"/>
      <c r="GWQ44"/>
      <c r="GWR44"/>
      <c r="GWS44"/>
      <c r="GWT44"/>
      <c r="GWU44"/>
      <c r="GWV44"/>
      <c r="GWW44"/>
      <c r="GWX44"/>
      <c r="GWY44"/>
      <c r="GWZ44"/>
      <c r="GXA44"/>
      <c r="GXB44"/>
      <c r="GXC44"/>
      <c r="GXD44"/>
      <c r="GXE44"/>
      <c r="GXF44"/>
      <c r="GXG44"/>
      <c r="GXH44"/>
      <c r="GXI44"/>
      <c r="GXJ44"/>
      <c r="GXK44"/>
      <c r="GXL44"/>
      <c r="GXM44"/>
      <c r="GXN44"/>
      <c r="GXO44"/>
      <c r="GXP44"/>
      <c r="GXQ44"/>
      <c r="GXR44"/>
      <c r="GXS44"/>
      <c r="GXT44"/>
      <c r="GXU44"/>
      <c r="GXV44"/>
      <c r="GXW44"/>
      <c r="GXX44"/>
      <c r="GXY44"/>
      <c r="GXZ44"/>
      <c r="GYA44"/>
      <c r="GYB44"/>
      <c r="GYC44"/>
      <c r="GYD44"/>
      <c r="GYE44"/>
      <c r="GYF44"/>
      <c r="GYG44"/>
      <c r="GYH44"/>
      <c r="GYI44"/>
      <c r="GYJ44"/>
      <c r="GYK44"/>
      <c r="GYL44"/>
      <c r="GYM44"/>
      <c r="GYN44"/>
      <c r="GYO44"/>
      <c r="GYP44"/>
      <c r="GYQ44"/>
      <c r="GYR44"/>
      <c r="GYS44"/>
      <c r="GYT44"/>
      <c r="GYU44"/>
      <c r="GYV44"/>
      <c r="GYW44"/>
      <c r="GYX44"/>
      <c r="GYY44"/>
      <c r="GYZ44"/>
      <c r="GZA44"/>
      <c r="GZB44"/>
      <c r="GZC44"/>
      <c r="GZD44"/>
      <c r="GZE44"/>
      <c r="GZF44"/>
      <c r="GZG44"/>
      <c r="GZH44"/>
      <c r="GZI44"/>
      <c r="GZJ44"/>
      <c r="GZK44"/>
      <c r="GZL44"/>
      <c r="GZM44"/>
      <c r="GZN44"/>
      <c r="GZO44"/>
      <c r="GZP44"/>
      <c r="GZQ44"/>
      <c r="GZR44"/>
      <c r="GZS44"/>
      <c r="GZT44"/>
      <c r="GZU44"/>
      <c r="GZV44"/>
      <c r="GZW44"/>
      <c r="GZX44"/>
      <c r="GZY44"/>
      <c r="GZZ44"/>
      <c r="HAA44"/>
      <c r="HAB44"/>
      <c r="HAC44"/>
      <c r="HAD44"/>
      <c r="HAE44"/>
      <c r="HAF44"/>
      <c r="HAG44"/>
      <c r="HAH44"/>
      <c r="HAI44"/>
      <c r="HAJ44"/>
      <c r="HAK44"/>
      <c r="HAL44"/>
      <c r="HAM44"/>
      <c r="HAN44"/>
      <c r="HAO44"/>
      <c r="HAP44"/>
      <c r="HAQ44"/>
      <c r="HAR44"/>
      <c r="HAS44"/>
      <c r="HAT44"/>
      <c r="HAU44"/>
      <c r="HAV44"/>
      <c r="HAW44"/>
      <c r="HAX44"/>
      <c r="HAY44"/>
      <c r="HAZ44"/>
      <c r="HBA44"/>
      <c r="HBB44"/>
      <c r="HBC44"/>
      <c r="HBD44"/>
      <c r="HBE44"/>
      <c r="HBF44"/>
      <c r="HBG44"/>
      <c r="HBH44"/>
      <c r="HBI44"/>
      <c r="HBJ44"/>
      <c r="HBK44"/>
      <c r="HBL44"/>
      <c r="HBM44"/>
      <c r="HBN44"/>
      <c r="HBO44"/>
      <c r="HBP44"/>
      <c r="HBQ44"/>
      <c r="HBR44"/>
      <c r="HBS44"/>
      <c r="HBT44"/>
      <c r="HBU44"/>
      <c r="HBV44"/>
      <c r="HBW44"/>
      <c r="HBX44"/>
      <c r="HBY44"/>
      <c r="HBZ44"/>
      <c r="HCA44"/>
      <c r="HCB44"/>
      <c r="HCC44"/>
      <c r="HCD44"/>
      <c r="HCE44"/>
      <c r="HCF44"/>
      <c r="HCG44"/>
      <c r="HCH44"/>
      <c r="HCI44"/>
      <c r="HCJ44"/>
      <c r="HCK44"/>
      <c r="HCL44"/>
      <c r="HCM44"/>
      <c r="HCN44"/>
      <c r="HCO44"/>
      <c r="HCP44"/>
      <c r="HCQ44"/>
      <c r="HCR44"/>
      <c r="HCS44"/>
      <c r="HCT44"/>
      <c r="HCU44"/>
      <c r="HCV44"/>
      <c r="HCW44"/>
      <c r="HCX44"/>
      <c r="HCY44"/>
      <c r="HCZ44"/>
      <c r="HDA44"/>
      <c r="HDB44"/>
      <c r="HDC44"/>
      <c r="HDD44"/>
      <c r="HDE44"/>
      <c r="HDF44"/>
      <c r="HDG44"/>
      <c r="HDH44"/>
      <c r="HDI44"/>
      <c r="HDJ44"/>
      <c r="HDK44"/>
      <c r="HDL44"/>
      <c r="HDM44"/>
      <c r="HDN44"/>
      <c r="HDO44"/>
      <c r="HDP44"/>
      <c r="HDQ44"/>
      <c r="HDR44"/>
      <c r="HDS44"/>
      <c r="HDT44"/>
      <c r="HDU44"/>
      <c r="HDV44"/>
      <c r="HDW44"/>
      <c r="HDX44"/>
      <c r="HDY44"/>
      <c r="HDZ44"/>
      <c r="HEA44"/>
      <c r="HEB44"/>
      <c r="HEC44"/>
      <c r="HED44"/>
      <c r="HEE44"/>
      <c r="HEF44"/>
      <c r="HEG44"/>
      <c r="HEH44"/>
      <c r="HEI44"/>
      <c r="HEJ44"/>
      <c r="HEK44"/>
      <c r="HEL44"/>
      <c r="HEM44"/>
      <c r="HEN44"/>
      <c r="HEO44"/>
      <c r="HEP44"/>
      <c r="HEQ44"/>
      <c r="HER44"/>
      <c r="HES44"/>
      <c r="HET44"/>
      <c r="HEU44"/>
      <c r="HEV44"/>
      <c r="HEW44"/>
      <c r="HEX44"/>
      <c r="HEY44"/>
      <c r="HEZ44"/>
      <c r="HFA44"/>
      <c r="HFB44"/>
      <c r="HFC44"/>
      <c r="HFD44"/>
      <c r="HFE44"/>
      <c r="HFF44"/>
      <c r="HFG44"/>
      <c r="HFH44"/>
      <c r="HFI44"/>
      <c r="HFJ44"/>
      <c r="HFK44"/>
      <c r="HFL44"/>
      <c r="HFM44"/>
      <c r="HFN44"/>
      <c r="HFO44"/>
      <c r="HFP44"/>
      <c r="HFQ44"/>
      <c r="HFR44"/>
      <c r="HFS44"/>
      <c r="HFT44"/>
      <c r="HFU44"/>
      <c r="HFV44"/>
      <c r="HFW44"/>
      <c r="HFX44"/>
      <c r="HFY44"/>
      <c r="HFZ44"/>
      <c r="HGA44"/>
      <c r="HGB44"/>
      <c r="HGC44"/>
      <c r="HGD44"/>
      <c r="HGE44"/>
      <c r="HGF44"/>
      <c r="HGG44"/>
      <c r="HGH44"/>
      <c r="HGI44"/>
      <c r="HGJ44"/>
      <c r="HGK44"/>
      <c r="HGL44"/>
      <c r="HGM44"/>
      <c r="HGN44"/>
      <c r="HGO44"/>
      <c r="HGP44"/>
      <c r="HGQ44"/>
      <c r="HGR44"/>
      <c r="HGS44"/>
      <c r="HGT44"/>
      <c r="HGU44"/>
      <c r="HGV44"/>
      <c r="HGW44"/>
      <c r="HGX44"/>
      <c r="HGY44"/>
      <c r="HGZ44"/>
      <c r="HHA44"/>
      <c r="HHB44"/>
      <c r="HHC44"/>
      <c r="HHD44"/>
      <c r="HHE44"/>
      <c r="HHF44"/>
      <c r="HHG44"/>
      <c r="HHH44"/>
      <c r="HHI44"/>
      <c r="HHJ44"/>
      <c r="HHK44"/>
      <c r="HHL44"/>
      <c r="HHM44"/>
      <c r="HHN44"/>
      <c r="HHO44"/>
      <c r="HHP44"/>
      <c r="HHQ44"/>
      <c r="HHR44"/>
      <c r="HHS44"/>
      <c r="HHT44"/>
      <c r="HHU44"/>
      <c r="HHV44"/>
      <c r="HHW44"/>
      <c r="HHX44"/>
      <c r="HHY44"/>
      <c r="HHZ44"/>
      <c r="HIA44"/>
      <c r="HIB44"/>
      <c r="HIC44"/>
      <c r="HID44"/>
      <c r="HIE44"/>
      <c r="HIF44"/>
      <c r="HIG44"/>
      <c r="HIH44"/>
      <c r="HII44"/>
      <c r="HIJ44"/>
      <c r="HIK44"/>
      <c r="HIL44"/>
      <c r="HIM44"/>
      <c r="HIN44"/>
      <c r="HIO44"/>
      <c r="HIP44"/>
      <c r="HIQ44"/>
      <c r="HIR44"/>
      <c r="HIS44"/>
      <c r="HIT44"/>
      <c r="HIU44"/>
      <c r="HIV44"/>
      <c r="HIW44"/>
      <c r="HIX44"/>
      <c r="HIY44"/>
      <c r="HIZ44"/>
      <c r="HJA44"/>
      <c r="HJB44"/>
      <c r="HJC44"/>
      <c r="HJD44"/>
      <c r="HJE44"/>
      <c r="HJF44"/>
      <c r="HJG44"/>
      <c r="HJH44"/>
      <c r="HJI44"/>
      <c r="HJJ44"/>
      <c r="HJK44"/>
      <c r="HJL44"/>
      <c r="HJM44"/>
      <c r="HJN44"/>
      <c r="HJO44"/>
      <c r="HJP44"/>
      <c r="HJQ44"/>
      <c r="HJR44"/>
      <c r="HJS44"/>
      <c r="HJT44"/>
      <c r="HJU44"/>
      <c r="HJV44"/>
      <c r="HJW44"/>
      <c r="HJX44"/>
      <c r="HJY44"/>
      <c r="HJZ44"/>
      <c r="HKA44"/>
      <c r="HKB44"/>
      <c r="HKC44"/>
      <c r="HKD44"/>
      <c r="HKE44"/>
      <c r="HKF44"/>
      <c r="HKG44"/>
      <c r="HKH44"/>
      <c r="HKI44"/>
      <c r="HKJ44"/>
      <c r="HKK44"/>
      <c r="HKL44"/>
      <c r="HKM44"/>
      <c r="HKN44"/>
      <c r="HKO44"/>
      <c r="HKP44"/>
      <c r="HKQ44"/>
      <c r="HKR44"/>
      <c r="HKS44"/>
      <c r="HKT44"/>
      <c r="HKU44"/>
      <c r="HKV44"/>
      <c r="HKW44"/>
      <c r="HKX44"/>
      <c r="HKY44"/>
      <c r="HKZ44"/>
      <c r="HLA44"/>
      <c r="HLB44"/>
      <c r="HLC44"/>
      <c r="HLD44"/>
      <c r="HLE44"/>
      <c r="HLF44"/>
      <c r="HLG44"/>
      <c r="HLH44"/>
      <c r="HLI44"/>
      <c r="HLJ44"/>
      <c r="HLK44"/>
      <c r="HLL44"/>
      <c r="HLM44"/>
      <c r="HLN44"/>
      <c r="HLO44"/>
      <c r="HLP44"/>
      <c r="HLQ44"/>
      <c r="HLR44"/>
      <c r="HLS44"/>
      <c r="HLT44"/>
      <c r="HLU44"/>
      <c r="HLV44"/>
      <c r="HLW44"/>
      <c r="HLX44"/>
      <c r="HLY44"/>
      <c r="HLZ44"/>
      <c r="HMA44"/>
      <c r="HMB44"/>
      <c r="HMC44"/>
      <c r="HMD44"/>
      <c r="HME44"/>
      <c r="HMF44"/>
      <c r="HMG44"/>
      <c r="HMH44"/>
      <c r="HMI44"/>
      <c r="HMJ44"/>
      <c r="HMK44"/>
      <c r="HML44"/>
      <c r="HMM44"/>
      <c r="HMN44"/>
      <c r="HMO44"/>
      <c r="HMP44"/>
      <c r="HMQ44"/>
      <c r="HMR44"/>
      <c r="HMS44"/>
      <c r="HMT44"/>
      <c r="HMU44"/>
      <c r="HMV44"/>
      <c r="HMW44"/>
      <c r="HMX44"/>
      <c r="HMY44"/>
      <c r="HMZ44"/>
      <c r="HNA44"/>
      <c r="HNB44"/>
      <c r="HNC44"/>
      <c r="HND44"/>
      <c r="HNE44"/>
      <c r="HNF44"/>
      <c r="HNG44"/>
      <c r="HNH44"/>
      <c r="HNI44"/>
      <c r="HNJ44"/>
      <c r="HNK44"/>
      <c r="HNL44"/>
      <c r="HNM44"/>
      <c r="HNN44"/>
      <c r="HNO44"/>
      <c r="HNP44"/>
      <c r="HNQ44"/>
      <c r="HNR44"/>
      <c r="HNS44"/>
      <c r="HNT44"/>
      <c r="HNU44"/>
      <c r="HNV44"/>
      <c r="HNW44"/>
      <c r="HNX44"/>
      <c r="HNY44"/>
      <c r="HNZ44"/>
      <c r="HOA44"/>
      <c r="HOB44"/>
      <c r="HOC44"/>
      <c r="HOD44"/>
      <c r="HOE44"/>
      <c r="HOF44"/>
      <c r="HOG44"/>
      <c r="HOH44"/>
      <c r="HOI44"/>
      <c r="HOJ44"/>
      <c r="HOK44"/>
      <c r="HOL44"/>
      <c r="HOM44"/>
      <c r="HON44"/>
      <c r="HOO44"/>
      <c r="HOP44"/>
      <c r="HOQ44"/>
      <c r="HOR44"/>
      <c r="HOS44"/>
      <c r="HOT44"/>
      <c r="HOU44"/>
      <c r="HOV44"/>
      <c r="HOW44"/>
      <c r="HOX44"/>
      <c r="HOY44"/>
      <c r="HOZ44"/>
      <c r="HPA44"/>
      <c r="HPB44"/>
      <c r="HPC44"/>
      <c r="HPD44"/>
      <c r="HPE44"/>
      <c r="HPF44"/>
      <c r="HPG44"/>
      <c r="HPH44"/>
      <c r="HPI44"/>
      <c r="HPJ44"/>
      <c r="HPK44"/>
      <c r="HPL44"/>
      <c r="HPM44"/>
      <c r="HPN44"/>
      <c r="HPO44"/>
      <c r="HPP44"/>
      <c r="HPQ44"/>
      <c r="HPR44"/>
      <c r="HPS44"/>
      <c r="HPT44"/>
      <c r="HPU44"/>
      <c r="HPV44"/>
      <c r="HPW44"/>
      <c r="HPX44"/>
      <c r="HPY44"/>
      <c r="HPZ44"/>
      <c r="HQA44"/>
      <c r="HQB44"/>
      <c r="HQC44"/>
      <c r="HQD44"/>
      <c r="HQE44"/>
      <c r="HQF44"/>
      <c r="HQG44"/>
      <c r="HQH44"/>
      <c r="HQI44"/>
      <c r="HQJ44"/>
      <c r="HQK44"/>
      <c r="HQL44"/>
      <c r="HQM44"/>
      <c r="HQN44"/>
      <c r="HQO44"/>
      <c r="HQP44"/>
      <c r="HQQ44"/>
      <c r="HQR44"/>
      <c r="HQS44"/>
      <c r="HQT44"/>
      <c r="HQU44"/>
      <c r="HQV44"/>
      <c r="HQW44"/>
      <c r="HQX44"/>
      <c r="HQY44"/>
      <c r="HQZ44"/>
      <c r="HRA44"/>
      <c r="HRB44"/>
      <c r="HRC44"/>
      <c r="HRD44"/>
      <c r="HRE44"/>
      <c r="HRF44"/>
      <c r="HRG44"/>
      <c r="HRH44"/>
      <c r="HRI44"/>
      <c r="HRJ44"/>
      <c r="HRK44"/>
      <c r="HRL44"/>
      <c r="HRM44"/>
      <c r="HRN44"/>
      <c r="HRO44"/>
      <c r="HRP44"/>
      <c r="HRQ44"/>
      <c r="HRR44"/>
      <c r="HRS44"/>
      <c r="HRT44"/>
      <c r="HRU44"/>
      <c r="HRV44"/>
      <c r="HRW44"/>
      <c r="HRX44"/>
      <c r="HRY44"/>
      <c r="HRZ44"/>
      <c r="HSA44"/>
      <c r="HSB44"/>
      <c r="HSC44"/>
      <c r="HSD44"/>
      <c r="HSE44"/>
      <c r="HSF44"/>
      <c r="HSG44"/>
      <c r="HSH44"/>
      <c r="HSI44"/>
      <c r="HSJ44"/>
      <c r="HSK44"/>
      <c r="HSL44"/>
      <c r="HSM44"/>
      <c r="HSN44"/>
      <c r="HSO44"/>
      <c r="HSP44"/>
      <c r="HSQ44"/>
      <c r="HSR44"/>
      <c r="HSS44"/>
      <c r="HST44"/>
      <c r="HSU44"/>
      <c r="HSV44"/>
      <c r="HSW44"/>
      <c r="HSX44"/>
      <c r="HSY44"/>
      <c r="HSZ44"/>
      <c r="HTA44"/>
      <c r="HTB44"/>
      <c r="HTC44"/>
      <c r="HTD44"/>
      <c r="HTE44"/>
      <c r="HTF44"/>
      <c r="HTG44"/>
      <c r="HTH44"/>
      <c r="HTI44"/>
      <c r="HTJ44"/>
      <c r="HTK44"/>
      <c r="HTL44"/>
      <c r="HTM44"/>
      <c r="HTN44"/>
      <c r="HTO44"/>
      <c r="HTP44"/>
      <c r="HTQ44"/>
      <c r="HTR44"/>
      <c r="HTS44"/>
      <c r="HTT44"/>
      <c r="HTU44"/>
      <c r="HTV44"/>
      <c r="HTW44"/>
      <c r="HTX44"/>
      <c r="HTY44"/>
      <c r="HTZ44"/>
      <c r="HUA44"/>
      <c r="HUB44"/>
      <c r="HUC44"/>
      <c r="HUD44"/>
      <c r="HUE44"/>
      <c r="HUF44"/>
      <c r="HUG44"/>
      <c r="HUH44"/>
      <c r="HUI44"/>
      <c r="HUJ44"/>
      <c r="HUK44"/>
      <c r="HUL44"/>
      <c r="HUM44"/>
      <c r="HUN44"/>
      <c r="HUO44"/>
      <c r="HUP44"/>
      <c r="HUQ44"/>
      <c r="HUR44"/>
      <c r="HUS44"/>
      <c r="HUT44"/>
      <c r="HUU44"/>
      <c r="HUV44"/>
      <c r="HUW44"/>
      <c r="HUX44"/>
      <c r="HUY44"/>
      <c r="HUZ44"/>
      <c r="HVA44"/>
      <c r="HVB44"/>
      <c r="HVC44"/>
      <c r="HVD44"/>
      <c r="HVE44"/>
      <c r="HVF44"/>
      <c r="HVG44"/>
      <c r="HVH44"/>
      <c r="HVI44"/>
      <c r="HVJ44"/>
      <c r="HVK44"/>
      <c r="HVL44"/>
      <c r="HVM44"/>
      <c r="HVN44"/>
      <c r="HVO44"/>
      <c r="HVP44"/>
      <c r="HVQ44"/>
      <c r="HVR44"/>
      <c r="HVS44"/>
      <c r="HVT44"/>
      <c r="HVU44"/>
      <c r="HVV44"/>
      <c r="HVW44"/>
      <c r="HVX44"/>
      <c r="HVY44"/>
      <c r="HVZ44"/>
      <c r="HWA44"/>
      <c r="HWB44"/>
      <c r="HWC44"/>
      <c r="HWD44"/>
      <c r="HWE44"/>
      <c r="HWF44"/>
      <c r="HWG44"/>
      <c r="HWH44"/>
      <c r="HWI44"/>
      <c r="HWJ44"/>
      <c r="HWK44"/>
      <c r="HWL44"/>
      <c r="HWM44"/>
      <c r="HWN44"/>
      <c r="HWO44"/>
      <c r="HWP44"/>
      <c r="HWQ44"/>
      <c r="HWR44"/>
      <c r="HWS44"/>
      <c r="HWT44"/>
      <c r="HWU44"/>
      <c r="HWV44"/>
      <c r="HWW44"/>
      <c r="HWX44"/>
      <c r="HWY44"/>
      <c r="HWZ44"/>
      <c r="HXA44"/>
      <c r="HXB44"/>
      <c r="HXC44"/>
      <c r="HXD44"/>
      <c r="HXE44"/>
      <c r="HXF44"/>
      <c r="HXG44"/>
      <c r="HXH44"/>
      <c r="HXI44"/>
      <c r="HXJ44"/>
      <c r="HXK44"/>
      <c r="HXL44"/>
      <c r="HXM44"/>
      <c r="HXN44"/>
      <c r="HXO44"/>
      <c r="HXP44"/>
      <c r="HXQ44"/>
      <c r="HXR44"/>
      <c r="HXS44"/>
      <c r="HXT44"/>
      <c r="HXU44"/>
      <c r="HXV44"/>
      <c r="HXW44"/>
      <c r="HXX44"/>
      <c r="HXY44"/>
      <c r="HXZ44"/>
      <c r="HYA44"/>
      <c r="HYB44"/>
      <c r="HYC44"/>
      <c r="HYD44"/>
      <c r="HYE44"/>
      <c r="HYF44"/>
      <c r="HYG44"/>
      <c r="HYH44"/>
      <c r="HYI44"/>
      <c r="HYJ44"/>
      <c r="HYK44"/>
      <c r="HYL44"/>
      <c r="HYM44"/>
      <c r="HYN44"/>
      <c r="HYO44"/>
      <c r="HYP44"/>
      <c r="HYQ44"/>
      <c r="HYR44"/>
      <c r="HYS44"/>
      <c r="HYT44"/>
      <c r="HYU44"/>
      <c r="HYV44"/>
      <c r="HYW44"/>
      <c r="HYX44"/>
      <c r="HYY44"/>
      <c r="HYZ44"/>
      <c r="HZA44"/>
      <c r="HZB44"/>
      <c r="HZC44"/>
      <c r="HZD44"/>
      <c r="HZE44"/>
      <c r="HZF44"/>
      <c r="HZG44"/>
      <c r="HZH44"/>
      <c r="HZI44"/>
      <c r="HZJ44"/>
      <c r="HZK44"/>
      <c r="HZL44"/>
      <c r="HZM44"/>
      <c r="HZN44"/>
      <c r="HZO44"/>
      <c r="HZP44"/>
      <c r="HZQ44"/>
      <c r="HZR44"/>
      <c r="HZS44"/>
      <c r="HZT44"/>
      <c r="HZU44"/>
      <c r="HZV44"/>
      <c r="HZW44"/>
      <c r="HZX44"/>
      <c r="HZY44"/>
      <c r="HZZ44"/>
      <c r="IAA44"/>
      <c r="IAB44"/>
      <c r="IAC44"/>
      <c r="IAD44"/>
      <c r="IAE44"/>
      <c r="IAF44"/>
      <c r="IAG44"/>
      <c r="IAH44"/>
      <c r="IAI44"/>
      <c r="IAJ44"/>
      <c r="IAK44"/>
      <c r="IAL44"/>
      <c r="IAM44"/>
      <c r="IAN44"/>
      <c r="IAO44"/>
      <c r="IAP44"/>
      <c r="IAQ44"/>
      <c r="IAR44"/>
      <c r="IAS44"/>
      <c r="IAT44"/>
      <c r="IAU44"/>
      <c r="IAV44"/>
      <c r="IAW44"/>
      <c r="IAX44"/>
      <c r="IAY44"/>
      <c r="IAZ44"/>
      <c r="IBA44"/>
      <c r="IBB44"/>
      <c r="IBC44"/>
      <c r="IBD44"/>
      <c r="IBE44"/>
      <c r="IBF44"/>
      <c r="IBG44"/>
      <c r="IBH44"/>
      <c r="IBI44"/>
      <c r="IBJ44"/>
      <c r="IBK44"/>
      <c r="IBL44"/>
      <c r="IBM44"/>
      <c r="IBN44"/>
      <c r="IBO44"/>
      <c r="IBP44"/>
      <c r="IBQ44"/>
      <c r="IBR44"/>
      <c r="IBS44"/>
      <c r="IBT44"/>
      <c r="IBU44"/>
      <c r="IBV44"/>
      <c r="IBW44"/>
      <c r="IBX44"/>
      <c r="IBY44"/>
      <c r="IBZ44"/>
      <c r="ICA44"/>
      <c r="ICB44"/>
      <c r="ICC44"/>
      <c r="ICD44"/>
      <c r="ICE44"/>
      <c r="ICF44"/>
      <c r="ICG44"/>
      <c r="ICH44"/>
      <c r="ICI44"/>
      <c r="ICJ44"/>
      <c r="ICK44"/>
      <c r="ICL44"/>
      <c r="ICM44"/>
      <c r="ICN44"/>
      <c r="ICO44"/>
      <c r="ICP44"/>
      <c r="ICQ44"/>
      <c r="ICR44"/>
      <c r="ICS44"/>
      <c r="ICT44"/>
      <c r="ICU44"/>
      <c r="ICV44"/>
      <c r="ICW44"/>
      <c r="ICX44"/>
      <c r="ICY44"/>
      <c r="ICZ44"/>
      <c r="IDA44"/>
      <c r="IDB44"/>
      <c r="IDC44"/>
      <c r="IDD44"/>
      <c r="IDE44"/>
      <c r="IDF44"/>
      <c r="IDG44"/>
      <c r="IDH44"/>
      <c r="IDI44"/>
      <c r="IDJ44"/>
      <c r="IDK44"/>
      <c r="IDL44"/>
      <c r="IDM44"/>
      <c r="IDN44"/>
      <c r="IDO44"/>
      <c r="IDP44"/>
      <c r="IDQ44"/>
      <c r="IDR44"/>
      <c r="IDS44"/>
      <c r="IDT44"/>
      <c r="IDU44"/>
      <c r="IDV44"/>
      <c r="IDW44"/>
      <c r="IDX44"/>
      <c r="IDY44"/>
      <c r="IDZ44"/>
      <c r="IEA44"/>
      <c r="IEB44"/>
      <c r="IEC44"/>
      <c r="IED44"/>
      <c r="IEE44"/>
      <c r="IEF44"/>
      <c r="IEG44"/>
      <c r="IEH44"/>
      <c r="IEI44"/>
      <c r="IEJ44"/>
      <c r="IEK44"/>
      <c r="IEL44"/>
      <c r="IEM44"/>
      <c r="IEN44"/>
      <c r="IEO44"/>
      <c r="IEP44"/>
      <c r="IEQ44"/>
      <c r="IER44"/>
      <c r="IES44"/>
      <c r="IET44"/>
      <c r="IEU44"/>
      <c r="IEV44"/>
      <c r="IEW44"/>
      <c r="IEX44"/>
      <c r="IEY44"/>
      <c r="IEZ44"/>
      <c r="IFA44"/>
      <c r="IFB44"/>
      <c r="IFC44"/>
      <c r="IFD44"/>
      <c r="IFE44"/>
      <c r="IFF44"/>
      <c r="IFG44"/>
      <c r="IFH44"/>
      <c r="IFI44"/>
      <c r="IFJ44"/>
      <c r="IFK44"/>
      <c r="IFL44"/>
      <c r="IFM44"/>
      <c r="IFN44"/>
      <c r="IFO44"/>
      <c r="IFP44"/>
      <c r="IFQ44"/>
      <c r="IFR44"/>
      <c r="IFS44"/>
      <c r="IFT44"/>
      <c r="IFU44"/>
      <c r="IFV44"/>
      <c r="IFW44"/>
      <c r="IFX44"/>
      <c r="IFY44"/>
      <c r="IFZ44"/>
      <c r="IGA44"/>
      <c r="IGB44"/>
      <c r="IGC44"/>
      <c r="IGD44"/>
      <c r="IGE44"/>
      <c r="IGF44"/>
      <c r="IGG44"/>
      <c r="IGH44"/>
      <c r="IGI44"/>
      <c r="IGJ44"/>
      <c r="IGK44"/>
      <c r="IGL44"/>
      <c r="IGM44"/>
      <c r="IGN44"/>
      <c r="IGO44"/>
      <c r="IGP44"/>
      <c r="IGQ44"/>
      <c r="IGR44"/>
      <c r="IGS44"/>
      <c r="IGT44"/>
      <c r="IGU44"/>
      <c r="IGV44"/>
      <c r="IGW44"/>
      <c r="IGX44"/>
      <c r="IGY44"/>
      <c r="IGZ44"/>
      <c r="IHA44"/>
      <c r="IHB44"/>
      <c r="IHC44"/>
      <c r="IHD44"/>
      <c r="IHE44"/>
      <c r="IHF44"/>
      <c r="IHG44"/>
      <c r="IHH44"/>
      <c r="IHI44"/>
      <c r="IHJ44"/>
      <c r="IHK44"/>
      <c r="IHL44"/>
      <c r="IHM44"/>
      <c r="IHN44"/>
      <c r="IHO44"/>
      <c r="IHP44"/>
      <c r="IHQ44"/>
      <c r="IHR44"/>
      <c r="IHS44"/>
      <c r="IHT44"/>
      <c r="IHU44"/>
      <c r="IHV44"/>
      <c r="IHW44"/>
      <c r="IHX44"/>
      <c r="IHY44"/>
      <c r="IHZ44"/>
      <c r="IIA44"/>
      <c r="IIB44"/>
      <c r="IIC44"/>
      <c r="IID44"/>
      <c r="IIE44"/>
      <c r="IIF44"/>
      <c r="IIG44"/>
      <c r="IIH44"/>
      <c r="III44"/>
      <c r="IIJ44"/>
      <c r="IIK44"/>
      <c r="IIL44"/>
      <c r="IIM44"/>
      <c r="IIN44"/>
      <c r="IIO44"/>
      <c r="IIP44"/>
      <c r="IIQ44"/>
      <c r="IIR44"/>
      <c r="IIS44"/>
      <c r="IIT44"/>
      <c r="IIU44"/>
      <c r="IIV44"/>
      <c r="IIW44"/>
      <c r="IIX44"/>
      <c r="IIY44"/>
      <c r="IIZ44"/>
      <c r="IJA44"/>
      <c r="IJB44"/>
      <c r="IJC44"/>
      <c r="IJD44"/>
      <c r="IJE44"/>
      <c r="IJF44"/>
      <c r="IJG44"/>
      <c r="IJH44"/>
      <c r="IJI44"/>
      <c r="IJJ44"/>
      <c r="IJK44"/>
      <c r="IJL44"/>
      <c r="IJM44"/>
      <c r="IJN44"/>
      <c r="IJO44"/>
      <c r="IJP44"/>
      <c r="IJQ44"/>
      <c r="IJR44"/>
      <c r="IJS44"/>
      <c r="IJT44"/>
      <c r="IJU44"/>
      <c r="IJV44"/>
      <c r="IJW44"/>
      <c r="IJX44"/>
      <c r="IJY44"/>
      <c r="IJZ44"/>
      <c r="IKA44"/>
      <c r="IKB44"/>
      <c r="IKC44"/>
      <c r="IKD44"/>
      <c r="IKE44"/>
      <c r="IKF44"/>
      <c r="IKG44"/>
      <c r="IKH44"/>
      <c r="IKI44"/>
      <c r="IKJ44"/>
      <c r="IKK44"/>
      <c r="IKL44"/>
      <c r="IKM44"/>
      <c r="IKN44"/>
      <c r="IKO44"/>
      <c r="IKP44"/>
      <c r="IKQ44"/>
      <c r="IKR44"/>
      <c r="IKS44"/>
      <c r="IKT44"/>
      <c r="IKU44"/>
      <c r="IKV44"/>
      <c r="IKW44"/>
      <c r="IKX44"/>
      <c r="IKY44"/>
      <c r="IKZ44"/>
      <c r="ILA44"/>
      <c r="ILB44"/>
      <c r="ILC44"/>
      <c r="ILD44"/>
      <c r="ILE44"/>
      <c r="ILF44"/>
      <c r="ILG44"/>
      <c r="ILH44"/>
      <c r="ILI44"/>
      <c r="ILJ44"/>
      <c r="ILK44"/>
      <c r="ILL44"/>
      <c r="ILM44"/>
      <c r="ILN44"/>
      <c r="ILO44"/>
      <c r="ILP44"/>
      <c r="ILQ44"/>
      <c r="ILR44"/>
      <c r="ILS44"/>
      <c r="ILT44"/>
      <c r="ILU44"/>
      <c r="ILV44"/>
      <c r="ILW44"/>
      <c r="ILX44"/>
      <c r="ILY44"/>
      <c r="ILZ44"/>
      <c r="IMA44"/>
      <c r="IMB44"/>
      <c r="IMC44"/>
      <c r="IMD44"/>
      <c r="IME44"/>
      <c r="IMF44"/>
      <c r="IMG44"/>
      <c r="IMH44"/>
      <c r="IMI44"/>
      <c r="IMJ44"/>
      <c r="IMK44"/>
      <c r="IML44"/>
      <c r="IMM44"/>
      <c r="IMN44"/>
      <c r="IMO44"/>
      <c r="IMP44"/>
      <c r="IMQ44"/>
      <c r="IMR44"/>
      <c r="IMS44"/>
      <c r="IMT44"/>
      <c r="IMU44"/>
      <c r="IMV44"/>
      <c r="IMW44"/>
      <c r="IMX44"/>
      <c r="IMY44"/>
      <c r="IMZ44"/>
      <c r="INA44"/>
      <c r="INB44"/>
      <c r="INC44"/>
      <c r="IND44"/>
      <c r="INE44"/>
      <c r="INF44"/>
      <c r="ING44"/>
      <c r="INH44"/>
      <c r="INI44"/>
      <c r="INJ44"/>
      <c r="INK44"/>
      <c r="INL44"/>
      <c r="INM44"/>
      <c r="INN44"/>
      <c r="INO44"/>
      <c r="INP44"/>
      <c r="INQ44"/>
      <c r="INR44"/>
      <c r="INS44"/>
      <c r="INT44"/>
      <c r="INU44"/>
      <c r="INV44"/>
      <c r="INW44"/>
      <c r="INX44"/>
      <c r="INY44"/>
      <c r="INZ44"/>
      <c r="IOA44"/>
      <c r="IOB44"/>
      <c r="IOC44"/>
      <c r="IOD44"/>
      <c r="IOE44"/>
      <c r="IOF44"/>
      <c r="IOG44"/>
      <c r="IOH44"/>
      <c r="IOI44"/>
      <c r="IOJ44"/>
      <c r="IOK44"/>
      <c r="IOL44"/>
      <c r="IOM44"/>
      <c r="ION44"/>
      <c r="IOO44"/>
      <c r="IOP44"/>
      <c r="IOQ44"/>
      <c r="IOR44"/>
      <c r="IOS44"/>
      <c r="IOT44"/>
      <c r="IOU44"/>
      <c r="IOV44"/>
      <c r="IOW44"/>
      <c r="IOX44"/>
      <c r="IOY44"/>
      <c r="IOZ44"/>
      <c r="IPA44"/>
      <c r="IPB44"/>
      <c r="IPC44"/>
      <c r="IPD44"/>
      <c r="IPE44"/>
      <c r="IPF44"/>
      <c r="IPG44"/>
      <c r="IPH44"/>
      <c r="IPI44"/>
      <c r="IPJ44"/>
      <c r="IPK44"/>
      <c r="IPL44"/>
      <c r="IPM44"/>
      <c r="IPN44"/>
      <c r="IPO44"/>
      <c r="IPP44"/>
      <c r="IPQ44"/>
      <c r="IPR44"/>
      <c r="IPS44"/>
      <c r="IPT44"/>
      <c r="IPU44"/>
      <c r="IPV44"/>
      <c r="IPW44"/>
      <c r="IPX44"/>
      <c r="IPY44"/>
      <c r="IPZ44"/>
      <c r="IQA44"/>
      <c r="IQB44"/>
      <c r="IQC44"/>
      <c r="IQD44"/>
      <c r="IQE44"/>
      <c r="IQF44"/>
      <c r="IQG44"/>
      <c r="IQH44"/>
      <c r="IQI44"/>
      <c r="IQJ44"/>
      <c r="IQK44"/>
      <c r="IQL44"/>
      <c r="IQM44"/>
      <c r="IQN44"/>
      <c r="IQO44"/>
      <c r="IQP44"/>
      <c r="IQQ44"/>
      <c r="IQR44"/>
      <c r="IQS44"/>
      <c r="IQT44"/>
      <c r="IQU44"/>
      <c r="IQV44"/>
      <c r="IQW44"/>
      <c r="IQX44"/>
      <c r="IQY44"/>
      <c r="IQZ44"/>
      <c r="IRA44"/>
      <c r="IRB44"/>
      <c r="IRC44"/>
      <c r="IRD44"/>
      <c r="IRE44"/>
      <c r="IRF44"/>
      <c r="IRG44"/>
      <c r="IRH44"/>
      <c r="IRI44"/>
      <c r="IRJ44"/>
      <c r="IRK44"/>
      <c r="IRL44"/>
      <c r="IRM44"/>
      <c r="IRN44"/>
      <c r="IRO44"/>
      <c r="IRP44"/>
      <c r="IRQ44"/>
      <c r="IRR44"/>
      <c r="IRS44"/>
      <c r="IRT44"/>
      <c r="IRU44"/>
      <c r="IRV44"/>
      <c r="IRW44"/>
      <c r="IRX44"/>
      <c r="IRY44"/>
      <c r="IRZ44"/>
      <c r="ISA44"/>
      <c r="ISB44"/>
      <c r="ISC44"/>
      <c r="ISD44"/>
      <c r="ISE44"/>
      <c r="ISF44"/>
      <c r="ISG44"/>
      <c r="ISH44"/>
      <c r="ISI44"/>
      <c r="ISJ44"/>
      <c r="ISK44"/>
      <c r="ISL44"/>
      <c r="ISM44"/>
      <c r="ISN44"/>
      <c r="ISO44"/>
      <c r="ISP44"/>
      <c r="ISQ44"/>
      <c r="ISR44"/>
      <c r="ISS44"/>
      <c r="IST44"/>
      <c r="ISU44"/>
      <c r="ISV44"/>
      <c r="ISW44"/>
      <c r="ISX44"/>
      <c r="ISY44"/>
      <c r="ISZ44"/>
      <c r="ITA44"/>
      <c r="ITB44"/>
      <c r="ITC44"/>
      <c r="ITD44"/>
      <c r="ITE44"/>
      <c r="ITF44"/>
      <c r="ITG44"/>
      <c r="ITH44"/>
      <c r="ITI44"/>
      <c r="ITJ44"/>
      <c r="ITK44"/>
      <c r="ITL44"/>
      <c r="ITM44"/>
      <c r="ITN44"/>
      <c r="ITO44"/>
      <c r="ITP44"/>
      <c r="ITQ44"/>
      <c r="ITR44"/>
      <c r="ITS44"/>
      <c r="ITT44"/>
      <c r="ITU44"/>
      <c r="ITV44"/>
      <c r="ITW44"/>
      <c r="ITX44"/>
      <c r="ITY44"/>
      <c r="ITZ44"/>
      <c r="IUA44"/>
      <c r="IUB44"/>
      <c r="IUC44"/>
      <c r="IUD44"/>
      <c r="IUE44"/>
      <c r="IUF44"/>
      <c r="IUG44"/>
      <c r="IUH44"/>
      <c r="IUI44"/>
      <c r="IUJ44"/>
      <c r="IUK44"/>
      <c r="IUL44"/>
      <c r="IUM44"/>
      <c r="IUN44"/>
      <c r="IUO44"/>
      <c r="IUP44"/>
      <c r="IUQ44"/>
      <c r="IUR44"/>
      <c r="IUS44"/>
      <c r="IUT44"/>
      <c r="IUU44"/>
      <c r="IUV44"/>
      <c r="IUW44"/>
      <c r="IUX44"/>
      <c r="IUY44"/>
      <c r="IUZ44"/>
      <c r="IVA44"/>
      <c r="IVB44"/>
      <c r="IVC44"/>
      <c r="IVD44"/>
      <c r="IVE44"/>
      <c r="IVF44"/>
      <c r="IVG44"/>
      <c r="IVH44"/>
      <c r="IVI44"/>
      <c r="IVJ44"/>
      <c r="IVK44"/>
      <c r="IVL44"/>
      <c r="IVM44"/>
      <c r="IVN44"/>
      <c r="IVO44"/>
      <c r="IVP44"/>
      <c r="IVQ44"/>
      <c r="IVR44"/>
      <c r="IVS44"/>
      <c r="IVT44"/>
      <c r="IVU44"/>
      <c r="IVV44"/>
      <c r="IVW44"/>
      <c r="IVX44"/>
      <c r="IVY44"/>
      <c r="IVZ44"/>
      <c r="IWA44"/>
      <c r="IWB44"/>
      <c r="IWC44"/>
      <c r="IWD44"/>
      <c r="IWE44"/>
      <c r="IWF44"/>
      <c r="IWG44"/>
      <c r="IWH44"/>
      <c r="IWI44"/>
      <c r="IWJ44"/>
      <c r="IWK44"/>
      <c r="IWL44"/>
      <c r="IWM44"/>
      <c r="IWN44"/>
      <c r="IWO44"/>
      <c r="IWP44"/>
      <c r="IWQ44"/>
      <c r="IWR44"/>
      <c r="IWS44"/>
      <c r="IWT44"/>
      <c r="IWU44"/>
      <c r="IWV44"/>
      <c r="IWW44"/>
      <c r="IWX44"/>
      <c r="IWY44"/>
      <c r="IWZ44"/>
      <c r="IXA44"/>
      <c r="IXB44"/>
      <c r="IXC44"/>
      <c r="IXD44"/>
      <c r="IXE44"/>
      <c r="IXF44"/>
      <c r="IXG44"/>
      <c r="IXH44"/>
      <c r="IXI44"/>
      <c r="IXJ44"/>
      <c r="IXK44"/>
      <c r="IXL44"/>
      <c r="IXM44"/>
      <c r="IXN44"/>
      <c r="IXO44"/>
      <c r="IXP44"/>
      <c r="IXQ44"/>
      <c r="IXR44"/>
      <c r="IXS44"/>
      <c r="IXT44"/>
      <c r="IXU44"/>
      <c r="IXV44"/>
      <c r="IXW44"/>
      <c r="IXX44"/>
      <c r="IXY44"/>
      <c r="IXZ44"/>
      <c r="IYA44"/>
      <c r="IYB44"/>
      <c r="IYC44"/>
      <c r="IYD44"/>
      <c r="IYE44"/>
      <c r="IYF44"/>
      <c r="IYG44"/>
      <c r="IYH44"/>
      <c r="IYI44"/>
      <c r="IYJ44"/>
      <c r="IYK44"/>
      <c r="IYL44"/>
      <c r="IYM44"/>
      <c r="IYN44"/>
      <c r="IYO44"/>
      <c r="IYP44"/>
      <c r="IYQ44"/>
      <c r="IYR44"/>
      <c r="IYS44"/>
      <c r="IYT44"/>
      <c r="IYU44"/>
      <c r="IYV44"/>
      <c r="IYW44"/>
      <c r="IYX44"/>
      <c r="IYY44"/>
      <c r="IYZ44"/>
      <c r="IZA44"/>
      <c r="IZB44"/>
      <c r="IZC44"/>
      <c r="IZD44"/>
      <c r="IZE44"/>
      <c r="IZF44"/>
      <c r="IZG44"/>
      <c r="IZH44"/>
      <c r="IZI44"/>
      <c r="IZJ44"/>
      <c r="IZK44"/>
      <c r="IZL44"/>
      <c r="IZM44"/>
      <c r="IZN44"/>
      <c r="IZO44"/>
      <c r="IZP44"/>
      <c r="IZQ44"/>
      <c r="IZR44"/>
      <c r="IZS44"/>
      <c r="IZT44"/>
      <c r="IZU44"/>
      <c r="IZV44"/>
      <c r="IZW44"/>
      <c r="IZX44"/>
      <c r="IZY44"/>
      <c r="IZZ44"/>
      <c r="JAA44"/>
      <c r="JAB44"/>
      <c r="JAC44"/>
      <c r="JAD44"/>
      <c r="JAE44"/>
      <c r="JAF44"/>
      <c r="JAG44"/>
      <c r="JAH44"/>
      <c r="JAI44"/>
      <c r="JAJ44"/>
      <c r="JAK44"/>
      <c r="JAL44"/>
      <c r="JAM44"/>
      <c r="JAN44"/>
      <c r="JAO44"/>
      <c r="JAP44"/>
      <c r="JAQ44"/>
      <c r="JAR44"/>
      <c r="JAS44"/>
      <c r="JAT44"/>
      <c r="JAU44"/>
      <c r="JAV44"/>
      <c r="JAW44"/>
      <c r="JAX44"/>
      <c r="JAY44"/>
      <c r="JAZ44"/>
      <c r="JBA44"/>
      <c r="JBB44"/>
      <c r="JBC44"/>
      <c r="JBD44"/>
      <c r="JBE44"/>
      <c r="JBF44"/>
      <c r="JBG44"/>
      <c r="JBH44"/>
      <c r="JBI44"/>
      <c r="JBJ44"/>
      <c r="JBK44"/>
      <c r="JBL44"/>
      <c r="JBM44"/>
      <c r="JBN44"/>
      <c r="JBO44"/>
      <c r="JBP44"/>
      <c r="JBQ44"/>
      <c r="JBR44"/>
      <c r="JBS44"/>
      <c r="JBT44"/>
      <c r="JBU44"/>
      <c r="JBV44"/>
      <c r="JBW44"/>
      <c r="JBX44"/>
      <c r="JBY44"/>
      <c r="JBZ44"/>
      <c r="JCA44"/>
      <c r="JCB44"/>
      <c r="JCC44"/>
      <c r="JCD44"/>
      <c r="JCE44"/>
      <c r="JCF44"/>
      <c r="JCG44"/>
      <c r="JCH44"/>
      <c r="JCI44"/>
      <c r="JCJ44"/>
      <c r="JCK44"/>
      <c r="JCL44"/>
      <c r="JCM44"/>
      <c r="JCN44"/>
      <c r="JCO44"/>
      <c r="JCP44"/>
      <c r="JCQ44"/>
      <c r="JCR44"/>
      <c r="JCS44"/>
      <c r="JCT44"/>
      <c r="JCU44"/>
      <c r="JCV44"/>
      <c r="JCW44"/>
      <c r="JCX44"/>
      <c r="JCY44"/>
      <c r="JCZ44"/>
      <c r="JDA44"/>
      <c r="JDB44"/>
      <c r="JDC44"/>
      <c r="JDD44"/>
      <c r="JDE44"/>
      <c r="JDF44"/>
      <c r="JDG44"/>
      <c r="JDH44"/>
      <c r="JDI44"/>
      <c r="JDJ44"/>
      <c r="JDK44"/>
      <c r="JDL44"/>
      <c r="JDM44"/>
      <c r="JDN44"/>
      <c r="JDO44"/>
      <c r="JDP44"/>
      <c r="JDQ44"/>
      <c r="JDR44"/>
      <c r="JDS44"/>
      <c r="JDT44"/>
      <c r="JDU44"/>
      <c r="JDV44"/>
      <c r="JDW44"/>
      <c r="JDX44"/>
      <c r="JDY44"/>
      <c r="JDZ44"/>
      <c r="JEA44"/>
      <c r="JEB44"/>
      <c r="JEC44"/>
      <c r="JED44"/>
      <c r="JEE44"/>
      <c r="JEF44"/>
      <c r="JEG44"/>
      <c r="JEH44"/>
      <c r="JEI44"/>
      <c r="JEJ44"/>
      <c r="JEK44"/>
      <c r="JEL44"/>
      <c r="JEM44"/>
      <c r="JEN44"/>
      <c r="JEO44"/>
      <c r="JEP44"/>
      <c r="JEQ44"/>
      <c r="JER44"/>
      <c r="JES44"/>
      <c r="JET44"/>
      <c r="JEU44"/>
      <c r="JEV44"/>
      <c r="JEW44"/>
      <c r="JEX44"/>
      <c r="JEY44"/>
      <c r="JEZ44"/>
      <c r="JFA44"/>
      <c r="JFB44"/>
      <c r="JFC44"/>
      <c r="JFD44"/>
      <c r="JFE44"/>
      <c r="JFF44"/>
      <c r="JFG44"/>
      <c r="JFH44"/>
      <c r="JFI44"/>
      <c r="JFJ44"/>
      <c r="JFK44"/>
      <c r="JFL44"/>
      <c r="JFM44"/>
      <c r="JFN44"/>
      <c r="JFO44"/>
      <c r="JFP44"/>
      <c r="JFQ44"/>
      <c r="JFR44"/>
      <c r="JFS44"/>
      <c r="JFT44"/>
      <c r="JFU44"/>
      <c r="JFV44"/>
      <c r="JFW44"/>
      <c r="JFX44"/>
      <c r="JFY44"/>
      <c r="JFZ44"/>
      <c r="JGA44"/>
      <c r="JGB44"/>
      <c r="JGC44"/>
      <c r="JGD44"/>
      <c r="JGE44"/>
      <c r="JGF44"/>
      <c r="JGG44"/>
      <c r="JGH44"/>
      <c r="JGI44"/>
      <c r="JGJ44"/>
      <c r="JGK44"/>
      <c r="JGL44"/>
      <c r="JGM44"/>
      <c r="JGN44"/>
      <c r="JGO44"/>
      <c r="JGP44"/>
      <c r="JGQ44"/>
      <c r="JGR44"/>
      <c r="JGS44"/>
      <c r="JGT44"/>
      <c r="JGU44"/>
      <c r="JGV44"/>
      <c r="JGW44"/>
      <c r="JGX44"/>
      <c r="JGY44"/>
      <c r="JGZ44"/>
      <c r="JHA44"/>
      <c r="JHB44"/>
      <c r="JHC44"/>
      <c r="JHD44"/>
      <c r="JHE44"/>
      <c r="JHF44"/>
      <c r="JHG44"/>
      <c r="JHH44"/>
      <c r="JHI44"/>
      <c r="JHJ44"/>
      <c r="JHK44"/>
      <c r="JHL44"/>
      <c r="JHM44"/>
      <c r="JHN44"/>
      <c r="JHO44"/>
      <c r="JHP44"/>
      <c r="JHQ44"/>
      <c r="JHR44"/>
      <c r="JHS44"/>
      <c r="JHT44"/>
      <c r="JHU44"/>
      <c r="JHV44"/>
      <c r="JHW44"/>
      <c r="JHX44"/>
      <c r="JHY44"/>
      <c r="JHZ44"/>
      <c r="JIA44"/>
      <c r="JIB44"/>
      <c r="JIC44"/>
      <c r="JID44"/>
      <c r="JIE44"/>
      <c r="JIF44"/>
      <c r="JIG44"/>
      <c r="JIH44"/>
      <c r="JII44"/>
      <c r="JIJ44"/>
      <c r="JIK44"/>
      <c r="JIL44"/>
      <c r="JIM44"/>
      <c r="JIN44"/>
      <c r="JIO44"/>
      <c r="JIP44"/>
      <c r="JIQ44"/>
      <c r="JIR44"/>
      <c r="JIS44"/>
      <c r="JIT44"/>
      <c r="JIU44"/>
      <c r="JIV44"/>
      <c r="JIW44"/>
      <c r="JIX44"/>
      <c r="JIY44"/>
      <c r="JIZ44"/>
      <c r="JJA44"/>
      <c r="JJB44"/>
      <c r="JJC44"/>
      <c r="JJD44"/>
      <c r="JJE44"/>
      <c r="JJF44"/>
      <c r="JJG44"/>
      <c r="JJH44"/>
      <c r="JJI44"/>
      <c r="JJJ44"/>
      <c r="JJK44"/>
      <c r="JJL44"/>
      <c r="JJM44"/>
      <c r="JJN44"/>
      <c r="JJO44"/>
      <c r="JJP44"/>
      <c r="JJQ44"/>
      <c r="JJR44"/>
      <c r="JJS44"/>
      <c r="JJT44"/>
      <c r="JJU44"/>
      <c r="JJV44"/>
      <c r="JJW44"/>
      <c r="JJX44"/>
      <c r="JJY44"/>
      <c r="JJZ44"/>
      <c r="JKA44"/>
      <c r="JKB44"/>
      <c r="JKC44"/>
      <c r="JKD44"/>
      <c r="JKE44"/>
      <c r="JKF44"/>
      <c r="JKG44"/>
      <c r="JKH44"/>
      <c r="JKI44"/>
      <c r="JKJ44"/>
      <c r="JKK44"/>
      <c r="JKL44"/>
      <c r="JKM44"/>
      <c r="JKN44"/>
      <c r="JKO44"/>
      <c r="JKP44"/>
      <c r="JKQ44"/>
      <c r="JKR44"/>
      <c r="JKS44"/>
      <c r="JKT44"/>
      <c r="JKU44"/>
      <c r="JKV44"/>
      <c r="JKW44"/>
      <c r="JKX44"/>
      <c r="JKY44"/>
      <c r="JKZ44"/>
      <c r="JLA44"/>
      <c r="JLB44"/>
      <c r="JLC44"/>
      <c r="JLD44"/>
      <c r="JLE44"/>
      <c r="JLF44"/>
      <c r="JLG44"/>
      <c r="JLH44"/>
      <c r="JLI44"/>
      <c r="JLJ44"/>
      <c r="JLK44"/>
      <c r="JLL44"/>
      <c r="JLM44"/>
      <c r="JLN44"/>
      <c r="JLO44"/>
      <c r="JLP44"/>
      <c r="JLQ44"/>
      <c r="JLR44"/>
      <c r="JLS44"/>
      <c r="JLT44"/>
      <c r="JLU44"/>
      <c r="JLV44"/>
      <c r="JLW44"/>
      <c r="JLX44"/>
      <c r="JLY44"/>
      <c r="JLZ44"/>
      <c r="JMA44"/>
      <c r="JMB44"/>
      <c r="JMC44"/>
      <c r="JMD44"/>
      <c r="JME44"/>
      <c r="JMF44"/>
      <c r="JMG44"/>
      <c r="JMH44"/>
      <c r="JMI44"/>
      <c r="JMJ44"/>
      <c r="JMK44"/>
      <c r="JML44"/>
      <c r="JMM44"/>
      <c r="JMN44"/>
      <c r="JMO44"/>
      <c r="JMP44"/>
      <c r="JMQ44"/>
      <c r="JMR44"/>
      <c r="JMS44"/>
      <c r="JMT44"/>
      <c r="JMU44"/>
      <c r="JMV44"/>
      <c r="JMW44"/>
      <c r="JMX44"/>
      <c r="JMY44"/>
      <c r="JMZ44"/>
      <c r="JNA44"/>
      <c r="JNB44"/>
      <c r="JNC44"/>
      <c r="JND44"/>
      <c r="JNE44"/>
      <c r="JNF44"/>
      <c r="JNG44"/>
      <c r="JNH44"/>
      <c r="JNI44"/>
      <c r="JNJ44"/>
      <c r="JNK44"/>
      <c r="JNL44"/>
      <c r="JNM44"/>
      <c r="JNN44"/>
      <c r="JNO44"/>
      <c r="JNP44"/>
      <c r="JNQ44"/>
      <c r="JNR44"/>
      <c r="JNS44"/>
      <c r="JNT44"/>
      <c r="JNU44"/>
      <c r="JNV44"/>
      <c r="JNW44"/>
      <c r="JNX44"/>
      <c r="JNY44"/>
      <c r="JNZ44"/>
      <c r="JOA44"/>
      <c r="JOB44"/>
      <c r="JOC44"/>
      <c r="JOD44"/>
      <c r="JOE44"/>
      <c r="JOF44"/>
      <c r="JOG44"/>
      <c r="JOH44"/>
      <c r="JOI44"/>
      <c r="JOJ44"/>
      <c r="JOK44"/>
      <c r="JOL44"/>
      <c r="JOM44"/>
      <c r="JON44"/>
      <c r="JOO44"/>
      <c r="JOP44"/>
      <c r="JOQ44"/>
      <c r="JOR44"/>
      <c r="JOS44"/>
      <c r="JOT44"/>
      <c r="JOU44"/>
      <c r="JOV44"/>
      <c r="JOW44"/>
      <c r="JOX44"/>
      <c r="JOY44"/>
      <c r="JOZ44"/>
      <c r="JPA44"/>
      <c r="JPB44"/>
      <c r="JPC44"/>
      <c r="JPD44"/>
      <c r="JPE44"/>
      <c r="JPF44"/>
      <c r="JPG44"/>
      <c r="JPH44"/>
      <c r="JPI44"/>
      <c r="JPJ44"/>
      <c r="JPK44"/>
      <c r="JPL44"/>
      <c r="JPM44"/>
      <c r="JPN44"/>
      <c r="JPO44"/>
      <c r="JPP44"/>
      <c r="JPQ44"/>
      <c r="JPR44"/>
      <c r="JPS44"/>
      <c r="JPT44"/>
      <c r="JPU44"/>
      <c r="JPV44"/>
      <c r="JPW44"/>
      <c r="JPX44"/>
      <c r="JPY44"/>
      <c r="JPZ44"/>
      <c r="JQA44"/>
      <c r="JQB44"/>
      <c r="JQC44"/>
      <c r="JQD44"/>
      <c r="JQE44"/>
      <c r="JQF44"/>
      <c r="JQG44"/>
      <c r="JQH44"/>
      <c r="JQI44"/>
      <c r="JQJ44"/>
      <c r="JQK44"/>
      <c r="JQL44"/>
      <c r="JQM44"/>
      <c r="JQN44"/>
      <c r="JQO44"/>
      <c r="JQP44"/>
      <c r="JQQ44"/>
      <c r="JQR44"/>
      <c r="JQS44"/>
      <c r="JQT44"/>
      <c r="JQU44"/>
      <c r="JQV44"/>
      <c r="JQW44"/>
      <c r="JQX44"/>
      <c r="JQY44"/>
      <c r="JQZ44"/>
      <c r="JRA44"/>
      <c r="JRB44"/>
      <c r="JRC44"/>
      <c r="JRD44"/>
      <c r="JRE44"/>
      <c r="JRF44"/>
      <c r="JRG44"/>
      <c r="JRH44"/>
      <c r="JRI44"/>
      <c r="JRJ44"/>
      <c r="JRK44"/>
      <c r="JRL44"/>
      <c r="JRM44"/>
      <c r="JRN44"/>
      <c r="JRO44"/>
      <c r="JRP44"/>
      <c r="JRQ44"/>
      <c r="JRR44"/>
      <c r="JRS44"/>
      <c r="JRT44"/>
      <c r="JRU44"/>
      <c r="JRV44"/>
      <c r="JRW44"/>
      <c r="JRX44"/>
      <c r="JRY44"/>
      <c r="JRZ44"/>
      <c r="JSA44"/>
      <c r="JSB44"/>
      <c r="JSC44"/>
      <c r="JSD44"/>
      <c r="JSE44"/>
      <c r="JSF44"/>
      <c r="JSG44"/>
      <c r="JSH44"/>
      <c r="JSI44"/>
      <c r="JSJ44"/>
      <c r="JSK44"/>
      <c r="JSL44"/>
      <c r="JSM44"/>
      <c r="JSN44"/>
      <c r="JSO44"/>
      <c r="JSP44"/>
      <c r="JSQ44"/>
      <c r="JSR44"/>
      <c r="JSS44"/>
      <c r="JST44"/>
      <c r="JSU44"/>
      <c r="JSV44"/>
      <c r="JSW44"/>
      <c r="JSX44"/>
      <c r="JSY44"/>
      <c r="JSZ44"/>
      <c r="JTA44"/>
      <c r="JTB44"/>
      <c r="JTC44"/>
      <c r="JTD44"/>
      <c r="JTE44"/>
      <c r="JTF44"/>
      <c r="JTG44"/>
      <c r="JTH44"/>
      <c r="JTI44"/>
      <c r="JTJ44"/>
      <c r="JTK44"/>
      <c r="JTL44"/>
      <c r="JTM44"/>
      <c r="JTN44"/>
      <c r="JTO44"/>
      <c r="JTP44"/>
      <c r="JTQ44"/>
      <c r="JTR44"/>
      <c r="JTS44"/>
      <c r="JTT44"/>
      <c r="JTU44"/>
      <c r="JTV44"/>
      <c r="JTW44"/>
      <c r="JTX44"/>
      <c r="JTY44"/>
      <c r="JTZ44"/>
      <c r="JUA44"/>
      <c r="JUB44"/>
      <c r="JUC44"/>
      <c r="JUD44"/>
      <c r="JUE44"/>
      <c r="JUF44"/>
      <c r="JUG44"/>
      <c r="JUH44"/>
      <c r="JUI44"/>
      <c r="JUJ44"/>
      <c r="JUK44"/>
      <c r="JUL44"/>
      <c r="JUM44"/>
      <c r="JUN44"/>
      <c r="JUO44"/>
      <c r="JUP44"/>
      <c r="JUQ44"/>
      <c r="JUR44"/>
      <c r="JUS44"/>
      <c r="JUT44"/>
      <c r="JUU44"/>
      <c r="JUV44"/>
      <c r="JUW44"/>
      <c r="JUX44"/>
      <c r="JUY44"/>
      <c r="JUZ44"/>
      <c r="JVA44"/>
      <c r="JVB44"/>
      <c r="JVC44"/>
      <c r="JVD44"/>
      <c r="JVE44"/>
      <c r="JVF44"/>
      <c r="JVG44"/>
      <c r="JVH44"/>
      <c r="JVI44"/>
      <c r="JVJ44"/>
      <c r="JVK44"/>
      <c r="JVL44"/>
      <c r="JVM44"/>
      <c r="JVN44"/>
      <c r="JVO44"/>
      <c r="JVP44"/>
      <c r="JVQ44"/>
      <c r="JVR44"/>
      <c r="JVS44"/>
      <c r="JVT44"/>
      <c r="JVU44"/>
      <c r="JVV44"/>
      <c r="JVW44"/>
      <c r="JVX44"/>
      <c r="JVY44"/>
      <c r="JVZ44"/>
      <c r="JWA44"/>
      <c r="JWB44"/>
      <c r="JWC44"/>
      <c r="JWD44"/>
      <c r="JWE44"/>
      <c r="JWF44"/>
      <c r="JWG44"/>
      <c r="JWH44"/>
      <c r="JWI44"/>
      <c r="JWJ44"/>
      <c r="JWK44"/>
      <c r="JWL44"/>
      <c r="JWM44"/>
      <c r="JWN44"/>
      <c r="JWO44"/>
      <c r="JWP44"/>
      <c r="JWQ44"/>
      <c r="JWR44"/>
      <c r="JWS44"/>
      <c r="JWT44"/>
      <c r="JWU44"/>
      <c r="JWV44"/>
      <c r="JWW44"/>
      <c r="JWX44"/>
      <c r="JWY44"/>
      <c r="JWZ44"/>
      <c r="JXA44"/>
      <c r="JXB44"/>
      <c r="JXC44"/>
      <c r="JXD44"/>
      <c r="JXE44"/>
      <c r="JXF44"/>
      <c r="JXG44"/>
      <c r="JXH44"/>
      <c r="JXI44"/>
      <c r="JXJ44"/>
      <c r="JXK44"/>
      <c r="JXL44"/>
      <c r="JXM44"/>
      <c r="JXN44"/>
      <c r="JXO44"/>
      <c r="JXP44"/>
      <c r="JXQ44"/>
      <c r="JXR44"/>
      <c r="JXS44"/>
      <c r="JXT44"/>
      <c r="JXU44"/>
      <c r="JXV44"/>
      <c r="JXW44"/>
      <c r="JXX44"/>
      <c r="JXY44"/>
      <c r="JXZ44"/>
      <c r="JYA44"/>
      <c r="JYB44"/>
      <c r="JYC44"/>
      <c r="JYD44"/>
      <c r="JYE44"/>
      <c r="JYF44"/>
      <c r="JYG44"/>
      <c r="JYH44"/>
      <c r="JYI44"/>
      <c r="JYJ44"/>
      <c r="JYK44"/>
      <c r="JYL44"/>
      <c r="JYM44"/>
      <c r="JYN44"/>
      <c r="JYO44"/>
      <c r="JYP44"/>
      <c r="JYQ44"/>
      <c r="JYR44"/>
      <c r="JYS44"/>
      <c r="JYT44"/>
      <c r="JYU44"/>
      <c r="JYV44"/>
      <c r="JYW44"/>
      <c r="JYX44"/>
      <c r="JYY44"/>
      <c r="JYZ44"/>
      <c r="JZA44"/>
      <c r="JZB44"/>
      <c r="JZC44"/>
      <c r="JZD44"/>
      <c r="JZE44"/>
      <c r="JZF44"/>
      <c r="JZG44"/>
      <c r="JZH44"/>
      <c r="JZI44"/>
      <c r="JZJ44"/>
      <c r="JZK44"/>
      <c r="JZL44"/>
      <c r="JZM44"/>
      <c r="JZN44"/>
      <c r="JZO44"/>
      <c r="JZP44"/>
      <c r="JZQ44"/>
      <c r="JZR44"/>
      <c r="JZS44"/>
      <c r="JZT44"/>
      <c r="JZU44"/>
      <c r="JZV44"/>
      <c r="JZW44"/>
      <c r="JZX44"/>
      <c r="JZY44"/>
      <c r="JZZ44"/>
      <c r="KAA44"/>
      <c r="KAB44"/>
      <c r="KAC44"/>
      <c r="KAD44"/>
      <c r="KAE44"/>
      <c r="KAF44"/>
      <c r="KAG44"/>
      <c r="KAH44"/>
      <c r="KAI44"/>
      <c r="KAJ44"/>
      <c r="KAK44"/>
      <c r="KAL44"/>
      <c r="KAM44"/>
      <c r="KAN44"/>
      <c r="KAO44"/>
      <c r="KAP44"/>
      <c r="KAQ44"/>
      <c r="KAR44"/>
      <c r="KAS44"/>
      <c r="KAT44"/>
      <c r="KAU44"/>
      <c r="KAV44"/>
      <c r="KAW44"/>
      <c r="KAX44"/>
      <c r="KAY44"/>
      <c r="KAZ44"/>
      <c r="KBA44"/>
      <c r="KBB44"/>
      <c r="KBC44"/>
      <c r="KBD44"/>
      <c r="KBE44"/>
      <c r="KBF44"/>
      <c r="KBG44"/>
      <c r="KBH44"/>
      <c r="KBI44"/>
      <c r="KBJ44"/>
      <c r="KBK44"/>
      <c r="KBL44"/>
      <c r="KBM44"/>
      <c r="KBN44"/>
      <c r="KBO44"/>
      <c r="KBP44"/>
      <c r="KBQ44"/>
      <c r="KBR44"/>
      <c r="KBS44"/>
      <c r="KBT44"/>
      <c r="KBU44"/>
      <c r="KBV44"/>
      <c r="KBW44"/>
      <c r="KBX44"/>
      <c r="KBY44"/>
      <c r="KBZ44"/>
      <c r="KCA44"/>
      <c r="KCB44"/>
      <c r="KCC44"/>
      <c r="KCD44"/>
      <c r="KCE44"/>
      <c r="KCF44"/>
      <c r="KCG44"/>
      <c r="KCH44"/>
      <c r="KCI44"/>
      <c r="KCJ44"/>
      <c r="KCK44"/>
      <c r="KCL44"/>
      <c r="KCM44"/>
      <c r="KCN44"/>
      <c r="KCO44"/>
      <c r="KCP44"/>
      <c r="KCQ44"/>
      <c r="KCR44"/>
      <c r="KCS44"/>
      <c r="KCT44"/>
      <c r="KCU44"/>
      <c r="KCV44"/>
      <c r="KCW44"/>
      <c r="KCX44"/>
      <c r="KCY44"/>
      <c r="KCZ44"/>
      <c r="KDA44"/>
      <c r="KDB44"/>
      <c r="KDC44"/>
      <c r="KDD44"/>
      <c r="KDE44"/>
      <c r="KDF44"/>
      <c r="KDG44"/>
      <c r="KDH44"/>
      <c r="KDI44"/>
      <c r="KDJ44"/>
      <c r="KDK44"/>
      <c r="KDL44"/>
      <c r="KDM44"/>
      <c r="KDN44"/>
      <c r="KDO44"/>
      <c r="KDP44"/>
      <c r="KDQ44"/>
      <c r="KDR44"/>
      <c r="KDS44"/>
      <c r="KDT44"/>
      <c r="KDU44"/>
      <c r="KDV44"/>
      <c r="KDW44"/>
      <c r="KDX44"/>
      <c r="KDY44"/>
      <c r="KDZ44"/>
      <c r="KEA44"/>
      <c r="KEB44"/>
      <c r="KEC44"/>
      <c r="KED44"/>
      <c r="KEE44"/>
      <c r="KEF44"/>
      <c r="KEG44"/>
      <c r="KEH44"/>
      <c r="KEI44"/>
      <c r="KEJ44"/>
      <c r="KEK44"/>
      <c r="KEL44"/>
      <c r="KEM44"/>
      <c r="KEN44"/>
      <c r="KEO44"/>
      <c r="KEP44"/>
      <c r="KEQ44"/>
      <c r="KER44"/>
      <c r="KES44"/>
      <c r="KET44"/>
      <c r="KEU44"/>
      <c r="KEV44"/>
      <c r="KEW44"/>
      <c r="KEX44"/>
      <c r="KEY44"/>
      <c r="KEZ44"/>
      <c r="KFA44"/>
      <c r="KFB44"/>
      <c r="KFC44"/>
      <c r="KFD44"/>
      <c r="KFE44"/>
      <c r="KFF44"/>
      <c r="KFG44"/>
      <c r="KFH44"/>
      <c r="KFI44"/>
      <c r="KFJ44"/>
      <c r="KFK44"/>
      <c r="KFL44"/>
      <c r="KFM44"/>
      <c r="KFN44"/>
      <c r="KFO44"/>
      <c r="KFP44"/>
      <c r="KFQ44"/>
      <c r="KFR44"/>
      <c r="KFS44"/>
      <c r="KFT44"/>
      <c r="KFU44"/>
      <c r="KFV44"/>
      <c r="KFW44"/>
      <c r="KFX44"/>
      <c r="KFY44"/>
      <c r="KFZ44"/>
      <c r="KGA44"/>
      <c r="KGB44"/>
      <c r="KGC44"/>
      <c r="KGD44"/>
      <c r="KGE44"/>
      <c r="KGF44"/>
      <c r="KGG44"/>
      <c r="KGH44"/>
      <c r="KGI44"/>
      <c r="KGJ44"/>
      <c r="KGK44"/>
      <c r="KGL44"/>
      <c r="KGM44"/>
      <c r="KGN44"/>
      <c r="KGO44"/>
      <c r="KGP44"/>
      <c r="KGQ44"/>
      <c r="KGR44"/>
      <c r="KGS44"/>
      <c r="KGT44"/>
      <c r="KGU44"/>
      <c r="KGV44"/>
      <c r="KGW44"/>
      <c r="KGX44"/>
      <c r="KGY44"/>
      <c r="KGZ44"/>
      <c r="KHA44"/>
      <c r="KHB44"/>
      <c r="KHC44"/>
      <c r="KHD44"/>
      <c r="KHE44"/>
      <c r="KHF44"/>
      <c r="KHG44"/>
      <c r="KHH44"/>
      <c r="KHI44"/>
      <c r="KHJ44"/>
      <c r="KHK44"/>
      <c r="KHL44"/>
      <c r="KHM44"/>
      <c r="KHN44"/>
      <c r="KHO44"/>
      <c r="KHP44"/>
      <c r="KHQ44"/>
      <c r="KHR44"/>
      <c r="KHS44"/>
      <c r="KHT44"/>
      <c r="KHU44"/>
      <c r="KHV44"/>
      <c r="KHW44"/>
      <c r="KHX44"/>
      <c r="KHY44"/>
      <c r="KHZ44"/>
      <c r="KIA44"/>
      <c r="KIB44"/>
      <c r="KIC44"/>
      <c r="KID44"/>
      <c r="KIE44"/>
      <c r="KIF44"/>
      <c r="KIG44"/>
      <c r="KIH44"/>
      <c r="KII44"/>
      <c r="KIJ44"/>
      <c r="KIK44"/>
      <c r="KIL44"/>
      <c r="KIM44"/>
      <c r="KIN44"/>
      <c r="KIO44"/>
      <c r="KIP44"/>
      <c r="KIQ44"/>
      <c r="KIR44"/>
      <c r="KIS44"/>
      <c r="KIT44"/>
      <c r="KIU44"/>
      <c r="KIV44"/>
      <c r="KIW44"/>
      <c r="KIX44"/>
      <c r="KIY44"/>
      <c r="KIZ44"/>
      <c r="KJA44"/>
      <c r="KJB44"/>
      <c r="KJC44"/>
      <c r="KJD44"/>
      <c r="KJE44"/>
      <c r="KJF44"/>
      <c r="KJG44"/>
      <c r="KJH44"/>
      <c r="KJI44"/>
      <c r="KJJ44"/>
      <c r="KJK44"/>
      <c r="KJL44"/>
      <c r="KJM44"/>
      <c r="KJN44"/>
      <c r="KJO44"/>
      <c r="KJP44"/>
      <c r="KJQ44"/>
      <c r="KJR44"/>
      <c r="KJS44"/>
      <c r="KJT44"/>
      <c r="KJU44"/>
      <c r="KJV44"/>
      <c r="KJW44"/>
      <c r="KJX44"/>
      <c r="KJY44"/>
      <c r="KJZ44"/>
      <c r="KKA44"/>
      <c r="KKB44"/>
      <c r="KKC44"/>
      <c r="KKD44"/>
      <c r="KKE44"/>
      <c r="KKF44"/>
      <c r="KKG44"/>
      <c r="KKH44"/>
      <c r="KKI44"/>
      <c r="KKJ44"/>
      <c r="KKK44"/>
      <c r="KKL44"/>
      <c r="KKM44"/>
      <c r="KKN44"/>
      <c r="KKO44"/>
      <c r="KKP44"/>
      <c r="KKQ44"/>
      <c r="KKR44"/>
      <c r="KKS44"/>
      <c r="KKT44"/>
      <c r="KKU44"/>
      <c r="KKV44"/>
      <c r="KKW44"/>
      <c r="KKX44"/>
      <c r="KKY44"/>
      <c r="KKZ44"/>
      <c r="KLA44"/>
      <c r="KLB44"/>
      <c r="KLC44"/>
      <c r="KLD44"/>
      <c r="KLE44"/>
      <c r="KLF44"/>
      <c r="KLG44"/>
      <c r="KLH44"/>
      <c r="KLI44"/>
      <c r="KLJ44"/>
      <c r="KLK44"/>
      <c r="KLL44"/>
      <c r="KLM44"/>
      <c r="KLN44"/>
      <c r="KLO44"/>
      <c r="KLP44"/>
      <c r="KLQ44"/>
      <c r="KLR44"/>
      <c r="KLS44"/>
      <c r="KLT44"/>
      <c r="KLU44"/>
      <c r="KLV44"/>
      <c r="KLW44"/>
      <c r="KLX44"/>
      <c r="KLY44"/>
      <c r="KLZ44"/>
      <c r="KMA44"/>
      <c r="KMB44"/>
      <c r="KMC44"/>
      <c r="KMD44"/>
      <c r="KME44"/>
      <c r="KMF44"/>
      <c r="KMG44"/>
      <c r="KMH44"/>
      <c r="KMI44"/>
      <c r="KMJ44"/>
      <c r="KMK44"/>
      <c r="KML44"/>
      <c r="KMM44"/>
      <c r="KMN44"/>
      <c r="KMO44"/>
      <c r="KMP44"/>
      <c r="KMQ44"/>
      <c r="KMR44"/>
      <c r="KMS44"/>
      <c r="KMT44"/>
      <c r="KMU44"/>
      <c r="KMV44"/>
      <c r="KMW44"/>
      <c r="KMX44"/>
      <c r="KMY44"/>
      <c r="KMZ44"/>
      <c r="KNA44"/>
      <c r="KNB44"/>
      <c r="KNC44"/>
      <c r="KND44"/>
      <c r="KNE44"/>
      <c r="KNF44"/>
      <c r="KNG44"/>
      <c r="KNH44"/>
      <c r="KNI44"/>
      <c r="KNJ44"/>
      <c r="KNK44"/>
      <c r="KNL44"/>
      <c r="KNM44"/>
      <c r="KNN44"/>
      <c r="KNO44"/>
      <c r="KNP44"/>
      <c r="KNQ44"/>
      <c r="KNR44"/>
      <c r="KNS44"/>
      <c r="KNT44"/>
      <c r="KNU44"/>
      <c r="KNV44"/>
      <c r="KNW44"/>
      <c r="KNX44"/>
      <c r="KNY44"/>
      <c r="KNZ44"/>
      <c r="KOA44"/>
      <c r="KOB44"/>
      <c r="KOC44"/>
      <c r="KOD44"/>
      <c r="KOE44"/>
      <c r="KOF44"/>
      <c r="KOG44"/>
      <c r="KOH44"/>
      <c r="KOI44"/>
      <c r="KOJ44"/>
      <c r="KOK44"/>
      <c r="KOL44"/>
      <c r="KOM44"/>
      <c r="KON44"/>
      <c r="KOO44"/>
      <c r="KOP44"/>
      <c r="KOQ44"/>
      <c r="KOR44"/>
      <c r="KOS44"/>
      <c r="KOT44"/>
      <c r="KOU44"/>
      <c r="KOV44"/>
      <c r="KOW44"/>
      <c r="KOX44"/>
      <c r="KOY44"/>
      <c r="KOZ44"/>
      <c r="KPA44"/>
      <c r="KPB44"/>
      <c r="KPC44"/>
      <c r="KPD44"/>
      <c r="KPE44"/>
      <c r="KPF44"/>
      <c r="KPG44"/>
      <c r="KPH44"/>
      <c r="KPI44"/>
      <c r="KPJ44"/>
      <c r="KPK44"/>
      <c r="KPL44"/>
      <c r="KPM44"/>
      <c r="KPN44"/>
      <c r="KPO44"/>
      <c r="KPP44"/>
      <c r="KPQ44"/>
      <c r="KPR44"/>
      <c r="KPS44"/>
      <c r="KPT44"/>
      <c r="KPU44"/>
      <c r="KPV44"/>
      <c r="KPW44"/>
      <c r="KPX44"/>
      <c r="KPY44"/>
      <c r="KPZ44"/>
      <c r="KQA44"/>
      <c r="KQB44"/>
      <c r="KQC44"/>
      <c r="KQD44"/>
      <c r="KQE44"/>
      <c r="KQF44"/>
      <c r="KQG44"/>
      <c r="KQH44"/>
      <c r="KQI44"/>
      <c r="KQJ44"/>
      <c r="KQK44"/>
      <c r="KQL44"/>
      <c r="KQM44"/>
      <c r="KQN44"/>
      <c r="KQO44"/>
      <c r="KQP44"/>
      <c r="KQQ44"/>
      <c r="KQR44"/>
      <c r="KQS44"/>
      <c r="KQT44"/>
      <c r="KQU44"/>
      <c r="KQV44"/>
      <c r="KQW44"/>
      <c r="KQX44"/>
      <c r="KQY44"/>
      <c r="KQZ44"/>
      <c r="KRA44"/>
      <c r="KRB44"/>
      <c r="KRC44"/>
      <c r="KRD44"/>
      <c r="KRE44"/>
      <c r="KRF44"/>
      <c r="KRG44"/>
      <c r="KRH44"/>
      <c r="KRI44"/>
      <c r="KRJ44"/>
      <c r="KRK44"/>
      <c r="KRL44"/>
      <c r="KRM44"/>
      <c r="KRN44"/>
      <c r="KRO44"/>
      <c r="KRP44"/>
      <c r="KRQ44"/>
      <c r="KRR44"/>
      <c r="KRS44"/>
      <c r="KRT44"/>
      <c r="KRU44"/>
      <c r="KRV44"/>
      <c r="KRW44"/>
      <c r="KRX44"/>
      <c r="KRY44"/>
      <c r="KRZ44"/>
      <c r="KSA44"/>
      <c r="KSB44"/>
      <c r="KSC44"/>
      <c r="KSD44"/>
      <c r="KSE44"/>
      <c r="KSF44"/>
      <c r="KSG44"/>
      <c r="KSH44"/>
      <c r="KSI44"/>
      <c r="KSJ44"/>
      <c r="KSK44"/>
      <c r="KSL44"/>
      <c r="KSM44"/>
      <c r="KSN44"/>
      <c r="KSO44"/>
      <c r="KSP44"/>
      <c r="KSQ44"/>
      <c r="KSR44"/>
      <c r="KSS44"/>
      <c r="KST44"/>
      <c r="KSU44"/>
      <c r="KSV44"/>
      <c r="KSW44"/>
      <c r="KSX44"/>
      <c r="KSY44"/>
      <c r="KSZ44"/>
      <c r="KTA44"/>
      <c r="KTB44"/>
      <c r="KTC44"/>
      <c r="KTD44"/>
      <c r="KTE44"/>
      <c r="KTF44"/>
      <c r="KTG44"/>
      <c r="KTH44"/>
      <c r="KTI44"/>
      <c r="KTJ44"/>
      <c r="KTK44"/>
      <c r="KTL44"/>
      <c r="KTM44"/>
      <c r="KTN44"/>
      <c r="KTO44"/>
      <c r="KTP44"/>
      <c r="KTQ44"/>
      <c r="KTR44"/>
      <c r="KTS44"/>
      <c r="KTT44"/>
      <c r="KTU44"/>
      <c r="KTV44"/>
      <c r="KTW44"/>
      <c r="KTX44"/>
      <c r="KTY44"/>
      <c r="KTZ44"/>
      <c r="KUA44"/>
      <c r="KUB44"/>
      <c r="KUC44"/>
      <c r="KUD44"/>
      <c r="KUE44"/>
      <c r="KUF44"/>
      <c r="KUG44"/>
      <c r="KUH44"/>
      <c r="KUI44"/>
      <c r="KUJ44"/>
      <c r="KUK44"/>
      <c r="KUL44"/>
      <c r="KUM44"/>
      <c r="KUN44"/>
      <c r="KUO44"/>
      <c r="KUP44"/>
      <c r="KUQ44"/>
      <c r="KUR44"/>
      <c r="KUS44"/>
      <c r="KUT44"/>
      <c r="KUU44"/>
      <c r="KUV44"/>
      <c r="KUW44"/>
      <c r="KUX44"/>
      <c r="KUY44"/>
      <c r="KUZ44"/>
      <c r="KVA44"/>
      <c r="KVB44"/>
      <c r="KVC44"/>
      <c r="KVD44"/>
      <c r="KVE44"/>
      <c r="KVF44"/>
      <c r="KVG44"/>
      <c r="KVH44"/>
      <c r="KVI44"/>
      <c r="KVJ44"/>
      <c r="KVK44"/>
      <c r="KVL44"/>
      <c r="KVM44"/>
      <c r="KVN44"/>
      <c r="KVO44"/>
      <c r="KVP44"/>
      <c r="KVQ44"/>
      <c r="KVR44"/>
      <c r="KVS44"/>
      <c r="KVT44"/>
      <c r="KVU44"/>
      <c r="KVV44"/>
      <c r="KVW44"/>
      <c r="KVX44"/>
      <c r="KVY44"/>
      <c r="KVZ44"/>
      <c r="KWA44"/>
      <c r="KWB44"/>
      <c r="KWC44"/>
      <c r="KWD44"/>
      <c r="KWE44"/>
      <c r="KWF44"/>
      <c r="KWG44"/>
      <c r="KWH44"/>
      <c r="KWI44"/>
      <c r="KWJ44"/>
      <c r="KWK44"/>
      <c r="KWL44"/>
      <c r="KWM44"/>
      <c r="KWN44"/>
      <c r="KWO44"/>
      <c r="KWP44"/>
      <c r="KWQ44"/>
      <c r="KWR44"/>
      <c r="KWS44"/>
      <c r="KWT44"/>
      <c r="KWU44"/>
      <c r="KWV44"/>
      <c r="KWW44"/>
      <c r="KWX44"/>
      <c r="KWY44"/>
      <c r="KWZ44"/>
      <c r="KXA44"/>
      <c r="KXB44"/>
      <c r="KXC44"/>
      <c r="KXD44"/>
      <c r="KXE44"/>
      <c r="KXF44"/>
      <c r="KXG44"/>
      <c r="KXH44"/>
      <c r="KXI44"/>
      <c r="KXJ44"/>
      <c r="KXK44"/>
      <c r="KXL44"/>
      <c r="KXM44"/>
      <c r="KXN44"/>
      <c r="KXO44"/>
      <c r="KXP44"/>
      <c r="KXQ44"/>
      <c r="KXR44"/>
      <c r="KXS44"/>
      <c r="KXT44"/>
      <c r="KXU44"/>
      <c r="KXV44"/>
      <c r="KXW44"/>
      <c r="KXX44"/>
      <c r="KXY44"/>
      <c r="KXZ44"/>
      <c r="KYA44"/>
      <c r="KYB44"/>
      <c r="KYC44"/>
      <c r="KYD44"/>
      <c r="KYE44"/>
      <c r="KYF44"/>
      <c r="KYG44"/>
      <c r="KYH44"/>
      <c r="KYI44"/>
      <c r="KYJ44"/>
      <c r="KYK44"/>
      <c r="KYL44"/>
      <c r="KYM44"/>
      <c r="KYN44"/>
      <c r="KYO44"/>
      <c r="KYP44"/>
      <c r="KYQ44"/>
      <c r="KYR44"/>
      <c r="KYS44"/>
      <c r="KYT44"/>
      <c r="KYU44"/>
      <c r="KYV44"/>
      <c r="KYW44"/>
      <c r="KYX44"/>
      <c r="KYY44"/>
      <c r="KYZ44"/>
      <c r="KZA44"/>
      <c r="KZB44"/>
      <c r="KZC44"/>
      <c r="KZD44"/>
      <c r="KZE44"/>
      <c r="KZF44"/>
      <c r="KZG44"/>
      <c r="KZH44"/>
      <c r="KZI44"/>
      <c r="KZJ44"/>
      <c r="KZK44"/>
      <c r="KZL44"/>
      <c r="KZM44"/>
      <c r="KZN44"/>
      <c r="KZO44"/>
      <c r="KZP44"/>
      <c r="KZQ44"/>
      <c r="KZR44"/>
      <c r="KZS44"/>
      <c r="KZT44"/>
      <c r="KZU44"/>
      <c r="KZV44"/>
      <c r="KZW44"/>
      <c r="KZX44"/>
      <c r="KZY44"/>
      <c r="KZZ44"/>
      <c r="LAA44"/>
      <c r="LAB44"/>
      <c r="LAC44"/>
      <c r="LAD44"/>
      <c r="LAE44"/>
      <c r="LAF44"/>
      <c r="LAG44"/>
      <c r="LAH44"/>
      <c r="LAI44"/>
      <c r="LAJ44"/>
      <c r="LAK44"/>
      <c r="LAL44"/>
      <c r="LAM44"/>
      <c r="LAN44"/>
      <c r="LAO44"/>
      <c r="LAP44"/>
      <c r="LAQ44"/>
      <c r="LAR44"/>
      <c r="LAS44"/>
      <c r="LAT44"/>
      <c r="LAU44"/>
      <c r="LAV44"/>
      <c r="LAW44"/>
      <c r="LAX44"/>
      <c r="LAY44"/>
      <c r="LAZ44"/>
      <c r="LBA44"/>
      <c r="LBB44"/>
      <c r="LBC44"/>
      <c r="LBD44"/>
      <c r="LBE44"/>
      <c r="LBF44"/>
      <c r="LBG44"/>
      <c r="LBH44"/>
      <c r="LBI44"/>
      <c r="LBJ44"/>
      <c r="LBK44"/>
      <c r="LBL44"/>
      <c r="LBM44"/>
      <c r="LBN44"/>
      <c r="LBO44"/>
      <c r="LBP44"/>
      <c r="LBQ44"/>
      <c r="LBR44"/>
      <c r="LBS44"/>
      <c r="LBT44"/>
      <c r="LBU44"/>
      <c r="LBV44"/>
      <c r="LBW44"/>
      <c r="LBX44"/>
      <c r="LBY44"/>
      <c r="LBZ44"/>
      <c r="LCA44"/>
      <c r="LCB44"/>
      <c r="LCC44"/>
      <c r="LCD44"/>
      <c r="LCE44"/>
      <c r="LCF44"/>
      <c r="LCG44"/>
      <c r="LCH44"/>
      <c r="LCI44"/>
      <c r="LCJ44"/>
      <c r="LCK44"/>
      <c r="LCL44"/>
      <c r="LCM44"/>
      <c r="LCN44"/>
      <c r="LCO44"/>
      <c r="LCP44"/>
      <c r="LCQ44"/>
      <c r="LCR44"/>
      <c r="LCS44"/>
      <c r="LCT44"/>
      <c r="LCU44"/>
      <c r="LCV44"/>
      <c r="LCW44"/>
      <c r="LCX44"/>
      <c r="LCY44"/>
      <c r="LCZ44"/>
      <c r="LDA44"/>
      <c r="LDB44"/>
      <c r="LDC44"/>
      <c r="LDD44"/>
      <c r="LDE44"/>
      <c r="LDF44"/>
      <c r="LDG44"/>
      <c r="LDH44"/>
      <c r="LDI44"/>
      <c r="LDJ44"/>
      <c r="LDK44"/>
      <c r="LDL44"/>
      <c r="LDM44"/>
      <c r="LDN44"/>
      <c r="LDO44"/>
      <c r="LDP44"/>
      <c r="LDQ44"/>
      <c r="LDR44"/>
      <c r="LDS44"/>
      <c r="LDT44"/>
      <c r="LDU44"/>
      <c r="LDV44"/>
      <c r="LDW44"/>
      <c r="LDX44"/>
      <c r="LDY44"/>
      <c r="LDZ44"/>
      <c r="LEA44"/>
      <c r="LEB44"/>
      <c r="LEC44"/>
      <c r="LED44"/>
      <c r="LEE44"/>
      <c r="LEF44"/>
      <c r="LEG44"/>
      <c r="LEH44"/>
      <c r="LEI44"/>
      <c r="LEJ44"/>
      <c r="LEK44"/>
      <c r="LEL44"/>
      <c r="LEM44"/>
      <c r="LEN44"/>
      <c r="LEO44"/>
      <c r="LEP44"/>
      <c r="LEQ44"/>
      <c r="LER44"/>
      <c r="LES44"/>
      <c r="LET44"/>
      <c r="LEU44"/>
      <c r="LEV44"/>
      <c r="LEW44"/>
      <c r="LEX44"/>
      <c r="LEY44"/>
      <c r="LEZ44"/>
      <c r="LFA44"/>
      <c r="LFB44"/>
      <c r="LFC44"/>
      <c r="LFD44"/>
      <c r="LFE44"/>
      <c r="LFF44"/>
      <c r="LFG44"/>
      <c r="LFH44"/>
      <c r="LFI44"/>
      <c r="LFJ44"/>
      <c r="LFK44"/>
      <c r="LFL44"/>
      <c r="LFM44"/>
      <c r="LFN44"/>
      <c r="LFO44"/>
      <c r="LFP44"/>
      <c r="LFQ44"/>
      <c r="LFR44"/>
      <c r="LFS44"/>
      <c r="LFT44"/>
      <c r="LFU44"/>
      <c r="LFV44"/>
      <c r="LFW44"/>
      <c r="LFX44"/>
      <c r="LFY44"/>
      <c r="LFZ44"/>
      <c r="LGA44"/>
      <c r="LGB44"/>
      <c r="LGC44"/>
      <c r="LGD44"/>
      <c r="LGE44"/>
      <c r="LGF44"/>
      <c r="LGG44"/>
      <c r="LGH44"/>
      <c r="LGI44"/>
      <c r="LGJ44"/>
      <c r="LGK44"/>
      <c r="LGL44"/>
      <c r="LGM44"/>
      <c r="LGN44"/>
      <c r="LGO44"/>
      <c r="LGP44"/>
      <c r="LGQ44"/>
      <c r="LGR44"/>
      <c r="LGS44"/>
      <c r="LGT44"/>
      <c r="LGU44"/>
      <c r="LGV44"/>
      <c r="LGW44"/>
      <c r="LGX44"/>
      <c r="LGY44"/>
      <c r="LGZ44"/>
      <c r="LHA44"/>
      <c r="LHB44"/>
      <c r="LHC44"/>
      <c r="LHD44"/>
      <c r="LHE44"/>
      <c r="LHF44"/>
      <c r="LHG44"/>
      <c r="LHH44"/>
      <c r="LHI44"/>
      <c r="LHJ44"/>
      <c r="LHK44"/>
      <c r="LHL44"/>
      <c r="LHM44"/>
      <c r="LHN44"/>
      <c r="LHO44"/>
      <c r="LHP44"/>
      <c r="LHQ44"/>
      <c r="LHR44"/>
      <c r="LHS44"/>
      <c r="LHT44"/>
      <c r="LHU44"/>
      <c r="LHV44"/>
      <c r="LHW44"/>
      <c r="LHX44"/>
      <c r="LHY44"/>
      <c r="LHZ44"/>
      <c r="LIA44"/>
      <c r="LIB44"/>
      <c r="LIC44"/>
      <c r="LID44"/>
      <c r="LIE44"/>
      <c r="LIF44"/>
      <c r="LIG44"/>
      <c r="LIH44"/>
      <c r="LII44"/>
      <c r="LIJ44"/>
      <c r="LIK44"/>
      <c r="LIL44"/>
      <c r="LIM44"/>
      <c r="LIN44"/>
      <c r="LIO44"/>
      <c r="LIP44"/>
      <c r="LIQ44"/>
      <c r="LIR44"/>
      <c r="LIS44"/>
      <c r="LIT44"/>
      <c r="LIU44"/>
      <c r="LIV44"/>
      <c r="LIW44"/>
      <c r="LIX44"/>
      <c r="LIY44"/>
      <c r="LIZ44"/>
      <c r="LJA44"/>
      <c r="LJB44"/>
      <c r="LJC44"/>
      <c r="LJD44"/>
      <c r="LJE44"/>
      <c r="LJF44"/>
      <c r="LJG44"/>
      <c r="LJH44"/>
      <c r="LJI44"/>
      <c r="LJJ44"/>
      <c r="LJK44"/>
      <c r="LJL44"/>
      <c r="LJM44"/>
      <c r="LJN44"/>
      <c r="LJO44"/>
      <c r="LJP44"/>
      <c r="LJQ44"/>
      <c r="LJR44"/>
      <c r="LJS44"/>
      <c r="LJT44"/>
      <c r="LJU44"/>
      <c r="LJV44"/>
      <c r="LJW44"/>
      <c r="LJX44"/>
      <c r="LJY44"/>
      <c r="LJZ44"/>
      <c r="LKA44"/>
      <c r="LKB44"/>
      <c r="LKC44"/>
      <c r="LKD44"/>
      <c r="LKE44"/>
      <c r="LKF44"/>
      <c r="LKG44"/>
      <c r="LKH44"/>
      <c r="LKI44"/>
      <c r="LKJ44"/>
      <c r="LKK44"/>
      <c r="LKL44"/>
      <c r="LKM44"/>
      <c r="LKN44"/>
      <c r="LKO44"/>
      <c r="LKP44"/>
      <c r="LKQ44"/>
      <c r="LKR44"/>
      <c r="LKS44"/>
      <c r="LKT44"/>
      <c r="LKU44"/>
      <c r="LKV44"/>
      <c r="LKW44"/>
      <c r="LKX44"/>
      <c r="LKY44"/>
      <c r="LKZ44"/>
      <c r="LLA44"/>
      <c r="LLB44"/>
      <c r="LLC44"/>
      <c r="LLD44"/>
      <c r="LLE44"/>
      <c r="LLF44"/>
      <c r="LLG44"/>
      <c r="LLH44"/>
      <c r="LLI44"/>
      <c r="LLJ44"/>
      <c r="LLK44"/>
      <c r="LLL44"/>
      <c r="LLM44"/>
      <c r="LLN44"/>
      <c r="LLO44"/>
      <c r="LLP44"/>
      <c r="LLQ44"/>
      <c r="LLR44"/>
      <c r="LLS44"/>
      <c r="LLT44"/>
      <c r="LLU44"/>
      <c r="LLV44"/>
      <c r="LLW44"/>
      <c r="LLX44"/>
      <c r="LLY44"/>
      <c r="LLZ44"/>
      <c r="LMA44"/>
      <c r="LMB44"/>
      <c r="LMC44"/>
      <c r="LMD44"/>
      <c r="LME44"/>
      <c r="LMF44"/>
      <c r="LMG44"/>
      <c r="LMH44"/>
      <c r="LMI44"/>
      <c r="LMJ44"/>
      <c r="LMK44"/>
      <c r="LML44"/>
      <c r="LMM44"/>
      <c r="LMN44"/>
      <c r="LMO44"/>
      <c r="LMP44"/>
      <c r="LMQ44"/>
      <c r="LMR44"/>
      <c r="LMS44"/>
      <c r="LMT44"/>
      <c r="LMU44"/>
      <c r="LMV44"/>
      <c r="LMW44"/>
      <c r="LMX44"/>
      <c r="LMY44"/>
      <c r="LMZ44"/>
      <c r="LNA44"/>
      <c r="LNB44"/>
      <c r="LNC44"/>
      <c r="LND44"/>
      <c r="LNE44"/>
      <c r="LNF44"/>
      <c r="LNG44"/>
      <c r="LNH44"/>
      <c r="LNI44"/>
      <c r="LNJ44"/>
      <c r="LNK44"/>
      <c r="LNL44"/>
      <c r="LNM44"/>
      <c r="LNN44"/>
      <c r="LNO44"/>
      <c r="LNP44"/>
      <c r="LNQ44"/>
      <c r="LNR44"/>
      <c r="LNS44"/>
      <c r="LNT44"/>
      <c r="LNU44"/>
      <c r="LNV44"/>
      <c r="LNW44"/>
      <c r="LNX44"/>
      <c r="LNY44"/>
      <c r="LNZ44"/>
      <c r="LOA44"/>
      <c r="LOB44"/>
      <c r="LOC44"/>
      <c r="LOD44"/>
      <c r="LOE44"/>
      <c r="LOF44"/>
      <c r="LOG44"/>
      <c r="LOH44"/>
      <c r="LOI44"/>
      <c r="LOJ44"/>
      <c r="LOK44"/>
      <c r="LOL44"/>
      <c r="LOM44"/>
      <c r="LON44"/>
      <c r="LOO44"/>
      <c r="LOP44"/>
      <c r="LOQ44"/>
      <c r="LOR44"/>
      <c r="LOS44"/>
      <c r="LOT44"/>
      <c r="LOU44"/>
      <c r="LOV44"/>
      <c r="LOW44"/>
      <c r="LOX44"/>
      <c r="LOY44"/>
      <c r="LOZ44"/>
      <c r="LPA44"/>
      <c r="LPB44"/>
      <c r="LPC44"/>
      <c r="LPD44"/>
      <c r="LPE44"/>
      <c r="LPF44"/>
      <c r="LPG44"/>
      <c r="LPH44"/>
      <c r="LPI44"/>
      <c r="LPJ44"/>
      <c r="LPK44"/>
      <c r="LPL44"/>
      <c r="LPM44"/>
      <c r="LPN44"/>
      <c r="LPO44"/>
      <c r="LPP44"/>
      <c r="LPQ44"/>
      <c r="LPR44"/>
      <c r="LPS44"/>
      <c r="LPT44"/>
      <c r="LPU44"/>
      <c r="LPV44"/>
      <c r="LPW44"/>
      <c r="LPX44"/>
      <c r="LPY44"/>
      <c r="LPZ44"/>
      <c r="LQA44"/>
      <c r="LQB44"/>
      <c r="LQC44"/>
      <c r="LQD44"/>
      <c r="LQE44"/>
      <c r="LQF44"/>
      <c r="LQG44"/>
      <c r="LQH44"/>
      <c r="LQI44"/>
      <c r="LQJ44"/>
      <c r="LQK44"/>
      <c r="LQL44"/>
      <c r="LQM44"/>
      <c r="LQN44"/>
      <c r="LQO44"/>
      <c r="LQP44"/>
      <c r="LQQ44"/>
      <c r="LQR44"/>
      <c r="LQS44"/>
      <c r="LQT44"/>
      <c r="LQU44"/>
      <c r="LQV44"/>
      <c r="LQW44"/>
      <c r="LQX44"/>
      <c r="LQY44"/>
      <c r="LQZ44"/>
      <c r="LRA44"/>
      <c r="LRB44"/>
      <c r="LRC44"/>
      <c r="LRD44"/>
      <c r="LRE44"/>
      <c r="LRF44"/>
      <c r="LRG44"/>
      <c r="LRH44"/>
      <c r="LRI44"/>
      <c r="LRJ44"/>
      <c r="LRK44"/>
      <c r="LRL44"/>
      <c r="LRM44"/>
      <c r="LRN44"/>
      <c r="LRO44"/>
      <c r="LRP44"/>
      <c r="LRQ44"/>
      <c r="LRR44"/>
      <c r="LRS44"/>
      <c r="LRT44"/>
      <c r="LRU44"/>
      <c r="LRV44"/>
      <c r="LRW44"/>
      <c r="LRX44"/>
      <c r="LRY44"/>
      <c r="LRZ44"/>
      <c r="LSA44"/>
      <c r="LSB44"/>
      <c r="LSC44"/>
      <c r="LSD44"/>
      <c r="LSE44"/>
      <c r="LSF44"/>
      <c r="LSG44"/>
      <c r="LSH44"/>
      <c r="LSI44"/>
      <c r="LSJ44"/>
      <c r="LSK44"/>
      <c r="LSL44"/>
      <c r="LSM44"/>
      <c r="LSN44"/>
      <c r="LSO44"/>
      <c r="LSP44"/>
      <c r="LSQ44"/>
      <c r="LSR44"/>
      <c r="LSS44"/>
      <c r="LST44"/>
      <c r="LSU44"/>
      <c r="LSV44"/>
      <c r="LSW44"/>
      <c r="LSX44"/>
      <c r="LSY44"/>
      <c r="LSZ44"/>
      <c r="LTA44"/>
      <c r="LTB44"/>
      <c r="LTC44"/>
      <c r="LTD44"/>
      <c r="LTE44"/>
      <c r="LTF44"/>
      <c r="LTG44"/>
      <c r="LTH44"/>
      <c r="LTI44"/>
      <c r="LTJ44"/>
      <c r="LTK44"/>
      <c r="LTL44"/>
      <c r="LTM44"/>
      <c r="LTN44"/>
      <c r="LTO44"/>
      <c r="LTP44"/>
      <c r="LTQ44"/>
      <c r="LTR44"/>
      <c r="LTS44"/>
      <c r="LTT44"/>
      <c r="LTU44"/>
      <c r="LTV44"/>
      <c r="LTW44"/>
      <c r="LTX44"/>
      <c r="LTY44"/>
      <c r="LTZ44"/>
      <c r="LUA44"/>
      <c r="LUB44"/>
      <c r="LUC44"/>
      <c r="LUD44"/>
      <c r="LUE44"/>
      <c r="LUF44"/>
      <c r="LUG44"/>
      <c r="LUH44"/>
      <c r="LUI44"/>
      <c r="LUJ44"/>
      <c r="LUK44"/>
      <c r="LUL44"/>
      <c r="LUM44"/>
      <c r="LUN44"/>
      <c r="LUO44"/>
      <c r="LUP44"/>
      <c r="LUQ44"/>
      <c r="LUR44"/>
      <c r="LUS44"/>
      <c r="LUT44"/>
      <c r="LUU44"/>
      <c r="LUV44"/>
      <c r="LUW44"/>
      <c r="LUX44"/>
      <c r="LUY44"/>
      <c r="LUZ44"/>
      <c r="LVA44"/>
      <c r="LVB44"/>
      <c r="LVC44"/>
      <c r="LVD44"/>
      <c r="LVE44"/>
      <c r="LVF44"/>
      <c r="LVG44"/>
      <c r="LVH44"/>
      <c r="LVI44"/>
      <c r="LVJ44"/>
      <c r="LVK44"/>
      <c r="LVL44"/>
      <c r="LVM44"/>
      <c r="LVN44"/>
      <c r="LVO44"/>
      <c r="LVP44"/>
      <c r="LVQ44"/>
      <c r="LVR44"/>
      <c r="LVS44"/>
      <c r="LVT44"/>
      <c r="LVU44"/>
      <c r="LVV44"/>
      <c r="LVW44"/>
      <c r="LVX44"/>
      <c r="LVY44"/>
      <c r="LVZ44"/>
      <c r="LWA44"/>
      <c r="LWB44"/>
      <c r="LWC44"/>
      <c r="LWD44"/>
      <c r="LWE44"/>
      <c r="LWF44"/>
      <c r="LWG44"/>
      <c r="LWH44"/>
      <c r="LWI44"/>
      <c r="LWJ44"/>
      <c r="LWK44"/>
      <c r="LWL44"/>
      <c r="LWM44"/>
      <c r="LWN44"/>
      <c r="LWO44"/>
      <c r="LWP44"/>
      <c r="LWQ44"/>
      <c r="LWR44"/>
      <c r="LWS44"/>
      <c r="LWT44"/>
      <c r="LWU44"/>
      <c r="LWV44"/>
      <c r="LWW44"/>
      <c r="LWX44"/>
      <c r="LWY44"/>
      <c r="LWZ44"/>
      <c r="LXA44"/>
      <c r="LXB44"/>
      <c r="LXC44"/>
      <c r="LXD44"/>
      <c r="LXE44"/>
      <c r="LXF44"/>
      <c r="LXG44"/>
      <c r="LXH44"/>
      <c r="LXI44"/>
      <c r="LXJ44"/>
      <c r="LXK44"/>
      <c r="LXL44"/>
      <c r="LXM44"/>
      <c r="LXN44"/>
      <c r="LXO44"/>
      <c r="LXP44"/>
      <c r="LXQ44"/>
      <c r="LXR44"/>
      <c r="LXS44"/>
      <c r="LXT44"/>
      <c r="LXU44"/>
      <c r="LXV44"/>
      <c r="LXW44"/>
      <c r="LXX44"/>
      <c r="LXY44"/>
      <c r="LXZ44"/>
      <c r="LYA44"/>
      <c r="LYB44"/>
      <c r="LYC44"/>
      <c r="LYD44"/>
      <c r="LYE44"/>
      <c r="LYF44"/>
      <c r="LYG44"/>
      <c r="LYH44"/>
      <c r="LYI44"/>
      <c r="LYJ44"/>
      <c r="LYK44"/>
      <c r="LYL44"/>
      <c r="LYM44"/>
      <c r="LYN44"/>
      <c r="LYO44"/>
      <c r="LYP44"/>
      <c r="LYQ44"/>
      <c r="LYR44"/>
      <c r="LYS44"/>
      <c r="LYT44"/>
      <c r="LYU44"/>
      <c r="LYV44"/>
      <c r="LYW44"/>
      <c r="LYX44"/>
      <c r="LYY44"/>
      <c r="LYZ44"/>
      <c r="LZA44"/>
      <c r="LZB44"/>
      <c r="LZC44"/>
      <c r="LZD44"/>
      <c r="LZE44"/>
      <c r="LZF44"/>
      <c r="LZG44"/>
      <c r="LZH44"/>
      <c r="LZI44"/>
      <c r="LZJ44"/>
      <c r="LZK44"/>
      <c r="LZL44"/>
      <c r="LZM44"/>
      <c r="LZN44"/>
      <c r="LZO44"/>
      <c r="LZP44"/>
      <c r="LZQ44"/>
      <c r="LZR44"/>
      <c r="LZS44"/>
      <c r="LZT44"/>
      <c r="LZU44"/>
      <c r="LZV44"/>
      <c r="LZW44"/>
      <c r="LZX44"/>
      <c r="LZY44"/>
      <c r="LZZ44"/>
      <c r="MAA44"/>
      <c r="MAB44"/>
      <c r="MAC44"/>
      <c r="MAD44"/>
      <c r="MAE44"/>
      <c r="MAF44"/>
      <c r="MAG44"/>
      <c r="MAH44"/>
      <c r="MAI44"/>
      <c r="MAJ44"/>
      <c r="MAK44"/>
      <c r="MAL44"/>
      <c r="MAM44"/>
      <c r="MAN44"/>
      <c r="MAO44"/>
      <c r="MAP44"/>
      <c r="MAQ44"/>
      <c r="MAR44"/>
      <c r="MAS44"/>
      <c r="MAT44"/>
      <c r="MAU44"/>
      <c r="MAV44"/>
      <c r="MAW44"/>
      <c r="MAX44"/>
      <c r="MAY44"/>
      <c r="MAZ44"/>
      <c r="MBA44"/>
      <c r="MBB44"/>
      <c r="MBC44"/>
      <c r="MBD44"/>
      <c r="MBE44"/>
      <c r="MBF44"/>
      <c r="MBG44"/>
      <c r="MBH44"/>
      <c r="MBI44"/>
      <c r="MBJ44"/>
      <c r="MBK44"/>
      <c r="MBL44"/>
      <c r="MBM44"/>
      <c r="MBN44"/>
      <c r="MBO44"/>
      <c r="MBP44"/>
      <c r="MBQ44"/>
      <c r="MBR44"/>
      <c r="MBS44"/>
      <c r="MBT44"/>
      <c r="MBU44"/>
      <c r="MBV44"/>
      <c r="MBW44"/>
      <c r="MBX44"/>
      <c r="MBY44"/>
      <c r="MBZ44"/>
      <c r="MCA44"/>
      <c r="MCB44"/>
      <c r="MCC44"/>
      <c r="MCD44"/>
      <c r="MCE44"/>
      <c r="MCF44"/>
      <c r="MCG44"/>
      <c r="MCH44"/>
      <c r="MCI44"/>
      <c r="MCJ44"/>
      <c r="MCK44"/>
      <c r="MCL44"/>
      <c r="MCM44"/>
      <c r="MCN44"/>
      <c r="MCO44"/>
      <c r="MCP44"/>
      <c r="MCQ44"/>
      <c r="MCR44"/>
      <c r="MCS44"/>
      <c r="MCT44"/>
      <c r="MCU44"/>
      <c r="MCV44"/>
      <c r="MCW44"/>
      <c r="MCX44"/>
      <c r="MCY44"/>
      <c r="MCZ44"/>
      <c r="MDA44"/>
      <c r="MDB44"/>
      <c r="MDC44"/>
      <c r="MDD44"/>
      <c r="MDE44"/>
      <c r="MDF44"/>
      <c r="MDG44"/>
      <c r="MDH44"/>
      <c r="MDI44"/>
      <c r="MDJ44"/>
      <c r="MDK44"/>
      <c r="MDL44"/>
      <c r="MDM44"/>
      <c r="MDN44"/>
      <c r="MDO44"/>
      <c r="MDP44"/>
      <c r="MDQ44"/>
      <c r="MDR44"/>
      <c r="MDS44"/>
      <c r="MDT44"/>
      <c r="MDU44"/>
      <c r="MDV44"/>
      <c r="MDW44"/>
      <c r="MDX44"/>
      <c r="MDY44"/>
      <c r="MDZ44"/>
      <c r="MEA44"/>
      <c r="MEB44"/>
      <c r="MEC44"/>
      <c r="MED44"/>
      <c r="MEE44"/>
      <c r="MEF44"/>
      <c r="MEG44"/>
      <c r="MEH44"/>
      <c r="MEI44"/>
      <c r="MEJ44"/>
      <c r="MEK44"/>
      <c r="MEL44"/>
      <c r="MEM44"/>
      <c r="MEN44"/>
      <c r="MEO44"/>
      <c r="MEP44"/>
      <c r="MEQ44"/>
      <c r="MER44"/>
      <c r="MES44"/>
      <c r="MET44"/>
      <c r="MEU44"/>
      <c r="MEV44"/>
      <c r="MEW44"/>
      <c r="MEX44"/>
      <c r="MEY44"/>
      <c r="MEZ44"/>
      <c r="MFA44"/>
      <c r="MFB44"/>
      <c r="MFC44"/>
      <c r="MFD44"/>
      <c r="MFE44"/>
      <c r="MFF44"/>
      <c r="MFG44"/>
      <c r="MFH44"/>
      <c r="MFI44"/>
      <c r="MFJ44"/>
      <c r="MFK44"/>
      <c r="MFL44"/>
      <c r="MFM44"/>
      <c r="MFN44"/>
      <c r="MFO44"/>
      <c r="MFP44"/>
      <c r="MFQ44"/>
      <c r="MFR44"/>
      <c r="MFS44"/>
      <c r="MFT44"/>
      <c r="MFU44"/>
      <c r="MFV44"/>
      <c r="MFW44"/>
      <c r="MFX44"/>
      <c r="MFY44"/>
      <c r="MFZ44"/>
      <c r="MGA44"/>
      <c r="MGB44"/>
      <c r="MGC44"/>
      <c r="MGD44"/>
      <c r="MGE44"/>
      <c r="MGF44"/>
      <c r="MGG44"/>
      <c r="MGH44"/>
      <c r="MGI44"/>
      <c r="MGJ44"/>
      <c r="MGK44"/>
      <c r="MGL44"/>
      <c r="MGM44"/>
      <c r="MGN44"/>
      <c r="MGO44"/>
      <c r="MGP44"/>
      <c r="MGQ44"/>
      <c r="MGR44"/>
      <c r="MGS44"/>
      <c r="MGT44"/>
      <c r="MGU44"/>
      <c r="MGV44"/>
      <c r="MGW44"/>
      <c r="MGX44"/>
      <c r="MGY44"/>
      <c r="MGZ44"/>
      <c r="MHA44"/>
      <c r="MHB44"/>
      <c r="MHC44"/>
      <c r="MHD44"/>
      <c r="MHE44"/>
      <c r="MHF44"/>
      <c r="MHG44"/>
      <c r="MHH44"/>
      <c r="MHI44"/>
      <c r="MHJ44"/>
      <c r="MHK44"/>
      <c r="MHL44"/>
      <c r="MHM44"/>
      <c r="MHN44"/>
      <c r="MHO44"/>
      <c r="MHP44"/>
      <c r="MHQ44"/>
      <c r="MHR44"/>
      <c r="MHS44"/>
      <c r="MHT44"/>
      <c r="MHU44"/>
      <c r="MHV44"/>
      <c r="MHW44"/>
      <c r="MHX44"/>
      <c r="MHY44"/>
      <c r="MHZ44"/>
      <c r="MIA44"/>
      <c r="MIB44"/>
      <c r="MIC44"/>
      <c r="MID44"/>
      <c r="MIE44"/>
      <c r="MIF44"/>
      <c r="MIG44"/>
      <c r="MIH44"/>
      <c r="MII44"/>
      <c r="MIJ44"/>
      <c r="MIK44"/>
      <c r="MIL44"/>
      <c r="MIM44"/>
      <c r="MIN44"/>
      <c r="MIO44"/>
      <c r="MIP44"/>
      <c r="MIQ44"/>
      <c r="MIR44"/>
      <c r="MIS44"/>
      <c r="MIT44"/>
      <c r="MIU44"/>
      <c r="MIV44"/>
      <c r="MIW44"/>
      <c r="MIX44"/>
      <c r="MIY44"/>
      <c r="MIZ44"/>
      <c r="MJA44"/>
      <c r="MJB44"/>
      <c r="MJC44"/>
      <c r="MJD44"/>
      <c r="MJE44"/>
      <c r="MJF44"/>
      <c r="MJG44"/>
      <c r="MJH44"/>
      <c r="MJI44"/>
      <c r="MJJ44"/>
      <c r="MJK44"/>
      <c r="MJL44"/>
      <c r="MJM44"/>
      <c r="MJN44"/>
      <c r="MJO44"/>
      <c r="MJP44"/>
      <c r="MJQ44"/>
      <c r="MJR44"/>
      <c r="MJS44"/>
      <c r="MJT44"/>
      <c r="MJU44"/>
      <c r="MJV44"/>
      <c r="MJW44"/>
      <c r="MJX44"/>
      <c r="MJY44"/>
      <c r="MJZ44"/>
      <c r="MKA44"/>
      <c r="MKB44"/>
      <c r="MKC44"/>
      <c r="MKD44"/>
      <c r="MKE44"/>
      <c r="MKF44"/>
      <c r="MKG44"/>
      <c r="MKH44"/>
      <c r="MKI44"/>
      <c r="MKJ44"/>
      <c r="MKK44"/>
      <c r="MKL44"/>
      <c r="MKM44"/>
      <c r="MKN44"/>
      <c r="MKO44"/>
      <c r="MKP44"/>
      <c r="MKQ44"/>
      <c r="MKR44"/>
      <c r="MKS44"/>
      <c r="MKT44"/>
      <c r="MKU44"/>
      <c r="MKV44"/>
      <c r="MKW44"/>
      <c r="MKX44"/>
      <c r="MKY44"/>
      <c r="MKZ44"/>
      <c r="MLA44"/>
      <c r="MLB44"/>
      <c r="MLC44"/>
      <c r="MLD44"/>
      <c r="MLE44"/>
      <c r="MLF44"/>
      <c r="MLG44"/>
      <c r="MLH44"/>
      <c r="MLI44"/>
      <c r="MLJ44"/>
      <c r="MLK44"/>
      <c r="MLL44"/>
      <c r="MLM44"/>
      <c r="MLN44"/>
      <c r="MLO44"/>
      <c r="MLP44"/>
      <c r="MLQ44"/>
      <c r="MLR44"/>
      <c r="MLS44"/>
      <c r="MLT44"/>
      <c r="MLU44"/>
      <c r="MLV44"/>
      <c r="MLW44"/>
      <c r="MLX44"/>
      <c r="MLY44"/>
      <c r="MLZ44"/>
      <c r="MMA44"/>
      <c r="MMB44"/>
      <c r="MMC44"/>
      <c r="MMD44"/>
      <c r="MME44"/>
      <c r="MMF44"/>
      <c r="MMG44"/>
      <c r="MMH44"/>
      <c r="MMI44"/>
      <c r="MMJ44"/>
      <c r="MMK44"/>
      <c r="MML44"/>
      <c r="MMM44"/>
      <c r="MMN44"/>
      <c r="MMO44"/>
      <c r="MMP44"/>
      <c r="MMQ44"/>
      <c r="MMR44"/>
      <c r="MMS44"/>
      <c r="MMT44"/>
      <c r="MMU44"/>
      <c r="MMV44"/>
      <c r="MMW44"/>
      <c r="MMX44"/>
      <c r="MMY44"/>
      <c r="MMZ44"/>
      <c r="MNA44"/>
      <c r="MNB44"/>
      <c r="MNC44"/>
      <c r="MND44"/>
      <c r="MNE44"/>
      <c r="MNF44"/>
      <c r="MNG44"/>
      <c r="MNH44"/>
      <c r="MNI44"/>
      <c r="MNJ44"/>
      <c r="MNK44"/>
      <c r="MNL44"/>
      <c r="MNM44"/>
      <c r="MNN44"/>
      <c r="MNO44"/>
      <c r="MNP44"/>
      <c r="MNQ44"/>
      <c r="MNR44"/>
      <c r="MNS44"/>
      <c r="MNT44"/>
      <c r="MNU44"/>
      <c r="MNV44"/>
      <c r="MNW44"/>
      <c r="MNX44"/>
      <c r="MNY44"/>
      <c r="MNZ44"/>
      <c r="MOA44"/>
      <c r="MOB44"/>
      <c r="MOC44"/>
      <c r="MOD44"/>
      <c r="MOE44"/>
      <c r="MOF44"/>
      <c r="MOG44"/>
      <c r="MOH44"/>
      <c r="MOI44"/>
      <c r="MOJ44"/>
      <c r="MOK44"/>
      <c r="MOL44"/>
      <c r="MOM44"/>
      <c r="MON44"/>
      <c r="MOO44"/>
      <c r="MOP44"/>
      <c r="MOQ44"/>
      <c r="MOR44"/>
      <c r="MOS44"/>
      <c r="MOT44"/>
      <c r="MOU44"/>
      <c r="MOV44"/>
      <c r="MOW44"/>
      <c r="MOX44"/>
      <c r="MOY44"/>
      <c r="MOZ44"/>
      <c r="MPA44"/>
      <c r="MPB44"/>
      <c r="MPC44"/>
      <c r="MPD44"/>
      <c r="MPE44"/>
      <c r="MPF44"/>
      <c r="MPG44"/>
      <c r="MPH44"/>
      <c r="MPI44"/>
      <c r="MPJ44"/>
      <c r="MPK44"/>
      <c r="MPL44"/>
      <c r="MPM44"/>
      <c r="MPN44"/>
      <c r="MPO44"/>
      <c r="MPP44"/>
      <c r="MPQ44"/>
      <c r="MPR44"/>
      <c r="MPS44"/>
      <c r="MPT44"/>
      <c r="MPU44"/>
      <c r="MPV44"/>
      <c r="MPW44"/>
      <c r="MPX44"/>
      <c r="MPY44"/>
      <c r="MPZ44"/>
      <c r="MQA44"/>
      <c r="MQB44"/>
      <c r="MQC44"/>
      <c r="MQD44"/>
      <c r="MQE44"/>
      <c r="MQF44"/>
      <c r="MQG44"/>
      <c r="MQH44"/>
      <c r="MQI44"/>
      <c r="MQJ44"/>
      <c r="MQK44"/>
      <c r="MQL44"/>
      <c r="MQM44"/>
      <c r="MQN44"/>
      <c r="MQO44"/>
      <c r="MQP44"/>
      <c r="MQQ44"/>
      <c r="MQR44"/>
      <c r="MQS44"/>
      <c r="MQT44"/>
      <c r="MQU44"/>
      <c r="MQV44"/>
      <c r="MQW44"/>
      <c r="MQX44"/>
      <c r="MQY44"/>
      <c r="MQZ44"/>
      <c r="MRA44"/>
      <c r="MRB44"/>
      <c r="MRC44"/>
      <c r="MRD44"/>
      <c r="MRE44"/>
      <c r="MRF44"/>
      <c r="MRG44"/>
      <c r="MRH44"/>
      <c r="MRI44"/>
      <c r="MRJ44"/>
      <c r="MRK44"/>
      <c r="MRL44"/>
      <c r="MRM44"/>
      <c r="MRN44"/>
      <c r="MRO44"/>
      <c r="MRP44"/>
      <c r="MRQ44"/>
      <c r="MRR44"/>
      <c r="MRS44"/>
      <c r="MRT44"/>
      <c r="MRU44"/>
      <c r="MRV44"/>
      <c r="MRW44"/>
      <c r="MRX44"/>
      <c r="MRY44"/>
      <c r="MRZ44"/>
      <c r="MSA44"/>
      <c r="MSB44"/>
      <c r="MSC44"/>
      <c r="MSD44"/>
      <c r="MSE44"/>
      <c r="MSF44"/>
      <c r="MSG44"/>
      <c r="MSH44"/>
      <c r="MSI44"/>
      <c r="MSJ44"/>
      <c r="MSK44"/>
      <c r="MSL44"/>
      <c r="MSM44"/>
      <c r="MSN44"/>
      <c r="MSO44"/>
      <c r="MSP44"/>
      <c r="MSQ44"/>
      <c r="MSR44"/>
      <c r="MSS44"/>
      <c r="MST44"/>
      <c r="MSU44"/>
      <c r="MSV44"/>
      <c r="MSW44"/>
      <c r="MSX44"/>
      <c r="MSY44"/>
      <c r="MSZ44"/>
      <c r="MTA44"/>
      <c r="MTB44"/>
      <c r="MTC44"/>
      <c r="MTD44"/>
      <c r="MTE44"/>
      <c r="MTF44"/>
      <c r="MTG44"/>
      <c r="MTH44"/>
      <c r="MTI44"/>
      <c r="MTJ44"/>
      <c r="MTK44"/>
      <c r="MTL44"/>
      <c r="MTM44"/>
      <c r="MTN44"/>
      <c r="MTO44"/>
      <c r="MTP44"/>
      <c r="MTQ44"/>
      <c r="MTR44"/>
      <c r="MTS44"/>
      <c r="MTT44"/>
      <c r="MTU44"/>
      <c r="MTV44"/>
      <c r="MTW44"/>
      <c r="MTX44"/>
      <c r="MTY44"/>
      <c r="MTZ44"/>
      <c r="MUA44"/>
      <c r="MUB44"/>
      <c r="MUC44"/>
      <c r="MUD44"/>
      <c r="MUE44"/>
      <c r="MUF44"/>
      <c r="MUG44"/>
      <c r="MUH44"/>
      <c r="MUI44"/>
      <c r="MUJ44"/>
      <c r="MUK44"/>
      <c r="MUL44"/>
      <c r="MUM44"/>
      <c r="MUN44"/>
      <c r="MUO44"/>
      <c r="MUP44"/>
      <c r="MUQ44"/>
      <c r="MUR44"/>
      <c r="MUS44"/>
      <c r="MUT44"/>
      <c r="MUU44"/>
      <c r="MUV44"/>
      <c r="MUW44"/>
      <c r="MUX44"/>
      <c r="MUY44"/>
      <c r="MUZ44"/>
      <c r="MVA44"/>
      <c r="MVB44"/>
      <c r="MVC44"/>
      <c r="MVD44"/>
      <c r="MVE44"/>
      <c r="MVF44"/>
      <c r="MVG44"/>
      <c r="MVH44"/>
      <c r="MVI44"/>
      <c r="MVJ44"/>
      <c r="MVK44"/>
      <c r="MVL44"/>
      <c r="MVM44"/>
      <c r="MVN44"/>
      <c r="MVO44"/>
      <c r="MVP44"/>
      <c r="MVQ44"/>
      <c r="MVR44"/>
      <c r="MVS44"/>
      <c r="MVT44"/>
      <c r="MVU44"/>
      <c r="MVV44"/>
      <c r="MVW44"/>
      <c r="MVX44"/>
      <c r="MVY44"/>
      <c r="MVZ44"/>
      <c r="MWA44"/>
      <c r="MWB44"/>
      <c r="MWC44"/>
      <c r="MWD44"/>
      <c r="MWE44"/>
      <c r="MWF44"/>
      <c r="MWG44"/>
      <c r="MWH44"/>
      <c r="MWI44"/>
      <c r="MWJ44"/>
      <c r="MWK44"/>
      <c r="MWL44"/>
      <c r="MWM44"/>
      <c r="MWN44"/>
      <c r="MWO44"/>
      <c r="MWP44"/>
      <c r="MWQ44"/>
      <c r="MWR44"/>
      <c r="MWS44"/>
      <c r="MWT44"/>
      <c r="MWU44"/>
      <c r="MWV44"/>
      <c r="MWW44"/>
      <c r="MWX44"/>
      <c r="MWY44"/>
      <c r="MWZ44"/>
      <c r="MXA44"/>
      <c r="MXB44"/>
      <c r="MXC44"/>
      <c r="MXD44"/>
      <c r="MXE44"/>
      <c r="MXF44"/>
      <c r="MXG44"/>
      <c r="MXH44"/>
      <c r="MXI44"/>
      <c r="MXJ44"/>
      <c r="MXK44"/>
      <c r="MXL44"/>
      <c r="MXM44"/>
      <c r="MXN44"/>
      <c r="MXO44"/>
      <c r="MXP44"/>
      <c r="MXQ44"/>
      <c r="MXR44"/>
      <c r="MXS44"/>
      <c r="MXT44"/>
      <c r="MXU44"/>
      <c r="MXV44"/>
      <c r="MXW44"/>
      <c r="MXX44"/>
      <c r="MXY44"/>
      <c r="MXZ44"/>
      <c r="MYA44"/>
      <c r="MYB44"/>
      <c r="MYC44"/>
      <c r="MYD44"/>
      <c r="MYE44"/>
      <c r="MYF44"/>
      <c r="MYG44"/>
      <c r="MYH44"/>
      <c r="MYI44"/>
      <c r="MYJ44"/>
      <c r="MYK44"/>
      <c r="MYL44"/>
      <c r="MYM44"/>
      <c r="MYN44"/>
      <c r="MYO44"/>
      <c r="MYP44"/>
      <c r="MYQ44"/>
      <c r="MYR44"/>
      <c r="MYS44"/>
      <c r="MYT44"/>
      <c r="MYU44"/>
      <c r="MYV44"/>
      <c r="MYW44"/>
      <c r="MYX44"/>
      <c r="MYY44"/>
      <c r="MYZ44"/>
      <c r="MZA44"/>
      <c r="MZB44"/>
      <c r="MZC44"/>
      <c r="MZD44"/>
      <c r="MZE44"/>
      <c r="MZF44"/>
      <c r="MZG44"/>
      <c r="MZH44"/>
      <c r="MZI44"/>
      <c r="MZJ44"/>
      <c r="MZK44"/>
      <c r="MZL44"/>
      <c r="MZM44"/>
      <c r="MZN44"/>
      <c r="MZO44"/>
      <c r="MZP44"/>
      <c r="MZQ44"/>
      <c r="MZR44"/>
      <c r="MZS44"/>
      <c r="MZT44"/>
      <c r="MZU44"/>
      <c r="MZV44"/>
      <c r="MZW44"/>
      <c r="MZX44"/>
      <c r="MZY44"/>
      <c r="MZZ44"/>
      <c r="NAA44"/>
      <c r="NAB44"/>
      <c r="NAC44"/>
      <c r="NAD44"/>
      <c r="NAE44"/>
      <c r="NAF44"/>
      <c r="NAG44"/>
      <c r="NAH44"/>
      <c r="NAI44"/>
      <c r="NAJ44"/>
      <c r="NAK44"/>
      <c r="NAL44"/>
      <c r="NAM44"/>
      <c r="NAN44"/>
      <c r="NAO44"/>
      <c r="NAP44"/>
      <c r="NAQ44"/>
      <c r="NAR44"/>
      <c r="NAS44"/>
      <c r="NAT44"/>
      <c r="NAU44"/>
      <c r="NAV44"/>
      <c r="NAW44"/>
      <c r="NAX44"/>
      <c r="NAY44"/>
      <c r="NAZ44"/>
      <c r="NBA44"/>
      <c r="NBB44"/>
      <c r="NBC44"/>
      <c r="NBD44"/>
      <c r="NBE44"/>
      <c r="NBF44"/>
      <c r="NBG44"/>
      <c r="NBH44"/>
      <c r="NBI44"/>
      <c r="NBJ44"/>
      <c r="NBK44"/>
      <c r="NBL44"/>
      <c r="NBM44"/>
      <c r="NBN44"/>
      <c r="NBO44"/>
      <c r="NBP44"/>
      <c r="NBQ44"/>
      <c r="NBR44"/>
      <c r="NBS44"/>
      <c r="NBT44"/>
      <c r="NBU44"/>
      <c r="NBV44"/>
      <c r="NBW44"/>
      <c r="NBX44"/>
      <c r="NBY44"/>
      <c r="NBZ44"/>
      <c r="NCA44"/>
      <c r="NCB44"/>
      <c r="NCC44"/>
      <c r="NCD44"/>
      <c r="NCE44"/>
      <c r="NCF44"/>
      <c r="NCG44"/>
      <c r="NCH44"/>
      <c r="NCI44"/>
      <c r="NCJ44"/>
      <c r="NCK44"/>
      <c r="NCL44"/>
      <c r="NCM44"/>
      <c r="NCN44"/>
      <c r="NCO44"/>
      <c r="NCP44"/>
      <c r="NCQ44"/>
      <c r="NCR44"/>
      <c r="NCS44"/>
      <c r="NCT44"/>
      <c r="NCU44"/>
      <c r="NCV44"/>
      <c r="NCW44"/>
      <c r="NCX44"/>
      <c r="NCY44"/>
      <c r="NCZ44"/>
      <c r="NDA44"/>
      <c r="NDB44"/>
      <c r="NDC44"/>
      <c r="NDD44"/>
      <c r="NDE44"/>
      <c r="NDF44"/>
      <c r="NDG44"/>
      <c r="NDH44"/>
      <c r="NDI44"/>
      <c r="NDJ44"/>
      <c r="NDK44"/>
      <c r="NDL44"/>
      <c r="NDM44"/>
      <c r="NDN44"/>
      <c r="NDO44"/>
      <c r="NDP44"/>
      <c r="NDQ44"/>
      <c r="NDR44"/>
      <c r="NDS44"/>
      <c r="NDT44"/>
      <c r="NDU44"/>
      <c r="NDV44"/>
      <c r="NDW44"/>
      <c r="NDX44"/>
      <c r="NDY44"/>
      <c r="NDZ44"/>
      <c r="NEA44"/>
      <c r="NEB44"/>
      <c r="NEC44"/>
      <c r="NED44"/>
      <c r="NEE44"/>
      <c r="NEF44"/>
      <c r="NEG44"/>
      <c r="NEH44"/>
      <c r="NEI44"/>
      <c r="NEJ44"/>
      <c r="NEK44"/>
      <c r="NEL44"/>
      <c r="NEM44"/>
      <c r="NEN44"/>
      <c r="NEO44"/>
      <c r="NEP44"/>
      <c r="NEQ44"/>
      <c r="NER44"/>
      <c r="NES44"/>
      <c r="NET44"/>
      <c r="NEU44"/>
      <c r="NEV44"/>
      <c r="NEW44"/>
      <c r="NEX44"/>
      <c r="NEY44"/>
      <c r="NEZ44"/>
      <c r="NFA44"/>
      <c r="NFB44"/>
      <c r="NFC44"/>
      <c r="NFD44"/>
      <c r="NFE44"/>
      <c r="NFF44"/>
      <c r="NFG44"/>
      <c r="NFH44"/>
      <c r="NFI44"/>
      <c r="NFJ44"/>
      <c r="NFK44"/>
      <c r="NFL44"/>
      <c r="NFM44"/>
      <c r="NFN44"/>
      <c r="NFO44"/>
      <c r="NFP44"/>
      <c r="NFQ44"/>
      <c r="NFR44"/>
      <c r="NFS44"/>
      <c r="NFT44"/>
      <c r="NFU44"/>
      <c r="NFV44"/>
      <c r="NFW44"/>
      <c r="NFX44"/>
      <c r="NFY44"/>
      <c r="NFZ44"/>
      <c r="NGA44"/>
      <c r="NGB44"/>
      <c r="NGC44"/>
      <c r="NGD44"/>
      <c r="NGE44"/>
      <c r="NGF44"/>
      <c r="NGG44"/>
      <c r="NGH44"/>
      <c r="NGI44"/>
      <c r="NGJ44"/>
      <c r="NGK44"/>
      <c r="NGL44"/>
      <c r="NGM44"/>
      <c r="NGN44"/>
      <c r="NGO44"/>
      <c r="NGP44"/>
      <c r="NGQ44"/>
      <c r="NGR44"/>
      <c r="NGS44"/>
      <c r="NGT44"/>
      <c r="NGU44"/>
      <c r="NGV44"/>
      <c r="NGW44"/>
      <c r="NGX44"/>
      <c r="NGY44"/>
      <c r="NGZ44"/>
      <c r="NHA44"/>
      <c r="NHB44"/>
      <c r="NHC44"/>
      <c r="NHD44"/>
      <c r="NHE44"/>
      <c r="NHF44"/>
      <c r="NHG44"/>
      <c r="NHH44"/>
      <c r="NHI44"/>
      <c r="NHJ44"/>
      <c r="NHK44"/>
      <c r="NHL44"/>
      <c r="NHM44"/>
      <c r="NHN44"/>
      <c r="NHO44"/>
      <c r="NHP44"/>
      <c r="NHQ44"/>
      <c r="NHR44"/>
      <c r="NHS44"/>
      <c r="NHT44"/>
      <c r="NHU44"/>
      <c r="NHV44"/>
      <c r="NHW44"/>
      <c r="NHX44"/>
      <c r="NHY44"/>
      <c r="NHZ44"/>
      <c r="NIA44"/>
      <c r="NIB44"/>
      <c r="NIC44"/>
      <c r="NID44"/>
      <c r="NIE44"/>
      <c r="NIF44"/>
      <c r="NIG44"/>
      <c r="NIH44"/>
      <c r="NII44"/>
      <c r="NIJ44"/>
      <c r="NIK44"/>
      <c r="NIL44"/>
      <c r="NIM44"/>
      <c r="NIN44"/>
      <c r="NIO44"/>
      <c r="NIP44"/>
      <c r="NIQ44"/>
      <c r="NIR44"/>
      <c r="NIS44"/>
      <c r="NIT44"/>
      <c r="NIU44"/>
      <c r="NIV44"/>
      <c r="NIW44"/>
      <c r="NIX44"/>
      <c r="NIY44"/>
      <c r="NIZ44"/>
      <c r="NJA44"/>
      <c r="NJB44"/>
      <c r="NJC44"/>
      <c r="NJD44"/>
      <c r="NJE44"/>
      <c r="NJF44"/>
      <c r="NJG44"/>
      <c r="NJH44"/>
      <c r="NJI44"/>
      <c r="NJJ44"/>
      <c r="NJK44"/>
      <c r="NJL44"/>
      <c r="NJM44"/>
      <c r="NJN44"/>
      <c r="NJO44"/>
      <c r="NJP44"/>
      <c r="NJQ44"/>
      <c r="NJR44"/>
      <c r="NJS44"/>
      <c r="NJT44"/>
      <c r="NJU44"/>
      <c r="NJV44"/>
      <c r="NJW44"/>
      <c r="NJX44"/>
      <c r="NJY44"/>
      <c r="NJZ44"/>
      <c r="NKA44"/>
      <c r="NKB44"/>
      <c r="NKC44"/>
      <c r="NKD44"/>
      <c r="NKE44"/>
      <c r="NKF44"/>
      <c r="NKG44"/>
      <c r="NKH44"/>
      <c r="NKI44"/>
      <c r="NKJ44"/>
      <c r="NKK44"/>
      <c r="NKL44"/>
      <c r="NKM44"/>
      <c r="NKN44"/>
      <c r="NKO44"/>
      <c r="NKP44"/>
      <c r="NKQ44"/>
      <c r="NKR44"/>
      <c r="NKS44"/>
      <c r="NKT44"/>
      <c r="NKU44"/>
      <c r="NKV44"/>
      <c r="NKW44"/>
      <c r="NKX44"/>
      <c r="NKY44"/>
      <c r="NKZ44"/>
      <c r="NLA44"/>
      <c r="NLB44"/>
      <c r="NLC44"/>
      <c r="NLD44"/>
      <c r="NLE44"/>
      <c r="NLF44"/>
      <c r="NLG44"/>
      <c r="NLH44"/>
      <c r="NLI44"/>
      <c r="NLJ44"/>
      <c r="NLK44"/>
      <c r="NLL44"/>
      <c r="NLM44"/>
      <c r="NLN44"/>
      <c r="NLO44"/>
      <c r="NLP44"/>
      <c r="NLQ44"/>
      <c r="NLR44"/>
      <c r="NLS44"/>
      <c r="NLT44"/>
      <c r="NLU44"/>
      <c r="NLV44"/>
      <c r="NLW44"/>
      <c r="NLX44"/>
      <c r="NLY44"/>
      <c r="NLZ44"/>
      <c r="NMA44"/>
      <c r="NMB44"/>
      <c r="NMC44"/>
      <c r="NMD44"/>
      <c r="NME44"/>
      <c r="NMF44"/>
      <c r="NMG44"/>
      <c r="NMH44"/>
      <c r="NMI44"/>
      <c r="NMJ44"/>
      <c r="NMK44"/>
      <c r="NML44"/>
      <c r="NMM44"/>
      <c r="NMN44"/>
      <c r="NMO44"/>
      <c r="NMP44"/>
      <c r="NMQ44"/>
      <c r="NMR44"/>
      <c r="NMS44"/>
      <c r="NMT44"/>
      <c r="NMU44"/>
      <c r="NMV44"/>
      <c r="NMW44"/>
      <c r="NMX44"/>
      <c r="NMY44"/>
      <c r="NMZ44"/>
      <c r="NNA44"/>
      <c r="NNB44"/>
      <c r="NNC44"/>
      <c r="NND44"/>
      <c r="NNE44"/>
      <c r="NNF44"/>
      <c r="NNG44"/>
      <c r="NNH44"/>
      <c r="NNI44"/>
      <c r="NNJ44"/>
      <c r="NNK44"/>
      <c r="NNL44"/>
      <c r="NNM44"/>
      <c r="NNN44"/>
      <c r="NNO44"/>
      <c r="NNP44"/>
      <c r="NNQ44"/>
      <c r="NNR44"/>
      <c r="NNS44"/>
      <c r="NNT44"/>
      <c r="NNU44"/>
      <c r="NNV44"/>
      <c r="NNW44"/>
      <c r="NNX44"/>
      <c r="NNY44"/>
      <c r="NNZ44"/>
      <c r="NOA44"/>
      <c r="NOB44"/>
      <c r="NOC44"/>
      <c r="NOD44"/>
      <c r="NOE44"/>
      <c r="NOF44"/>
      <c r="NOG44"/>
      <c r="NOH44"/>
      <c r="NOI44"/>
      <c r="NOJ44"/>
      <c r="NOK44"/>
      <c r="NOL44"/>
      <c r="NOM44"/>
      <c r="NON44"/>
      <c r="NOO44"/>
      <c r="NOP44"/>
      <c r="NOQ44"/>
      <c r="NOR44"/>
      <c r="NOS44"/>
      <c r="NOT44"/>
      <c r="NOU44"/>
      <c r="NOV44"/>
      <c r="NOW44"/>
      <c r="NOX44"/>
      <c r="NOY44"/>
      <c r="NOZ44"/>
      <c r="NPA44"/>
      <c r="NPB44"/>
      <c r="NPC44"/>
      <c r="NPD44"/>
      <c r="NPE44"/>
      <c r="NPF44"/>
      <c r="NPG44"/>
      <c r="NPH44"/>
      <c r="NPI44"/>
      <c r="NPJ44"/>
      <c r="NPK44"/>
      <c r="NPL44"/>
      <c r="NPM44"/>
      <c r="NPN44"/>
      <c r="NPO44"/>
      <c r="NPP44"/>
      <c r="NPQ44"/>
      <c r="NPR44"/>
      <c r="NPS44"/>
      <c r="NPT44"/>
      <c r="NPU44"/>
      <c r="NPV44"/>
      <c r="NPW44"/>
      <c r="NPX44"/>
      <c r="NPY44"/>
      <c r="NPZ44"/>
      <c r="NQA44"/>
      <c r="NQB44"/>
      <c r="NQC44"/>
      <c r="NQD44"/>
      <c r="NQE44"/>
      <c r="NQF44"/>
      <c r="NQG44"/>
      <c r="NQH44"/>
      <c r="NQI44"/>
      <c r="NQJ44"/>
      <c r="NQK44"/>
      <c r="NQL44"/>
      <c r="NQM44"/>
      <c r="NQN44"/>
      <c r="NQO44"/>
      <c r="NQP44"/>
      <c r="NQQ44"/>
      <c r="NQR44"/>
      <c r="NQS44"/>
      <c r="NQT44"/>
      <c r="NQU44"/>
      <c r="NQV44"/>
      <c r="NQW44"/>
      <c r="NQX44"/>
      <c r="NQY44"/>
      <c r="NQZ44"/>
      <c r="NRA44"/>
      <c r="NRB44"/>
      <c r="NRC44"/>
      <c r="NRD44"/>
      <c r="NRE44"/>
      <c r="NRF44"/>
      <c r="NRG44"/>
      <c r="NRH44"/>
      <c r="NRI44"/>
      <c r="NRJ44"/>
      <c r="NRK44"/>
      <c r="NRL44"/>
      <c r="NRM44"/>
      <c r="NRN44"/>
      <c r="NRO44"/>
      <c r="NRP44"/>
      <c r="NRQ44"/>
      <c r="NRR44"/>
      <c r="NRS44"/>
      <c r="NRT44"/>
      <c r="NRU44"/>
      <c r="NRV44"/>
      <c r="NRW44"/>
      <c r="NRX44"/>
      <c r="NRY44"/>
      <c r="NRZ44"/>
      <c r="NSA44"/>
      <c r="NSB44"/>
      <c r="NSC44"/>
      <c r="NSD44"/>
      <c r="NSE44"/>
      <c r="NSF44"/>
      <c r="NSG44"/>
      <c r="NSH44"/>
      <c r="NSI44"/>
      <c r="NSJ44"/>
      <c r="NSK44"/>
      <c r="NSL44"/>
      <c r="NSM44"/>
      <c r="NSN44"/>
      <c r="NSO44"/>
      <c r="NSP44"/>
      <c r="NSQ44"/>
      <c r="NSR44"/>
      <c r="NSS44"/>
      <c r="NST44"/>
      <c r="NSU44"/>
      <c r="NSV44"/>
      <c r="NSW44"/>
      <c r="NSX44"/>
      <c r="NSY44"/>
      <c r="NSZ44"/>
      <c r="NTA44"/>
      <c r="NTB44"/>
      <c r="NTC44"/>
      <c r="NTD44"/>
      <c r="NTE44"/>
      <c r="NTF44"/>
      <c r="NTG44"/>
      <c r="NTH44"/>
      <c r="NTI44"/>
      <c r="NTJ44"/>
      <c r="NTK44"/>
      <c r="NTL44"/>
      <c r="NTM44"/>
      <c r="NTN44"/>
      <c r="NTO44"/>
      <c r="NTP44"/>
      <c r="NTQ44"/>
      <c r="NTR44"/>
      <c r="NTS44"/>
      <c r="NTT44"/>
      <c r="NTU44"/>
      <c r="NTV44"/>
      <c r="NTW44"/>
      <c r="NTX44"/>
      <c r="NTY44"/>
      <c r="NTZ44"/>
      <c r="NUA44"/>
      <c r="NUB44"/>
      <c r="NUC44"/>
      <c r="NUD44"/>
      <c r="NUE44"/>
      <c r="NUF44"/>
      <c r="NUG44"/>
      <c r="NUH44"/>
      <c r="NUI44"/>
      <c r="NUJ44"/>
      <c r="NUK44"/>
      <c r="NUL44"/>
      <c r="NUM44"/>
      <c r="NUN44"/>
      <c r="NUO44"/>
      <c r="NUP44"/>
      <c r="NUQ44"/>
      <c r="NUR44"/>
      <c r="NUS44"/>
      <c r="NUT44"/>
      <c r="NUU44"/>
      <c r="NUV44"/>
      <c r="NUW44"/>
      <c r="NUX44"/>
      <c r="NUY44"/>
      <c r="NUZ44"/>
      <c r="NVA44"/>
      <c r="NVB44"/>
      <c r="NVC44"/>
      <c r="NVD44"/>
      <c r="NVE44"/>
      <c r="NVF44"/>
      <c r="NVG44"/>
      <c r="NVH44"/>
      <c r="NVI44"/>
      <c r="NVJ44"/>
      <c r="NVK44"/>
      <c r="NVL44"/>
      <c r="NVM44"/>
      <c r="NVN44"/>
      <c r="NVO44"/>
      <c r="NVP44"/>
      <c r="NVQ44"/>
      <c r="NVR44"/>
      <c r="NVS44"/>
      <c r="NVT44"/>
      <c r="NVU44"/>
      <c r="NVV44"/>
      <c r="NVW44"/>
      <c r="NVX44"/>
      <c r="NVY44"/>
      <c r="NVZ44"/>
      <c r="NWA44"/>
      <c r="NWB44"/>
      <c r="NWC44"/>
      <c r="NWD44"/>
      <c r="NWE44"/>
      <c r="NWF44"/>
      <c r="NWG44"/>
      <c r="NWH44"/>
      <c r="NWI44"/>
      <c r="NWJ44"/>
      <c r="NWK44"/>
      <c r="NWL44"/>
      <c r="NWM44"/>
      <c r="NWN44"/>
      <c r="NWO44"/>
      <c r="NWP44"/>
      <c r="NWQ44"/>
      <c r="NWR44"/>
      <c r="NWS44"/>
      <c r="NWT44"/>
      <c r="NWU44"/>
      <c r="NWV44"/>
      <c r="NWW44"/>
      <c r="NWX44"/>
      <c r="NWY44"/>
      <c r="NWZ44"/>
      <c r="NXA44"/>
      <c r="NXB44"/>
      <c r="NXC44"/>
      <c r="NXD44"/>
      <c r="NXE44"/>
      <c r="NXF44"/>
      <c r="NXG44"/>
      <c r="NXH44"/>
      <c r="NXI44"/>
      <c r="NXJ44"/>
      <c r="NXK44"/>
      <c r="NXL44"/>
      <c r="NXM44"/>
      <c r="NXN44"/>
      <c r="NXO44"/>
      <c r="NXP44"/>
      <c r="NXQ44"/>
      <c r="NXR44"/>
      <c r="NXS44"/>
      <c r="NXT44"/>
      <c r="NXU44"/>
      <c r="NXV44"/>
      <c r="NXW44"/>
      <c r="NXX44"/>
      <c r="NXY44"/>
      <c r="NXZ44"/>
      <c r="NYA44"/>
      <c r="NYB44"/>
      <c r="NYC44"/>
      <c r="NYD44"/>
      <c r="NYE44"/>
      <c r="NYF44"/>
      <c r="NYG44"/>
      <c r="NYH44"/>
      <c r="NYI44"/>
      <c r="NYJ44"/>
      <c r="NYK44"/>
      <c r="NYL44"/>
      <c r="NYM44"/>
      <c r="NYN44"/>
      <c r="NYO44"/>
      <c r="NYP44"/>
      <c r="NYQ44"/>
      <c r="NYR44"/>
      <c r="NYS44"/>
      <c r="NYT44"/>
      <c r="NYU44"/>
      <c r="NYV44"/>
      <c r="NYW44"/>
      <c r="NYX44"/>
      <c r="NYY44"/>
      <c r="NYZ44"/>
      <c r="NZA44"/>
      <c r="NZB44"/>
      <c r="NZC44"/>
      <c r="NZD44"/>
      <c r="NZE44"/>
      <c r="NZF44"/>
      <c r="NZG44"/>
      <c r="NZH44"/>
      <c r="NZI44"/>
      <c r="NZJ44"/>
      <c r="NZK44"/>
      <c r="NZL44"/>
      <c r="NZM44"/>
      <c r="NZN44"/>
      <c r="NZO44"/>
      <c r="NZP44"/>
      <c r="NZQ44"/>
      <c r="NZR44"/>
      <c r="NZS44"/>
      <c r="NZT44"/>
      <c r="NZU44"/>
      <c r="NZV44"/>
      <c r="NZW44"/>
      <c r="NZX44"/>
      <c r="NZY44"/>
      <c r="NZZ44"/>
      <c r="OAA44"/>
      <c r="OAB44"/>
      <c r="OAC44"/>
      <c r="OAD44"/>
      <c r="OAE44"/>
      <c r="OAF44"/>
      <c r="OAG44"/>
      <c r="OAH44"/>
      <c r="OAI44"/>
      <c r="OAJ44"/>
      <c r="OAK44"/>
      <c r="OAL44"/>
      <c r="OAM44"/>
      <c r="OAN44"/>
      <c r="OAO44"/>
      <c r="OAP44"/>
      <c r="OAQ44"/>
      <c r="OAR44"/>
      <c r="OAS44"/>
      <c r="OAT44"/>
      <c r="OAU44"/>
      <c r="OAV44"/>
      <c r="OAW44"/>
      <c r="OAX44"/>
      <c r="OAY44"/>
      <c r="OAZ44"/>
      <c r="OBA44"/>
      <c r="OBB44"/>
      <c r="OBC44"/>
      <c r="OBD44"/>
      <c r="OBE44"/>
      <c r="OBF44"/>
      <c r="OBG44"/>
      <c r="OBH44"/>
      <c r="OBI44"/>
      <c r="OBJ44"/>
      <c r="OBK44"/>
      <c r="OBL44"/>
      <c r="OBM44"/>
      <c r="OBN44"/>
      <c r="OBO44"/>
      <c r="OBP44"/>
      <c r="OBQ44"/>
      <c r="OBR44"/>
      <c r="OBS44"/>
      <c r="OBT44"/>
      <c r="OBU44"/>
      <c r="OBV44"/>
      <c r="OBW44"/>
      <c r="OBX44"/>
      <c r="OBY44"/>
      <c r="OBZ44"/>
      <c r="OCA44"/>
      <c r="OCB44"/>
      <c r="OCC44"/>
      <c r="OCD44"/>
      <c r="OCE44"/>
      <c r="OCF44"/>
      <c r="OCG44"/>
      <c r="OCH44"/>
      <c r="OCI44"/>
      <c r="OCJ44"/>
      <c r="OCK44"/>
      <c r="OCL44"/>
      <c r="OCM44"/>
      <c r="OCN44"/>
      <c r="OCO44"/>
      <c r="OCP44"/>
      <c r="OCQ44"/>
      <c r="OCR44"/>
      <c r="OCS44"/>
      <c r="OCT44"/>
      <c r="OCU44"/>
      <c r="OCV44"/>
      <c r="OCW44"/>
      <c r="OCX44"/>
      <c r="OCY44"/>
      <c r="OCZ44"/>
      <c r="ODA44"/>
      <c r="ODB44"/>
      <c r="ODC44"/>
      <c r="ODD44"/>
      <c r="ODE44"/>
      <c r="ODF44"/>
      <c r="ODG44"/>
      <c r="ODH44"/>
      <c r="ODI44"/>
      <c r="ODJ44"/>
      <c r="ODK44"/>
      <c r="ODL44"/>
      <c r="ODM44"/>
      <c r="ODN44"/>
      <c r="ODO44"/>
      <c r="ODP44"/>
      <c r="ODQ44"/>
      <c r="ODR44"/>
      <c r="ODS44"/>
      <c r="ODT44"/>
      <c r="ODU44"/>
      <c r="ODV44"/>
      <c r="ODW44"/>
      <c r="ODX44"/>
      <c r="ODY44"/>
      <c r="ODZ44"/>
      <c r="OEA44"/>
      <c r="OEB44"/>
      <c r="OEC44"/>
      <c r="OED44"/>
      <c r="OEE44"/>
      <c r="OEF44"/>
      <c r="OEG44"/>
      <c r="OEH44"/>
      <c r="OEI44"/>
      <c r="OEJ44"/>
      <c r="OEK44"/>
      <c r="OEL44"/>
      <c r="OEM44"/>
      <c r="OEN44"/>
      <c r="OEO44"/>
      <c r="OEP44"/>
      <c r="OEQ44"/>
      <c r="OER44"/>
      <c r="OES44"/>
      <c r="OET44"/>
      <c r="OEU44"/>
      <c r="OEV44"/>
      <c r="OEW44"/>
      <c r="OEX44"/>
      <c r="OEY44"/>
      <c r="OEZ44"/>
      <c r="OFA44"/>
      <c r="OFB44"/>
      <c r="OFC44"/>
      <c r="OFD44"/>
      <c r="OFE44"/>
      <c r="OFF44"/>
      <c r="OFG44"/>
      <c r="OFH44"/>
      <c r="OFI44"/>
      <c r="OFJ44"/>
      <c r="OFK44"/>
      <c r="OFL44"/>
      <c r="OFM44"/>
      <c r="OFN44"/>
      <c r="OFO44"/>
      <c r="OFP44"/>
      <c r="OFQ44"/>
      <c r="OFR44"/>
      <c r="OFS44"/>
      <c r="OFT44"/>
      <c r="OFU44"/>
      <c r="OFV44"/>
      <c r="OFW44"/>
      <c r="OFX44"/>
      <c r="OFY44"/>
      <c r="OFZ44"/>
      <c r="OGA44"/>
      <c r="OGB44"/>
      <c r="OGC44"/>
      <c r="OGD44"/>
      <c r="OGE44"/>
      <c r="OGF44"/>
      <c r="OGG44"/>
      <c r="OGH44"/>
      <c r="OGI44"/>
      <c r="OGJ44"/>
      <c r="OGK44"/>
      <c r="OGL44"/>
      <c r="OGM44"/>
      <c r="OGN44"/>
      <c r="OGO44"/>
      <c r="OGP44"/>
      <c r="OGQ44"/>
      <c r="OGR44"/>
      <c r="OGS44"/>
      <c r="OGT44"/>
      <c r="OGU44"/>
      <c r="OGV44"/>
      <c r="OGW44"/>
      <c r="OGX44"/>
      <c r="OGY44"/>
      <c r="OGZ44"/>
      <c r="OHA44"/>
      <c r="OHB44"/>
      <c r="OHC44"/>
      <c r="OHD44"/>
      <c r="OHE44"/>
      <c r="OHF44"/>
      <c r="OHG44"/>
      <c r="OHH44"/>
      <c r="OHI44"/>
      <c r="OHJ44"/>
      <c r="OHK44"/>
      <c r="OHL44"/>
      <c r="OHM44"/>
      <c r="OHN44"/>
      <c r="OHO44"/>
      <c r="OHP44"/>
      <c r="OHQ44"/>
      <c r="OHR44"/>
      <c r="OHS44"/>
      <c r="OHT44"/>
      <c r="OHU44"/>
      <c r="OHV44"/>
      <c r="OHW44"/>
      <c r="OHX44"/>
      <c r="OHY44"/>
      <c r="OHZ44"/>
      <c r="OIA44"/>
      <c r="OIB44"/>
      <c r="OIC44"/>
      <c r="OID44"/>
      <c r="OIE44"/>
      <c r="OIF44"/>
      <c r="OIG44"/>
      <c r="OIH44"/>
      <c r="OII44"/>
      <c r="OIJ44"/>
      <c r="OIK44"/>
      <c r="OIL44"/>
      <c r="OIM44"/>
      <c r="OIN44"/>
      <c r="OIO44"/>
      <c r="OIP44"/>
      <c r="OIQ44"/>
      <c r="OIR44"/>
      <c r="OIS44"/>
      <c r="OIT44"/>
      <c r="OIU44"/>
      <c r="OIV44"/>
      <c r="OIW44"/>
      <c r="OIX44"/>
      <c r="OIY44"/>
      <c r="OIZ44"/>
      <c r="OJA44"/>
      <c r="OJB44"/>
      <c r="OJC44"/>
      <c r="OJD44"/>
      <c r="OJE44"/>
      <c r="OJF44"/>
      <c r="OJG44"/>
      <c r="OJH44"/>
      <c r="OJI44"/>
      <c r="OJJ44"/>
      <c r="OJK44"/>
      <c r="OJL44"/>
      <c r="OJM44"/>
      <c r="OJN44"/>
      <c r="OJO44"/>
      <c r="OJP44"/>
      <c r="OJQ44"/>
      <c r="OJR44"/>
      <c r="OJS44"/>
      <c r="OJT44"/>
      <c r="OJU44"/>
      <c r="OJV44"/>
      <c r="OJW44"/>
      <c r="OJX44"/>
      <c r="OJY44"/>
      <c r="OJZ44"/>
      <c r="OKA44"/>
      <c r="OKB44"/>
      <c r="OKC44"/>
      <c r="OKD44"/>
      <c r="OKE44"/>
      <c r="OKF44"/>
      <c r="OKG44"/>
      <c r="OKH44"/>
      <c r="OKI44"/>
      <c r="OKJ44"/>
      <c r="OKK44"/>
      <c r="OKL44"/>
      <c r="OKM44"/>
      <c r="OKN44"/>
      <c r="OKO44"/>
      <c r="OKP44"/>
      <c r="OKQ44"/>
      <c r="OKR44"/>
      <c r="OKS44"/>
      <c r="OKT44"/>
      <c r="OKU44"/>
      <c r="OKV44"/>
      <c r="OKW44"/>
      <c r="OKX44"/>
      <c r="OKY44"/>
      <c r="OKZ44"/>
      <c r="OLA44"/>
      <c r="OLB44"/>
      <c r="OLC44"/>
      <c r="OLD44"/>
      <c r="OLE44"/>
      <c r="OLF44"/>
      <c r="OLG44"/>
      <c r="OLH44"/>
      <c r="OLI44"/>
      <c r="OLJ44"/>
      <c r="OLK44"/>
      <c r="OLL44"/>
      <c r="OLM44"/>
      <c r="OLN44"/>
      <c r="OLO44"/>
      <c r="OLP44"/>
      <c r="OLQ44"/>
      <c r="OLR44"/>
      <c r="OLS44"/>
      <c r="OLT44"/>
      <c r="OLU44"/>
      <c r="OLV44"/>
      <c r="OLW44"/>
      <c r="OLX44"/>
      <c r="OLY44"/>
      <c r="OLZ44"/>
      <c r="OMA44"/>
      <c r="OMB44"/>
      <c r="OMC44"/>
      <c r="OMD44"/>
      <c r="OME44"/>
      <c r="OMF44"/>
      <c r="OMG44"/>
      <c r="OMH44"/>
      <c r="OMI44"/>
      <c r="OMJ44"/>
      <c r="OMK44"/>
      <c r="OML44"/>
      <c r="OMM44"/>
      <c r="OMN44"/>
      <c r="OMO44"/>
      <c r="OMP44"/>
      <c r="OMQ44"/>
      <c r="OMR44"/>
      <c r="OMS44"/>
      <c r="OMT44"/>
      <c r="OMU44"/>
      <c r="OMV44"/>
      <c r="OMW44"/>
      <c r="OMX44"/>
      <c r="OMY44"/>
      <c r="OMZ44"/>
      <c r="ONA44"/>
      <c r="ONB44"/>
      <c r="ONC44"/>
      <c r="OND44"/>
      <c r="ONE44"/>
      <c r="ONF44"/>
      <c r="ONG44"/>
      <c r="ONH44"/>
      <c r="ONI44"/>
      <c r="ONJ44"/>
      <c r="ONK44"/>
      <c r="ONL44"/>
      <c r="ONM44"/>
      <c r="ONN44"/>
      <c r="ONO44"/>
      <c r="ONP44"/>
      <c r="ONQ44"/>
      <c r="ONR44"/>
      <c r="ONS44"/>
      <c r="ONT44"/>
      <c r="ONU44"/>
      <c r="ONV44"/>
      <c r="ONW44"/>
      <c r="ONX44"/>
      <c r="ONY44"/>
      <c r="ONZ44"/>
      <c r="OOA44"/>
      <c r="OOB44"/>
      <c r="OOC44"/>
      <c r="OOD44"/>
      <c r="OOE44"/>
      <c r="OOF44"/>
      <c r="OOG44"/>
      <c r="OOH44"/>
      <c r="OOI44"/>
      <c r="OOJ44"/>
      <c r="OOK44"/>
      <c r="OOL44"/>
      <c r="OOM44"/>
      <c r="OON44"/>
      <c r="OOO44"/>
      <c r="OOP44"/>
      <c r="OOQ44"/>
      <c r="OOR44"/>
      <c r="OOS44"/>
      <c r="OOT44"/>
      <c r="OOU44"/>
      <c r="OOV44"/>
      <c r="OOW44"/>
      <c r="OOX44"/>
      <c r="OOY44"/>
      <c r="OOZ44"/>
      <c r="OPA44"/>
      <c r="OPB44"/>
      <c r="OPC44"/>
      <c r="OPD44"/>
      <c r="OPE44"/>
      <c r="OPF44"/>
      <c r="OPG44"/>
      <c r="OPH44"/>
      <c r="OPI44"/>
      <c r="OPJ44"/>
      <c r="OPK44"/>
      <c r="OPL44"/>
      <c r="OPM44"/>
      <c r="OPN44"/>
      <c r="OPO44"/>
      <c r="OPP44"/>
      <c r="OPQ44"/>
      <c r="OPR44"/>
      <c r="OPS44"/>
      <c r="OPT44"/>
      <c r="OPU44"/>
      <c r="OPV44"/>
      <c r="OPW44"/>
      <c r="OPX44"/>
      <c r="OPY44"/>
      <c r="OPZ44"/>
      <c r="OQA44"/>
      <c r="OQB44"/>
      <c r="OQC44"/>
      <c r="OQD44"/>
      <c r="OQE44"/>
      <c r="OQF44"/>
      <c r="OQG44"/>
      <c r="OQH44"/>
      <c r="OQI44"/>
      <c r="OQJ44"/>
      <c r="OQK44"/>
      <c r="OQL44"/>
      <c r="OQM44"/>
      <c r="OQN44"/>
      <c r="OQO44"/>
      <c r="OQP44"/>
      <c r="OQQ44"/>
      <c r="OQR44"/>
      <c r="OQS44"/>
      <c r="OQT44"/>
      <c r="OQU44"/>
      <c r="OQV44"/>
      <c r="OQW44"/>
      <c r="OQX44"/>
      <c r="OQY44"/>
      <c r="OQZ44"/>
      <c r="ORA44"/>
      <c r="ORB44"/>
      <c r="ORC44"/>
      <c r="ORD44"/>
      <c r="ORE44"/>
      <c r="ORF44"/>
      <c r="ORG44"/>
      <c r="ORH44"/>
      <c r="ORI44"/>
      <c r="ORJ44"/>
      <c r="ORK44"/>
      <c r="ORL44"/>
      <c r="ORM44"/>
      <c r="ORN44"/>
      <c r="ORO44"/>
      <c r="ORP44"/>
      <c r="ORQ44"/>
      <c r="ORR44"/>
      <c r="ORS44"/>
      <c r="ORT44"/>
      <c r="ORU44"/>
      <c r="ORV44"/>
      <c r="ORW44"/>
      <c r="ORX44"/>
      <c r="ORY44"/>
      <c r="ORZ44"/>
      <c r="OSA44"/>
      <c r="OSB44"/>
      <c r="OSC44"/>
      <c r="OSD44"/>
      <c r="OSE44"/>
      <c r="OSF44"/>
      <c r="OSG44"/>
      <c r="OSH44"/>
      <c r="OSI44"/>
      <c r="OSJ44"/>
      <c r="OSK44"/>
      <c r="OSL44"/>
      <c r="OSM44"/>
      <c r="OSN44"/>
      <c r="OSO44"/>
      <c r="OSP44"/>
      <c r="OSQ44"/>
      <c r="OSR44"/>
      <c r="OSS44"/>
      <c r="OST44"/>
      <c r="OSU44"/>
      <c r="OSV44"/>
      <c r="OSW44"/>
      <c r="OSX44"/>
      <c r="OSY44"/>
      <c r="OSZ44"/>
      <c r="OTA44"/>
      <c r="OTB44"/>
      <c r="OTC44"/>
      <c r="OTD44"/>
      <c r="OTE44"/>
      <c r="OTF44"/>
      <c r="OTG44"/>
      <c r="OTH44"/>
      <c r="OTI44"/>
      <c r="OTJ44"/>
      <c r="OTK44"/>
      <c r="OTL44"/>
      <c r="OTM44"/>
      <c r="OTN44"/>
      <c r="OTO44"/>
      <c r="OTP44"/>
      <c r="OTQ44"/>
      <c r="OTR44"/>
      <c r="OTS44"/>
      <c r="OTT44"/>
      <c r="OTU44"/>
      <c r="OTV44"/>
      <c r="OTW44"/>
      <c r="OTX44"/>
      <c r="OTY44"/>
      <c r="OTZ44"/>
      <c r="OUA44"/>
      <c r="OUB44"/>
      <c r="OUC44"/>
      <c r="OUD44"/>
      <c r="OUE44"/>
      <c r="OUF44"/>
      <c r="OUG44"/>
      <c r="OUH44"/>
      <c r="OUI44"/>
      <c r="OUJ44"/>
      <c r="OUK44"/>
      <c r="OUL44"/>
      <c r="OUM44"/>
      <c r="OUN44"/>
      <c r="OUO44"/>
      <c r="OUP44"/>
      <c r="OUQ44"/>
      <c r="OUR44"/>
      <c r="OUS44"/>
      <c r="OUT44"/>
      <c r="OUU44"/>
      <c r="OUV44"/>
      <c r="OUW44"/>
      <c r="OUX44"/>
      <c r="OUY44"/>
      <c r="OUZ44"/>
      <c r="OVA44"/>
      <c r="OVB44"/>
      <c r="OVC44"/>
      <c r="OVD44"/>
      <c r="OVE44"/>
      <c r="OVF44"/>
      <c r="OVG44"/>
      <c r="OVH44"/>
      <c r="OVI44"/>
      <c r="OVJ44"/>
      <c r="OVK44"/>
      <c r="OVL44"/>
      <c r="OVM44"/>
      <c r="OVN44"/>
      <c r="OVO44"/>
      <c r="OVP44"/>
      <c r="OVQ44"/>
      <c r="OVR44"/>
      <c r="OVS44"/>
      <c r="OVT44"/>
      <c r="OVU44"/>
      <c r="OVV44"/>
      <c r="OVW44"/>
      <c r="OVX44"/>
      <c r="OVY44"/>
      <c r="OVZ44"/>
      <c r="OWA44"/>
      <c r="OWB44"/>
      <c r="OWC44"/>
      <c r="OWD44"/>
      <c r="OWE44"/>
      <c r="OWF44"/>
      <c r="OWG44"/>
      <c r="OWH44"/>
      <c r="OWI44"/>
      <c r="OWJ44"/>
      <c r="OWK44"/>
      <c r="OWL44"/>
      <c r="OWM44"/>
      <c r="OWN44"/>
      <c r="OWO44"/>
      <c r="OWP44"/>
      <c r="OWQ44"/>
      <c r="OWR44"/>
      <c r="OWS44"/>
      <c r="OWT44"/>
      <c r="OWU44"/>
      <c r="OWV44"/>
      <c r="OWW44"/>
      <c r="OWX44"/>
      <c r="OWY44"/>
      <c r="OWZ44"/>
      <c r="OXA44"/>
      <c r="OXB44"/>
      <c r="OXC44"/>
      <c r="OXD44"/>
      <c r="OXE44"/>
      <c r="OXF44"/>
      <c r="OXG44"/>
      <c r="OXH44"/>
      <c r="OXI44"/>
      <c r="OXJ44"/>
      <c r="OXK44"/>
      <c r="OXL44"/>
      <c r="OXM44"/>
      <c r="OXN44"/>
      <c r="OXO44"/>
      <c r="OXP44"/>
      <c r="OXQ44"/>
      <c r="OXR44"/>
      <c r="OXS44"/>
      <c r="OXT44"/>
      <c r="OXU44"/>
      <c r="OXV44"/>
      <c r="OXW44"/>
      <c r="OXX44"/>
      <c r="OXY44"/>
      <c r="OXZ44"/>
      <c r="OYA44"/>
      <c r="OYB44"/>
      <c r="OYC44"/>
      <c r="OYD44"/>
      <c r="OYE44"/>
      <c r="OYF44"/>
      <c r="OYG44"/>
      <c r="OYH44"/>
      <c r="OYI44"/>
      <c r="OYJ44"/>
      <c r="OYK44"/>
      <c r="OYL44"/>
      <c r="OYM44"/>
      <c r="OYN44"/>
      <c r="OYO44"/>
      <c r="OYP44"/>
      <c r="OYQ44"/>
      <c r="OYR44"/>
      <c r="OYS44"/>
      <c r="OYT44"/>
      <c r="OYU44"/>
      <c r="OYV44"/>
      <c r="OYW44"/>
      <c r="OYX44"/>
      <c r="OYY44"/>
      <c r="OYZ44"/>
      <c r="OZA44"/>
      <c r="OZB44"/>
      <c r="OZC44"/>
      <c r="OZD44"/>
      <c r="OZE44"/>
      <c r="OZF44"/>
      <c r="OZG44"/>
      <c r="OZH44"/>
      <c r="OZI44"/>
      <c r="OZJ44"/>
      <c r="OZK44"/>
      <c r="OZL44"/>
      <c r="OZM44"/>
      <c r="OZN44"/>
      <c r="OZO44"/>
      <c r="OZP44"/>
      <c r="OZQ44"/>
      <c r="OZR44"/>
      <c r="OZS44"/>
      <c r="OZT44"/>
      <c r="OZU44"/>
      <c r="OZV44"/>
      <c r="OZW44"/>
      <c r="OZX44"/>
      <c r="OZY44"/>
      <c r="OZZ44"/>
      <c r="PAA44"/>
      <c r="PAB44"/>
      <c r="PAC44"/>
      <c r="PAD44"/>
      <c r="PAE44"/>
      <c r="PAF44"/>
      <c r="PAG44"/>
      <c r="PAH44"/>
      <c r="PAI44"/>
      <c r="PAJ44"/>
      <c r="PAK44"/>
      <c r="PAL44"/>
      <c r="PAM44"/>
      <c r="PAN44"/>
      <c r="PAO44"/>
      <c r="PAP44"/>
      <c r="PAQ44"/>
      <c r="PAR44"/>
      <c r="PAS44"/>
      <c r="PAT44"/>
      <c r="PAU44"/>
      <c r="PAV44"/>
      <c r="PAW44"/>
      <c r="PAX44"/>
      <c r="PAY44"/>
      <c r="PAZ44"/>
      <c r="PBA44"/>
      <c r="PBB44"/>
      <c r="PBC44"/>
      <c r="PBD44"/>
      <c r="PBE44"/>
      <c r="PBF44"/>
      <c r="PBG44"/>
      <c r="PBH44"/>
      <c r="PBI44"/>
      <c r="PBJ44"/>
      <c r="PBK44"/>
      <c r="PBL44"/>
      <c r="PBM44"/>
      <c r="PBN44"/>
      <c r="PBO44"/>
      <c r="PBP44"/>
      <c r="PBQ44"/>
      <c r="PBR44"/>
      <c r="PBS44"/>
      <c r="PBT44"/>
      <c r="PBU44"/>
      <c r="PBV44"/>
      <c r="PBW44"/>
      <c r="PBX44"/>
      <c r="PBY44"/>
      <c r="PBZ44"/>
      <c r="PCA44"/>
      <c r="PCB44"/>
      <c r="PCC44"/>
      <c r="PCD44"/>
      <c r="PCE44"/>
      <c r="PCF44"/>
      <c r="PCG44"/>
      <c r="PCH44"/>
      <c r="PCI44"/>
      <c r="PCJ44"/>
      <c r="PCK44"/>
      <c r="PCL44"/>
      <c r="PCM44"/>
      <c r="PCN44"/>
      <c r="PCO44"/>
      <c r="PCP44"/>
      <c r="PCQ44"/>
      <c r="PCR44"/>
      <c r="PCS44"/>
      <c r="PCT44"/>
      <c r="PCU44"/>
      <c r="PCV44"/>
      <c r="PCW44"/>
      <c r="PCX44"/>
      <c r="PCY44"/>
      <c r="PCZ44"/>
      <c r="PDA44"/>
      <c r="PDB44"/>
      <c r="PDC44"/>
      <c r="PDD44"/>
      <c r="PDE44"/>
      <c r="PDF44"/>
      <c r="PDG44"/>
      <c r="PDH44"/>
      <c r="PDI44"/>
      <c r="PDJ44"/>
      <c r="PDK44"/>
      <c r="PDL44"/>
      <c r="PDM44"/>
      <c r="PDN44"/>
      <c r="PDO44"/>
      <c r="PDP44"/>
      <c r="PDQ44"/>
      <c r="PDR44"/>
      <c r="PDS44"/>
      <c r="PDT44"/>
      <c r="PDU44"/>
      <c r="PDV44"/>
      <c r="PDW44"/>
      <c r="PDX44"/>
      <c r="PDY44"/>
      <c r="PDZ44"/>
      <c r="PEA44"/>
      <c r="PEB44"/>
      <c r="PEC44"/>
      <c r="PED44"/>
      <c r="PEE44"/>
      <c r="PEF44"/>
      <c r="PEG44"/>
      <c r="PEH44"/>
      <c r="PEI44"/>
      <c r="PEJ44"/>
      <c r="PEK44"/>
      <c r="PEL44"/>
      <c r="PEM44"/>
      <c r="PEN44"/>
      <c r="PEO44"/>
      <c r="PEP44"/>
      <c r="PEQ44"/>
      <c r="PER44"/>
      <c r="PES44"/>
      <c r="PET44"/>
      <c r="PEU44"/>
      <c r="PEV44"/>
      <c r="PEW44"/>
      <c r="PEX44"/>
      <c r="PEY44"/>
      <c r="PEZ44"/>
      <c r="PFA44"/>
      <c r="PFB44"/>
      <c r="PFC44"/>
      <c r="PFD44"/>
      <c r="PFE44"/>
      <c r="PFF44"/>
      <c r="PFG44"/>
      <c r="PFH44"/>
      <c r="PFI44"/>
      <c r="PFJ44"/>
      <c r="PFK44"/>
      <c r="PFL44"/>
      <c r="PFM44"/>
      <c r="PFN44"/>
      <c r="PFO44"/>
      <c r="PFP44"/>
      <c r="PFQ44"/>
      <c r="PFR44"/>
      <c r="PFS44"/>
      <c r="PFT44"/>
      <c r="PFU44"/>
      <c r="PFV44"/>
      <c r="PFW44"/>
      <c r="PFX44"/>
      <c r="PFY44"/>
      <c r="PFZ44"/>
      <c r="PGA44"/>
      <c r="PGB44"/>
      <c r="PGC44"/>
      <c r="PGD44"/>
      <c r="PGE44"/>
      <c r="PGF44"/>
      <c r="PGG44"/>
      <c r="PGH44"/>
      <c r="PGI44"/>
      <c r="PGJ44"/>
      <c r="PGK44"/>
      <c r="PGL44"/>
      <c r="PGM44"/>
      <c r="PGN44"/>
      <c r="PGO44"/>
      <c r="PGP44"/>
      <c r="PGQ44"/>
      <c r="PGR44"/>
      <c r="PGS44"/>
      <c r="PGT44"/>
      <c r="PGU44"/>
      <c r="PGV44"/>
      <c r="PGW44"/>
      <c r="PGX44"/>
      <c r="PGY44"/>
      <c r="PGZ44"/>
      <c r="PHA44"/>
      <c r="PHB44"/>
      <c r="PHC44"/>
      <c r="PHD44"/>
      <c r="PHE44"/>
      <c r="PHF44"/>
      <c r="PHG44"/>
      <c r="PHH44"/>
      <c r="PHI44"/>
      <c r="PHJ44"/>
      <c r="PHK44"/>
      <c r="PHL44"/>
      <c r="PHM44"/>
      <c r="PHN44"/>
      <c r="PHO44"/>
      <c r="PHP44"/>
      <c r="PHQ44"/>
      <c r="PHR44"/>
      <c r="PHS44"/>
      <c r="PHT44"/>
      <c r="PHU44"/>
      <c r="PHV44"/>
      <c r="PHW44"/>
      <c r="PHX44"/>
      <c r="PHY44"/>
      <c r="PHZ44"/>
      <c r="PIA44"/>
      <c r="PIB44"/>
      <c r="PIC44"/>
      <c r="PID44"/>
      <c r="PIE44"/>
      <c r="PIF44"/>
      <c r="PIG44"/>
      <c r="PIH44"/>
      <c r="PII44"/>
      <c r="PIJ44"/>
      <c r="PIK44"/>
      <c r="PIL44"/>
      <c r="PIM44"/>
      <c r="PIN44"/>
      <c r="PIO44"/>
      <c r="PIP44"/>
      <c r="PIQ44"/>
      <c r="PIR44"/>
      <c r="PIS44"/>
      <c r="PIT44"/>
      <c r="PIU44"/>
      <c r="PIV44"/>
      <c r="PIW44"/>
      <c r="PIX44"/>
      <c r="PIY44"/>
      <c r="PIZ44"/>
      <c r="PJA44"/>
      <c r="PJB44"/>
      <c r="PJC44"/>
      <c r="PJD44"/>
      <c r="PJE44"/>
      <c r="PJF44"/>
      <c r="PJG44"/>
      <c r="PJH44"/>
      <c r="PJI44"/>
      <c r="PJJ44"/>
      <c r="PJK44"/>
      <c r="PJL44"/>
      <c r="PJM44"/>
      <c r="PJN44"/>
      <c r="PJO44"/>
      <c r="PJP44"/>
      <c r="PJQ44"/>
      <c r="PJR44"/>
      <c r="PJS44"/>
      <c r="PJT44"/>
      <c r="PJU44"/>
      <c r="PJV44"/>
      <c r="PJW44"/>
      <c r="PJX44"/>
      <c r="PJY44"/>
      <c r="PJZ44"/>
      <c r="PKA44"/>
      <c r="PKB44"/>
      <c r="PKC44"/>
      <c r="PKD44"/>
      <c r="PKE44"/>
      <c r="PKF44"/>
      <c r="PKG44"/>
      <c r="PKH44"/>
      <c r="PKI44"/>
      <c r="PKJ44"/>
      <c r="PKK44"/>
      <c r="PKL44"/>
      <c r="PKM44"/>
      <c r="PKN44"/>
      <c r="PKO44"/>
      <c r="PKP44"/>
      <c r="PKQ44"/>
      <c r="PKR44"/>
      <c r="PKS44"/>
      <c r="PKT44"/>
      <c r="PKU44"/>
      <c r="PKV44"/>
      <c r="PKW44"/>
      <c r="PKX44"/>
      <c r="PKY44"/>
      <c r="PKZ44"/>
      <c r="PLA44"/>
      <c r="PLB44"/>
      <c r="PLC44"/>
      <c r="PLD44"/>
      <c r="PLE44"/>
      <c r="PLF44"/>
      <c r="PLG44"/>
      <c r="PLH44"/>
      <c r="PLI44"/>
      <c r="PLJ44"/>
      <c r="PLK44"/>
      <c r="PLL44"/>
      <c r="PLM44"/>
      <c r="PLN44"/>
      <c r="PLO44"/>
      <c r="PLP44"/>
      <c r="PLQ44"/>
      <c r="PLR44"/>
      <c r="PLS44"/>
      <c r="PLT44"/>
      <c r="PLU44"/>
      <c r="PLV44"/>
      <c r="PLW44"/>
      <c r="PLX44"/>
      <c r="PLY44"/>
      <c r="PLZ44"/>
      <c r="PMA44"/>
      <c r="PMB44"/>
      <c r="PMC44"/>
      <c r="PMD44"/>
      <c r="PME44"/>
      <c r="PMF44"/>
      <c r="PMG44"/>
      <c r="PMH44"/>
      <c r="PMI44"/>
      <c r="PMJ44"/>
      <c r="PMK44"/>
      <c r="PML44"/>
      <c r="PMM44"/>
      <c r="PMN44"/>
      <c r="PMO44"/>
      <c r="PMP44"/>
      <c r="PMQ44"/>
      <c r="PMR44"/>
      <c r="PMS44"/>
      <c r="PMT44"/>
      <c r="PMU44"/>
      <c r="PMV44"/>
      <c r="PMW44"/>
      <c r="PMX44"/>
      <c r="PMY44"/>
      <c r="PMZ44"/>
      <c r="PNA44"/>
      <c r="PNB44"/>
      <c r="PNC44"/>
      <c r="PND44"/>
      <c r="PNE44"/>
      <c r="PNF44"/>
      <c r="PNG44"/>
      <c r="PNH44"/>
      <c r="PNI44"/>
      <c r="PNJ44"/>
      <c r="PNK44"/>
      <c r="PNL44"/>
      <c r="PNM44"/>
      <c r="PNN44"/>
      <c r="PNO44"/>
      <c r="PNP44"/>
      <c r="PNQ44"/>
      <c r="PNR44"/>
      <c r="PNS44"/>
      <c r="PNT44"/>
      <c r="PNU44"/>
      <c r="PNV44"/>
      <c r="PNW44"/>
      <c r="PNX44"/>
      <c r="PNY44"/>
      <c r="PNZ44"/>
      <c r="POA44"/>
      <c r="POB44"/>
      <c r="POC44"/>
      <c r="POD44"/>
      <c r="POE44"/>
      <c r="POF44"/>
      <c r="POG44"/>
      <c r="POH44"/>
      <c r="POI44"/>
      <c r="POJ44"/>
      <c r="POK44"/>
      <c r="POL44"/>
      <c r="POM44"/>
      <c r="PON44"/>
      <c r="POO44"/>
      <c r="POP44"/>
      <c r="POQ44"/>
      <c r="POR44"/>
      <c r="POS44"/>
      <c r="POT44"/>
      <c r="POU44"/>
      <c r="POV44"/>
      <c r="POW44"/>
      <c r="POX44"/>
      <c r="POY44"/>
      <c r="POZ44"/>
      <c r="PPA44"/>
      <c r="PPB44"/>
      <c r="PPC44"/>
      <c r="PPD44"/>
      <c r="PPE44"/>
      <c r="PPF44"/>
      <c r="PPG44"/>
      <c r="PPH44"/>
      <c r="PPI44"/>
      <c r="PPJ44"/>
      <c r="PPK44"/>
      <c r="PPL44"/>
      <c r="PPM44"/>
      <c r="PPN44"/>
      <c r="PPO44"/>
      <c r="PPP44"/>
      <c r="PPQ44"/>
      <c r="PPR44"/>
      <c r="PPS44"/>
      <c r="PPT44"/>
      <c r="PPU44"/>
      <c r="PPV44"/>
      <c r="PPW44"/>
      <c r="PPX44"/>
      <c r="PPY44"/>
      <c r="PPZ44"/>
      <c r="PQA44"/>
      <c r="PQB44"/>
      <c r="PQC44"/>
      <c r="PQD44"/>
      <c r="PQE44"/>
      <c r="PQF44"/>
      <c r="PQG44"/>
      <c r="PQH44"/>
      <c r="PQI44"/>
      <c r="PQJ44"/>
      <c r="PQK44"/>
      <c r="PQL44"/>
      <c r="PQM44"/>
      <c r="PQN44"/>
      <c r="PQO44"/>
      <c r="PQP44"/>
      <c r="PQQ44"/>
      <c r="PQR44"/>
      <c r="PQS44"/>
      <c r="PQT44"/>
      <c r="PQU44"/>
      <c r="PQV44"/>
      <c r="PQW44"/>
      <c r="PQX44"/>
      <c r="PQY44"/>
      <c r="PQZ44"/>
      <c r="PRA44"/>
      <c r="PRB44"/>
      <c r="PRC44"/>
      <c r="PRD44"/>
      <c r="PRE44"/>
      <c r="PRF44"/>
      <c r="PRG44"/>
      <c r="PRH44"/>
      <c r="PRI44"/>
      <c r="PRJ44"/>
      <c r="PRK44"/>
      <c r="PRL44"/>
      <c r="PRM44"/>
      <c r="PRN44"/>
      <c r="PRO44"/>
      <c r="PRP44"/>
      <c r="PRQ44"/>
      <c r="PRR44"/>
      <c r="PRS44"/>
      <c r="PRT44"/>
      <c r="PRU44"/>
      <c r="PRV44"/>
      <c r="PRW44"/>
      <c r="PRX44"/>
      <c r="PRY44"/>
      <c r="PRZ44"/>
      <c r="PSA44"/>
      <c r="PSB44"/>
      <c r="PSC44"/>
      <c r="PSD44"/>
      <c r="PSE44"/>
      <c r="PSF44"/>
      <c r="PSG44"/>
      <c r="PSH44"/>
      <c r="PSI44"/>
      <c r="PSJ44"/>
      <c r="PSK44"/>
      <c r="PSL44"/>
      <c r="PSM44"/>
      <c r="PSN44"/>
      <c r="PSO44"/>
      <c r="PSP44"/>
      <c r="PSQ44"/>
      <c r="PSR44"/>
      <c r="PSS44"/>
      <c r="PST44"/>
      <c r="PSU44"/>
      <c r="PSV44"/>
      <c r="PSW44"/>
      <c r="PSX44"/>
      <c r="PSY44"/>
      <c r="PSZ44"/>
      <c r="PTA44"/>
      <c r="PTB44"/>
      <c r="PTC44"/>
      <c r="PTD44"/>
      <c r="PTE44"/>
      <c r="PTF44"/>
      <c r="PTG44"/>
      <c r="PTH44"/>
      <c r="PTI44"/>
      <c r="PTJ44"/>
      <c r="PTK44"/>
      <c r="PTL44"/>
      <c r="PTM44"/>
      <c r="PTN44"/>
      <c r="PTO44"/>
      <c r="PTP44"/>
      <c r="PTQ44"/>
      <c r="PTR44"/>
      <c r="PTS44"/>
      <c r="PTT44"/>
      <c r="PTU44"/>
      <c r="PTV44"/>
      <c r="PTW44"/>
      <c r="PTX44"/>
      <c r="PTY44"/>
      <c r="PTZ44"/>
      <c r="PUA44"/>
      <c r="PUB44"/>
      <c r="PUC44"/>
      <c r="PUD44"/>
      <c r="PUE44"/>
      <c r="PUF44"/>
      <c r="PUG44"/>
      <c r="PUH44"/>
      <c r="PUI44"/>
      <c r="PUJ44"/>
      <c r="PUK44"/>
      <c r="PUL44"/>
      <c r="PUM44"/>
      <c r="PUN44"/>
      <c r="PUO44"/>
      <c r="PUP44"/>
      <c r="PUQ44"/>
      <c r="PUR44"/>
      <c r="PUS44"/>
      <c r="PUT44"/>
      <c r="PUU44"/>
      <c r="PUV44"/>
      <c r="PUW44"/>
      <c r="PUX44"/>
      <c r="PUY44"/>
      <c r="PUZ44"/>
      <c r="PVA44"/>
      <c r="PVB44"/>
      <c r="PVC44"/>
      <c r="PVD44"/>
      <c r="PVE44"/>
      <c r="PVF44"/>
      <c r="PVG44"/>
      <c r="PVH44"/>
      <c r="PVI44"/>
      <c r="PVJ44"/>
      <c r="PVK44"/>
      <c r="PVL44"/>
      <c r="PVM44"/>
      <c r="PVN44"/>
      <c r="PVO44"/>
      <c r="PVP44"/>
      <c r="PVQ44"/>
      <c r="PVR44"/>
      <c r="PVS44"/>
      <c r="PVT44"/>
      <c r="PVU44"/>
      <c r="PVV44"/>
      <c r="PVW44"/>
      <c r="PVX44"/>
      <c r="PVY44"/>
      <c r="PVZ44"/>
      <c r="PWA44"/>
      <c r="PWB44"/>
      <c r="PWC44"/>
      <c r="PWD44"/>
      <c r="PWE44"/>
      <c r="PWF44"/>
      <c r="PWG44"/>
      <c r="PWH44"/>
      <c r="PWI44"/>
      <c r="PWJ44"/>
      <c r="PWK44"/>
      <c r="PWL44"/>
      <c r="PWM44"/>
      <c r="PWN44"/>
      <c r="PWO44"/>
      <c r="PWP44"/>
      <c r="PWQ44"/>
      <c r="PWR44"/>
      <c r="PWS44"/>
      <c r="PWT44"/>
      <c r="PWU44"/>
      <c r="PWV44"/>
      <c r="PWW44"/>
      <c r="PWX44"/>
      <c r="PWY44"/>
      <c r="PWZ44"/>
      <c r="PXA44"/>
      <c r="PXB44"/>
      <c r="PXC44"/>
      <c r="PXD44"/>
      <c r="PXE44"/>
      <c r="PXF44"/>
      <c r="PXG44"/>
      <c r="PXH44"/>
      <c r="PXI44"/>
      <c r="PXJ44"/>
      <c r="PXK44"/>
      <c r="PXL44"/>
      <c r="PXM44"/>
      <c r="PXN44"/>
      <c r="PXO44"/>
      <c r="PXP44"/>
      <c r="PXQ44"/>
      <c r="PXR44"/>
      <c r="PXS44"/>
      <c r="PXT44"/>
      <c r="PXU44"/>
      <c r="PXV44"/>
      <c r="PXW44"/>
      <c r="PXX44"/>
      <c r="PXY44"/>
      <c r="PXZ44"/>
      <c r="PYA44"/>
      <c r="PYB44"/>
      <c r="PYC44"/>
      <c r="PYD44"/>
      <c r="PYE44"/>
      <c r="PYF44"/>
      <c r="PYG44"/>
      <c r="PYH44"/>
      <c r="PYI44"/>
      <c r="PYJ44"/>
      <c r="PYK44"/>
      <c r="PYL44"/>
      <c r="PYM44"/>
      <c r="PYN44"/>
      <c r="PYO44"/>
      <c r="PYP44"/>
      <c r="PYQ44"/>
      <c r="PYR44"/>
      <c r="PYS44"/>
      <c r="PYT44"/>
      <c r="PYU44"/>
      <c r="PYV44"/>
      <c r="PYW44"/>
      <c r="PYX44"/>
      <c r="PYY44"/>
      <c r="PYZ44"/>
      <c r="PZA44"/>
      <c r="PZB44"/>
      <c r="PZC44"/>
      <c r="PZD44"/>
      <c r="PZE44"/>
      <c r="PZF44"/>
      <c r="PZG44"/>
      <c r="PZH44"/>
      <c r="PZI44"/>
      <c r="PZJ44"/>
      <c r="PZK44"/>
      <c r="PZL44"/>
      <c r="PZM44"/>
      <c r="PZN44"/>
      <c r="PZO44"/>
      <c r="PZP44"/>
      <c r="PZQ44"/>
      <c r="PZR44"/>
      <c r="PZS44"/>
      <c r="PZT44"/>
      <c r="PZU44"/>
      <c r="PZV44"/>
      <c r="PZW44"/>
      <c r="PZX44"/>
      <c r="PZY44"/>
      <c r="PZZ44"/>
      <c r="QAA44"/>
      <c r="QAB44"/>
      <c r="QAC44"/>
      <c r="QAD44"/>
      <c r="QAE44"/>
      <c r="QAF44"/>
      <c r="QAG44"/>
      <c r="QAH44"/>
      <c r="QAI44"/>
      <c r="QAJ44"/>
      <c r="QAK44"/>
      <c r="QAL44"/>
      <c r="QAM44"/>
      <c r="QAN44"/>
      <c r="QAO44"/>
      <c r="QAP44"/>
      <c r="QAQ44"/>
      <c r="QAR44"/>
      <c r="QAS44"/>
      <c r="QAT44"/>
      <c r="QAU44"/>
      <c r="QAV44"/>
      <c r="QAW44"/>
      <c r="QAX44"/>
      <c r="QAY44"/>
      <c r="QAZ44"/>
      <c r="QBA44"/>
      <c r="QBB44"/>
      <c r="QBC44"/>
      <c r="QBD44"/>
      <c r="QBE44"/>
      <c r="QBF44"/>
      <c r="QBG44"/>
      <c r="QBH44"/>
      <c r="QBI44"/>
      <c r="QBJ44"/>
      <c r="QBK44"/>
      <c r="QBL44"/>
      <c r="QBM44"/>
      <c r="QBN44"/>
      <c r="QBO44"/>
      <c r="QBP44"/>
      <c r="QBQ44"/>
      <c r="QBR44"/>
      <c r="QBS44"/>
      <c r="QBT44"/>
      <c r="QBU44"/>
      <c r="QBV44"/>
      <c r="QBW44"/>
      <c r="QBX44"/>
      <c r="QBY44"/>
      <c r="QBZ44"/>
      <c r="QCA44"/>
      <c r="QCB44"/>
      <c r="QCC44"/>
      <c r="QCD44"/>
      <c r="QCE44"/>
      <c r="QCF44"/>
      <c r="QCG44"/>
      <c r="QCH44"/>
      <c r="QCI44"/>
      <c r="QCJ44"/>
      <c r="QCK44"/>
      <c r="QCL44"/>
      <c r="QCM44"/>
      <c r="QCN44"/>
      <c r="QCO44"/>
      <c r="QCP44"/>
      <c r="QCQ44"/>
      <c r="QCR44"/>
      <c r="QCS44"/>
      <c r="QCT44"/>
      <c r="QCU44"/>
      <c r="QCV44"/>
      <c r="QCW44"/>
      <c r="QCX44"/>
      <c r="QCY44"/>
      <c r="QCZ44"/>
      <c r="QDA44"/>
      <c r="QDB44"/>
      <c r="QDC44"/>
      <c r="QDD44"/>
      <c r="QDE44"/>
      <c r="QDF44"/>
      <c r="QDG44"/>
      <c r="QDH44"/>
      <c r="QDI44"/>
      <c r="QDJ44"/>
      <c r="QDK44"/>
      <c r="QDL44"/>
      <c r="QDM44"/>
      <c r="QDN44"/>
      <c r="QDO44"/>
      <c r="QDP44"/>
      <c r="QDQ44"/>
      <c r="QDR44"/>
      <c r="QDS44"/>
      <c r="QDT44"/>
      <c r="QDU44"/>
      <c r="QDV44"/>
      <c r="QDW44"/>
      <c r="QDX44"/>
      <c r="QDY44"/>
      <c r="QDZ44"/>
      <c r="QEA44"/>
      <c r="QEB44"/>
      <c r="QEC44"/>
      <c r="QED44"/>
      <c r="QEE44"/>
      <c r="QEF44"/>
      <c r="QEG44"/>
      <c r="QEH44"/>
      <c r="QEI44"/>
      <c r="QEJ44"/>
      <c r="QEK44"/>
      <c r="QEL44"/>
      <c r="QEM44"/>
      <c r="QEN44"/>
      <c r="QEO44"/>
      <c r="QEP44"/>
      <c r="QEQ44"/>
      <c r="QER44"/>
      <c r="QES44"/>
      <c r="QET44"/>
      <c r="QEU44"/>
      <c r="QEV44"/>
      <c r="QEW44"/>
      <c r="QEX44"/>
      <c r="QEY44"/>
      <c r="QEZ44"/>
      <c r="QFA44"/>
      <c r="QFB44"/>
      <c r="QFC44"/>
      <c r="QFD44"/>
      <c r="QFE44"/>
      <c r="QFF44"/>
      <c r="QFG44"/>
      <c r="QFH44"/>
      <c r="QFI44"/>
      <c r="QFJ44"/>
      <c r="QFK44"/>
      <c r="QFL44"/>
      <c r="QFM44"/>
      <c r="QFN44"/>
      <c r="QFO44"/>
      <c r="QFP44"/>
      <c r="QFQ44"/>
      <c r="QFR44"/>
      <c r="QFS44"/>
      <c r="QFT44"/>
      <c r="QFU44"/>
      <c r="QFV44"/>
      <c r="QFW44"/>
      <c r="QFX44"/>
      <c r="QFY44"/>
      <c r="QFZ44"/>
      <c r="QGA44"/>
      <c r="QGB44"/>
      <c r="QGC44"/>
      <c r="QGD44"/>
      <c r="QGE44"/>
      <c r="QGF44"/>
      <c r="QGG44"/>
      <c r="QGH44"/>
      <c r="QGI44"/>
      <c r="QGJ44"/>
      <c r="QGK44"/>
      <c r="QGL44"/>
      <c r="QGM44"/>
      <c r="QGN44"/>
      <c r="QGO44"/>
      <c r="QGP44"/>
      <c r="QGQ44"/>
      <c r="QGR44"/>
      <c r="QGS44"/>
      <c r="QGT44"/>
      <c r="QGU44"/>
      <c r="QGV44"/>
      <c r="QGW44"/>
      <c r="QGX44"/>
      <c r="QGY44"/>
      <c r="QGZ44"/>
      <c r="QHA44"/>
      <c r="QHB44"/>
      <c r="QHC44"/>
      <c r="QHD44"/>
      <c r="QHE44"/>
      <c r="QHF44"/>
      <c r="QHG44"/>
      <c r="QHH44"/>
      <c r="QHI44"/>
      <c r="QHJ44"/>
      <c r="QHK44"/>
      <c r="QHL44"/>
      <c r="QHM44"/>
      <c r="QHN44"/>
      <c r="QHO44"/>
      <c r="QHP44"/>
      <c r="QHQ44"/>
      <c r="QHR44"/>
      <c r="QHS44"/>
      <c r="QHT44"/>
      <c r="QHU44"/>
      <c r="QHV44"/>
      <c r="QHW44"/>
      <c r="QHX44"/>
      <c r="QHY44"/>
      <c r="QHZ44"/>
      <c r="QIA44"/>
      <c r="QIB44"/>
      <c r="QIC44"/>
      <c r="QID44"/>
      <c r="QIE44"/>
      <c r="QIF44"/>
      <c r="QIG44"/>
      <c r="QIH44"/>
      <c r="QII44"/>
      <c r="QIJ44"/>
      <c r="QIK44"/>
      <c r="QIL44"/>
      <c r="QIM44"/>
      <c r="QIN44"/>
      <c r="QIO44"/>
      <c r="QIP44"/>
      <c r="QIQ44"/>
      <c r="QIR44"/>
      <c r="QIS44"/>
      <c r="QIT44"/>
      <c r="QIU44"/>
      <c r="QIV44"/>
      <c r="QIW44"/>
      <c r="QIX44"/>
      <c r="QIY44"/>
      <c r="QIZ44"/>
      <c r="QJA44"/>
      <c r="QJB44"/>
      <c r="QJC44"/>
      <c r="QJD44"/>
      <c r="QJE44"/>
      <c r="QJF44"/>
      <c r="QJG44"/>
      <c r="QJH44"/>
      <c r="QJI44"/>
      <c r="QJJ44"/>
      <c r="QJK44"/>
      <c r="QJL44"/>
      <c r="QJM44"/>
      <c r="QJN44"/>
      <c r="QJO44"/>
      <c r="QJP44"/>
      <c r="QJQ44"/>
      <c r="QJR44"/>
      <c r="QJS44"/>
      <c r="QJT44"/>
      <c r="QJU44"/>
      <c r="QJV44"/>
      <c r="QJW44"/>
      <c r="QJX44"/>
      <c r="QJY44"/>
      <c r="QJZ44"/>
      <c r="QKA44"/>
      <c r="QKB44"/>
      <c r="QKC44"/>
      <c r="QKD44"/>
      <c r="QKE44"/>
      <c r="QKF44"/>
      <c r="QKG44"/>
      <c r="QKH44"/>
      <c r="QKI44"/>
      <c r="QKJ44"/>
      <c r="QKK44"/>
      <c r="QKL44"/>
      <c r="QKM44"/>
      <c r="QKN44"/>
      <c r="QKO44"/>
      <c r="QKP44"/>
      <c r="QKQ44"/>
      <c r="QKR44"/>
      <c r="QKS44"/>
      <c r="QKT44"/>
      <c r="QKU44"/>
      <c r="QKV44"/>
      <c r="QKW44"/>
      <c r="QKX44"/>
      <c r="QKY44"/>
      <c r="QKZ44"/>
      <c r="QLA44"/>
      <c r="QLB44"/>
      <c r="QLC44"/>
      <c r="QLD44"/>
      <c r="QLE44"/>
      <c r="QLF44"/>
      <c r="QLG44"/>
      <c r="QLH44"/>
      <c r="QLI44"/>
      <c r="QLJ44"/>
      <c r="QLK44"/>
      <c r="QLL44"/>
      <c r="QLM44"/>
      <c r="QLN44"/>
      <c r="QLO44"/>
      <c r="QLP44"/>
      <c r="QLQ44"/>
      <c r="QLR44"/>
      <c r="QLS44"/>
      <c r="QLT44"/>
      <c r="QLU44"/>
      <c r="QLV44"/>
      <c r="QLW44"/>
      <c r="QLX44"/>
      <c r="QLY44"/>
      <c r="QLZ44"/>
      <c r="QMA44"/>
      <c r="QMB44"/>
      <c r="QMC44"/>
      <c r="QMD44"/>
      <c r="QME44"/>
      <c r="QMF44"/>
      <c r="QMG44"/>
      <c r="QMH44"/>
      <c r="QMI44"/>
      <c r="QMJ44"/>
      <c r="QMK44"/>
      <c r="QML44"/>
      <c r="QMM44"/>
      <c r="QMN44"/>
      <c r="QMO44"/>
      <c r="QMP44"/>
      <c r="QMQ44"/>
      <c r="QMR44"/>
      <c r="QMS44"/>
      <c r="QMT44"/>
      <c r="QMU44"/>
      <c r="QMV44"/>
      <c r="QMW44"/>
      <c r="QMX44"/>
      <c r="QMY44"/>
      <c r="QMZ44"/>
      <c r="QNA44"/>
      <c r="QNB44"/>
      <c r="QNC44"/>
      <c r="QND44"/>
      <c r="QNE44"/>
      <c r="QNF44"/>
      <c r="QNG44"/>
      <c r="QNH44"/>
      <c r="QNI44"/>
      <c r="QNJ44"/>
      <c r="QNK44"/>
      <c r="QNL44"/>
      <c r="QNM44"/>
      <c r="QNN44"/>
      <c r="QNO44"/>
      <c r="QNP44"/>
      <c r="QNQ44"/>
      <c r="QNR44"/>
      <c r="QNS44"/>
      <c r="QNT44"/>
      <c r="QNU44"/>
      <c r="QNV44"/>
      <c r="QNW44"/>
      <c r="QNX44"/>
      <c r="QNY44"/>
      <c r="QNZ44"/>
      <c r="QOA44"/>
      <c r="QOB44"/>
      <c r="QOC44"/>
      <c r="QOD44"/>
      <c r="QOE44"/>
      <c r="QOF44"/>
      <c r="QOG44"/>
      <c r="QOH44"/>
      <c r="QOI44"/>
      <c r="QOJ44"/>
      <c r="QOK44"/>
      <c r="QOL44"/>
      <c r="QOM44"/>
      <c r="QON44"/>
      <c r="QOO44"/>
      <c r="QOP44"/>
      <c r="QOQ44"/>
      <c r="QOR44"/>
      <c r="QOS44"/>
      <c r="QOT44"/>
      <c r="QOU44"/>
      <c r="QOV44"/>
      <c r="QOW44"/>
      <c r="QOX44"/>
      <c r="QOY44"/>
      <c r="QOZ44"/>
      <c r="QPA44"/>
      <c r="QPB44"/>
      <c r="QPC44"/>
      <c r="QPD44"/>
      <c r="QPE44"/>
      <c r="QPF44"/>
      <c r="QPG44"/>
      <c r="QPH44"/>
      <c r="QPI44"/>
      <c r="QPJ44"/>
      <c r="QPK44"/>
      <c r="QPL44"/>
      <c r="QPM44"/>
      <c r="QPN44"/>
      <c r="QPO44"/>
      <c r="QPP44"/>
      <c r="QPQ44"/>
      <c r="QPR44"/>
      <c r="QPS44"/>
      <c r="QPT44"/>
      <c r="QPU44"/>
      <c r="QPV44"/>
      <c r="QPW44"/>
      <c r="QPX44"/>
      <c r="QPY44"/>
      <c r="QPZ44"/>
      <c r="QQA44"/>
      <c r="QQB44"/>
      <c r="QQC44"/>
      <c r="QQD44"/>
      <c r="QQE44"/>
      <c r="QQF44"/>
      <c r="QQG44"/>
      <c r="QQH44"/>
      <c r="QQI44"/>
      <c r="QQJ44"/>
      <c r="QQK44"/>
      <c r="QQL44"/>
      <c r="QQM44"/>
      <c r="QQN44"/>
      <c r="QQO44"/>
      <c r="QQP44"/>
      <c r="QQQ44"/>
      <c r="QQR44"/>
      <c r="QQS44"/>
      <c r="QQT44"/>
      <c r="QQU44"/>
      <c r="QQV44"/>
      <c r="QQW44"/>
      <c r="QQX44"/>
      <c r="QQY44"/>
      <c r="QQZ44"/>
      <c r="QRA44"/>
      <c r="QRB44"/>
      <c r="QRC44"/>
      <c r="QRD44"/>
      <c r="QRE44"/>
      <c r="QRF44"/>
      <c r="QRG44"/>
      <c r="QRH44"/>
      <c r="QRI44"/>
      <c r="QRJ44"/>
      <c r="QRK44"/>
      <c r="QRL44"/>
      <c r="QRM44"/>
      <c r="QRN44"/>
      <c r="QRO44"/>
      <c r="QRP44"/>
      <c r="QRQ44"/>
      <c r="QRR44"/>
      <c r="QRS44"/>
      <c r="QRT44"/>
      <c r="QRU44"/>
      <c r="QRV44"/>
      <c r="QRW44"/>
      <c r="QRX44"/>
      <c r="QRY44"/>
      <c r="QRZ44"/>
      <c r="QSA44"/>
      <c r="QSB44"/>
      <c r="QSC44"/>
      <c r="QSD44"/>
      <c r="QSE44"/>
      <c r="QSF44"/>
      <c r="QSG44"/>
      <c r="QSH44"/>
      <c r="QSI44"/>
      <c r="QSJ44"/>
      <c r="QSK44"/>
      <c r="QSL44"/>
      <c r="QSM44"/>
      <c r="QSN44"/>
      <c r="QSO44"/>
      <c r="QSP44"/>
      <c r="QSQ44"/>
      <c r="QSR44"/>
      <c r="QSS44"/>
      <c r="QST44"/>
      <c r="QSU44"/>
      <c r="QSV44"/>
      <c r="QSW44"/>
      <c r="QSX44"/>
      <c r="QSY44"/>
      <c r="QSZ44"/>
      <c r="QTA44"/>
      <c r="QTB44"/>
      <c r="QTC44"/>
      <c r="QTD44"/>
      <c r="QTE44"/>
      <c r="QTF44"/>
      <c r="QTG44"/>
      <c r="QTH44"/>
      <c r="QTI44"/>
      <c r="QTJ44"/>
      <c r="QTK44"/>
      <c r="QTL44"/>
      <c r="QTM44"/>
      <c r="QTN44"/>
      <c r="QTO44"/>
      <c r="QTP44"/>
      <c r="QTQ44"/>
      <c r="QTR44"/>
      <c r="QTS44"/>
      <c r="QTT44"/>
      <c r="QTU44"/>
      <c r="QTV44"/>
      <c r="QTW44"/>
      <c r="QTX44"/>
      <c r="QTY44"/>
      <c r="QTZ44"/>
      <c r="QUA44"/>
      <c r="QUB44"/>
      <c r="QUC44"/>
      <c r="QUD44"/>
      <c r="QUE44"/>
      <c r="QUF44"/>
      <c r="QUG44"/>
      <c r="QUH44"/>
      <c r="QUI44"/>
      <c r="QUJ44"/>
      <c r="QUK44"/>
      <c r="QUL44"/>
      <c r="QUM44"/>
      <c r="QUN44"/>
      <c r="QUO44"/>
      <c r="QUP44"/>
      <c r="QUQ44"/>
      <c r="QUR44"/>
      <c r="QUS44"/>
      <c r="QUT44"/>
      <c r="QUU44"/>
      <c r="QUV44"/>
      <c r="QUW44"/>
      <c r="QUX44"/>
      <c r="QUY44"/>
      <c r="QUZ44"/>
      <c r="QVA44"/>
      <c r="QVB44"/>
      <c r="QVC44"/>
      <c r="QVD44"/>
      <c r="QVE44"/>
      <c r="QVF44"/>
      <c r="QVG44"/>
      <c r="QVH44"/>
      <c r="QVI44"/>
      <c r="QVJ44"/>
      <c r="QVK44"/>
      <c r="QVL44"/>
      <c r="QVM44"/>
      <c r="QVN44"/>
      <c r="QVO44"/>
      <c r="QVP44"/>
      <c r="QVQ44"/>
      <c r="QVR44"/>
      <c r="QVS44"/>
      <c r="QVT44"/>
      <c r="QVU44"/>
      <c r="QVV44"/>
      <c r="QVW44"/>
      <c r="QVX44"/>
      <c r="QVY44"/>
      <c r="QVZ44"/>
      <c r="QWA44"/>
      <c r="QWB44"/>
      <c r="QWC44"/>
      <c r="QWD44"/>
      <c r="QWE44"/>
      <c r="QWF44"/>
      <c r="QWG44"/>
      <c r="QWH44"/>
      <c r="QWI44"/>
      <c r="QWJ44"/>
      <c r="QWK44"/>
      <c r="QWL44"/>
      <c r="QWM44"/>
      <c r="QWN44"/>
      <c r="QWO44"/>
      <c r="QWP44"/>
      <c r="QWQ44"/>
      <c r="QWR44"/>
      <c r="QWS44"/>
      <c r="QWT44"/>
      <c r="QWU44"/>
      <c r="QWV44"/>
      <c r="QWW44"/>
      <c r="QWX44"/>
      <c r="QWY44"/>
      <c r="QWZ44"/>
      <c r="QXA44"/>
      <c r="QXB44"/>
      <c r="QXC44"/>
      <c r="QXD44"/>
      <c r="QXE44"/>
      <c r="QXF44"/>
      <c r="QXG44"/>
      <c r="QXH44"/>
      <c r="QXI44"/>
      <c r="QXJ44"/>
      <c r="QXK44"/>
      <c r="QXL44"/>
      <c r="QXM44"/>
      <c r="QXN44"/>
      <c r="QXO44"/>
      <c r="QXP44"/>
      <c r="QXQ44"/>
      <c r="QXR44"/>
      <c r="QXS44"/>
      <c r="QXT44"/>
      <c r="QXU44"/>
      <c r="QXV44"/>
      <c r="QXW44"/>
      <c r="QXX44"/>
      <c r="QXY44"/>
      <c r="QXZ44"/>
      <c r="QYA44"/>
      <c r="QYB44"/>
      <c r="QYC44"/>
      <c r="QYD44"/>
      <c r="QYE44"/>
      <c r="QYF44"/>
      <c r="QYG44"/>
      <c r="QYH44"/>
      <c r="QYI44"/>
      <c r="QYJ44"/>
      <c r="QYK44"/>
      <c r="QYL44"/>
      <c r="QYM44"/>
      <c r="QYN44"/>
      <c r="QYO44"/>
      <c r="QYP44"/>
      <c r="QYQ44"/>
      <c r="QYR44"/>
      <c r="QYS44"/>
      <c r="QYT44"/>
      <c r="QYU44"/>
      <c r="QYV44"/>
      <c r="QYW44"/>
      <c r="QYX44"/>
      <c r="QYY44"/>
      <c r="QYZ44"/>
      <c r="QZA44"/>
      <c r="QZB44"/>
      <c r="QZC44"/>
      <c r="QZD44"/>
      <c r="QZE44"/>
      <c r="QZF44"/>
      <c r="QZG44"/>
      <c r="QZH44"/>
      <c r="QZI44"/>
      <c r="QZJ44"/>
      <c r="QZK44"/>
      <c r="QZL44"/>
      <c r="QZM44"/>
      <c r="QZN44"/>
      <c r="QZO44"/>
      <c r="QZP44"/>
      <c r="QZQ44"/>
      <c r="QZR44"/>
      <c r="QZS44"/>
      <c r="QZT44"/>
      <c r="QZU44"/>
      <c r="QZV44"/>
      <c r="QZW44"/>
      <c r="QZX44"/>
      <c r="QZY44"/>
      <c r="QZZ44"/>
      <c r="RAA44"/>
      <c r="RAB44"/>
      <c r="RAC44"/>
      <c r="RAD44"/>
      <c r="RAE44"/>
      <c r="RAF44"/>
      <c r="RAG44"/>
      <c r="RAH44"/>
      <c r="RAI44"/>
      <c r="RAJ44"/>
      <c r="RAK44"/>
      <c r="RAL44"/>
      <c r="RAM44"/>
      <c r="RAN44"/>
      <c r="RAO44"/>
      <c r="RAP44"/>
      <c r="RAQ44"/>
      <c r="RAR44"/>
      <c r="RAS44"/>
      <c r="RAT44"/>
      <c r="RAU44"/>
      <c r="RAV44"/>
      <c r="RAW44"/>
      <c r="RAX44"/>
      <c r="RAY44"/>
      <c r="RAZ44"/>
      <c r="RBA44"/>
      <c r="RBB44"/>
      <c r="RBC44"/>
      <c r="RBD44"/>
      <c r="RBE44"/>
      <c r="RBF44"/>
      <c r="RBG44"/>
      <c r="RBH44"/>
      <c r="RBI44"/>
      <c r="RBJ44"/>
      <c r="RBK44"/>
      <c r="RBL44"/>
      <c r="RBM44"/>
      <c r="RBN44"/>
      <c r="RBO44"/>
      <c r="RBP44"/>
      <c r="RBQ44"/>
      <c r="RBR44"/>
      <c r="RBS44"/>
      <c r="RBT44"/>
      <c r="RBU44"/>
      <c r="RBV44"/>
      <c r="RBW44"/>
      <c r="RBX44"/>
      <c r="RBY44"/>
      <c r="RBZ44"/>
      <c r="RCA44"/>
      <c r="RCB44"/>
      <c r="RCC44"/>
      <c r="RCD44"/>
      <c r="RCE44"/>
      <c r="RCF44"/>
      <c r="RCG44"/>
      <c r="RCH44"/>
      <c r="RCI44"/>
      <c r="RCJ44"/>
      <c r="RCK44"/>
      <c r="RCL44"/>
      <c r="RCM44"/>
      <c r="RCN44"/>
      <c r="RCO44"/>
      <c r="RCP44"/>
      <c r="RCQ44"/>
      <c r="RCR44"/>
      <c r="RCS44"/>
      <c r="RCT44"/>
      <c r="RCU44"/>
      <c r="RCV44"/>
      <c r="RCW44"/>
      <c r="RCX44"/>
      <c r="RCY44"/>
      <c r="RCZ44"/>
      <c r="RDA44"/>
      <c r="RDB44"/>
      <c r="RDC44"/>
      <c r="RDD44"/>
      <c r="RDE44"/>
      <c r="RDF44"/>
      <c r="RDG44"/>
      <c r="RDH44"/>
      <c r="RDI44"/>
      <c r="RDJ44"/>
      <c r="RDK44"/>
      <c r="RDL44"/>
      <c r="RDM44"/>
      <c r="RDN44"/>
      <c r="RDO44"/>
      <c r="RDP44"/>
      <c r="RDQ44"/>
      <c r="RDR44"/>
      <c r="RDS44"/>
      <c r="RDT44"/>
      <c r="RDU44"/>
      <c r="RDV44"/>
      <c r="RDW44"/>
      <c r="RDX44"/>
      <c r="RDY44"/>
      <c r="RDZ44"/>
      <c r="REA44"/>
      <c r="REB44"/>
      <c r="REC44"/>
      <c r="RED44"/>
      <c r="REE44"/>
      <c r="REF44"/>
      <c r="REG44"/>
      <c r="REH44"/>
      <c r="REI44"/>
      <c r="REJ44"/>
      <c r="REK44"/>
      <c r="REL44"/>
      <c r="REM44"/>
      <c r="REN44"/>
      <c r="REO44"/>
      <c r="REP44"/>
      <c r="REQ44"/>
      <c r="RER44"/>
      <c r="RES44"/>
      <c r="RET44"/>
      <c r="REU44"/>
      <c r="REV44"/>
      <c r="REW44"/>
      <c r="REX44"/>
      <c r="REY44"/>
      <c r="REZ44"/>
      <c r="RFA44"/>
      <c r="RFB44"/>
      <c r="RFC44"/>
      <c r="RFD44"/>
      <c r="RFE44"/>
      <c r="RFF44"/>
      <c r="RFG44"/>
      <c r="RFH44"/>
      <c r="RFI44"/>
      <c r="RFJ44"/>
      <c r="RFK44"/>
      <c r="RFL44"/>
      <c r="RFM44"/>
      <c r="RFN44"/>
      <c r="RFO44"/>
      <c r="RFP44"/>
      <c r="RFQ44"/>
      <c r="RFR44"/>
      <c r="RFS44"/>
      <c r="RFT44"/>
      <c r="RFU44"/>
      <c r="RFV44"/>
      <c r="RFW44"/>
      <c r="RFX44"/>
      <c r="RFY44"/>
      <c r="RFZ44"/>
      <c r="RGA44"/>
      <c r="RGB44"/>
      <c r="RGC44"/>
      <c r="RGD44"/>
      <c r="RGE44"/>
      <c r="RGF44"/>
      <c r="RGG44"/>
      <c r="RGH44"/>
      <c r="RGI44"/>
      <c r="RGJ44"/>
      <c r="RGK44"/>
      <c r="RGL44"/>
      <c r="RGM44"/>
      <c r="RGN44"/>
      <c r="RGO44"/>
      <c r="RGP44"/>
      <c r="RGQ44"/>
      <c r="RGR44"/>
      <c r="RGS44"/>
      <c r="RGT44"/>
      <c r="RGU44"/>
      <c r="RGV44"/>
      <c r="RGW44"/>
      <c r="RGX44"/>
      <c r="RGY44"/>
      <c r="RGZ44"/>
      <c r="RHA44"/>
      <c r="RHB44"/>
      <c r="RHC44"/>
      <c r="RHD44"/>
      <c r="RHE44"/>
      <c r="RHF44"/>
      <c r="RHG44"/>
      <c r="RHH44"/>
      <c r="RHI44"/>
      <c r="RHJ44"/>
      <c r="RHK44"/>
      <c r="RHL44"/>
      <c r="RHM44"/>
      <c r="RHN44"/>
      <c r="RHO44"/>
      <c r="RHP44"/>
      <c r="RHQ44"/>
      <c r="RHR44"/>
      <c r="RHS44"/>
      <c r="RHT44"/>
      <c r="RHU44"/>
      <c r="RHV44"/>
      <c r="RHW44"/>
      <c r="RHX44"/>
      <c r="RHY44"/>
      <c r="RHZ44"/>
      <c r="RIA44"/>
      <c r="RIB44"/>
      <c r="RIC44"/>
      <c r="RID44"/>
      <c r="RIE44"/>
      <c r="RIF44"/>
      <c r="RIG44"/>
      <c r="RIH44"/>
      <c r="RII44"/>
      <c r="RIJ44"/>
      <c r="RIK44"/>
      <c r="RIL44"/>
      <c r="RIM44"/>
      <c r="RIN44"/>
      <c r="RIO44"/>
      <c r="RIP44"/>
      <c r="RIQ44"/>
      <c r="RIR44"/>
      <c r="RIS44"/>
      <c r="RIT44"/>
      <c r="RIU44"/>
      <c r="RIV44"/>
      <c r="RIW44"/>
      <c r="RIX44"/>
      <c r="RIY44"/>
      <c r="RIZ44"/>
      <c r="RJA44"/>
      <c r="RJB44"/>
      <c r="RJC44"/>
      <c r="RJD44"/>
      <c r="RJE44"/>
      <c r="RJF44"/>
      <c r="RJG44"/>
      <c r="RJH44"/>
      <c r="RJI44"/>
      <c r="RJJ44"/>
      <c r="RJK44"/>
      <c r="RJL44"/>
      <c r="RJM44"/>
      <c r="RJN44"/>
      <c r="RJO44"/>
      <c r="RJP44"/>
      <c r="RJQ44"/>
      <c r="RJR44"/>
      <c r="RJS44"/>
      <c r="RJT44"/>
      <c r="RJU44"/>
      <c r="RJV44"/>
      <c r="RJW44"/>
      <c r="RJX44"/>
      <c r="RJY44"/>
      <c r="RJZ44"/>
      <c r="RKA44"/>
      <c r="RKB44"/>
      <c r="RKC44"/>
      <c r="RKD44"/>
      <c r="RKE44"/>
      <c r="RKF44"/>
      <c r="RKG44"/>
      <c r="RKH44"/>
      <c r="RKI44"/>
      <c r="RKJ44"/>
      <c r="RKK44"/>
      <c r="RKL44"/>
      <c r="RKM44"/>
      <c r="RKN44"/>
      <c r="RKO44"/>
      <c r="RKP44"/>
      <c r="RKQ44"/>
      <c r="RKR44"/>
      <c r="RKS44"/>
      <c r="RKT44"/>
      <c r="RKU44"/>
      <c r="RKV44"/>
      <c r="RKW44"/>
      <c r="RKX44"/>
      <c r="RKY44"/>
      <c r="RKZ44"/>
      <c r="RLA44"/>
      <c r="RLB44"/>
      <c r="RLC44"/>
      <c r="RLD44"/>
      <c r="RLE44"/>
      <c r="RLF44"/>
      <c r="RLG44"/>
      <c r="RLH44"/>
      <c r="RLI44"/>
      <c r="RLJ44"/>
      <c r="RLK44"/>
      <c r="RLL44"/>
      <c r="RLM44"/>
      <c r="RLN44"/>
      <c r="RLO44"/>
      <c r="RLP44"/>
      <c r="RLQ44"/>
      <c r="RLR44"/>
      <c r="RLS44"/>
      <c r="RLT44"/>
      <c r="RLU44"/>
      <c r="RLV44"/>
      <c r="RLW44"/>
      <c r="RLX44"/>
      <c r="RLY44"/>
      <c r="RLZ44"/>
      <c r="RMA44"/>
      <c r="RMB44"/>
      <c r="RMC44"/>
      <c r="RMD44"/>
      <c r="RME44"/>
      <c r="RMF44"/>
      <c r="RMG44"/>
      <c r="RMH44"/>
      <c r="RMI44"/>
      <c r="RMJ44"/>
      <c r="RMK44"/>
      <c r="RML44"/>
      <c r="RMM44"/>
      <c r="RMN44"/>
      <c r="RMO44"/>
      <c r="RMP44"/>
      <c r="RMQ44"/>
      <c r="RMR44"/>
      <c r="RMS44"/>
      <c r="RMT44"/>
      <c r="RMU44"/>
      <c r="RMV44"/>
      <c r="RMW44"/>
      <c r="RMX44"/>
      <c r="RMY44"/>
      <c r="RMZ44"/>
      <c r="RNA44"/>
      <c r="RNB44"/>
      <c r="RNC44"/>
      <c r="RND44"/>
      <c r="RNE44"/>
      <c r="RNF44"/>
      <c r="RNG44"/>
      <c r="RNH44"/>
      <c r="RNI44"/>
      <c r="RNJ44"/>
      <c r="RNK44"/>
      <c r="RNL44"/>
      <c r="RNM44"/>
      <c r="RNN44"/>
      <c r="RNO44"/>
      <c r="RNP44"/>
      <c r="RNQ44"/>
      <c r="RNR44"/>
      <c r="RNS44"/>
      <c r="RNT44"/>
      <c r="RNU44"/>
      <c r="RNV44"/>
      <c r="RNW44"/>
      <c r="RNX44"/>
      <c r="RNY44"/>
      <c r="RNZ44"/>
      <c r="ROA44"/>
      <c r="ROB44"/>
      <c r="ROC44"/>
      <c r="ROD44"/>
      <c r="ROE44"/>
      <c r="ROF44"/>
      <c r="ROG44"/>
      <c r="ROH44"/>
      <c r="ROI44"/>
      <c r="ROJ44"/>
      <c r="ROK44"/>
      <c r="ROL44"/>
      <c r="ROM44"/>
      <c r="RON44"/>
      <c r="ROO44"/>
      <c r="ROP44"/>
      <c r="ROQ44"/>
      <c r="ROR44"/>
      <c r="ROS44"/>
      <c r="ROT44"/>
      <c r="ROU44"/>
      <c r="ROV44"/>
      <c r="ROW44"/>
      <c r="ROX44"/>
      <c r="ROY44"/>
      <c r="ROZ44"/>
      <c r="RPA44"/>
      <c r="RPB44"/>
      <c r="RPC44"/>
      <c r="RPD44"/>
      <c r="RPE44"/>
      <c r="RPF44"/>
      <c r="RPG44"/>
      <c r="RPH44"/>
      <c r="RPI44"/>
      <c r="RPJ44"/>
      <c r="RPK44"/>
      <c r="RPL44"/>
      <c r="RPM44"/>
      <c r="RPN44"/>
      <c r="RPO44"/>
      <c r="RPP44"/>
      <c r="RPQ44"/>
      <c r="RPR44"/>
      <c r="RPS44"/>
      <c r="RPT44"/>
      <c r="RPU44"/>
      <c r="RPV44"/>
      <c r="RPW44"/>
      <c r="RPX44"/>
      <c r="RPY44"/>
      <c r="RPZ44"/>
      <c r="RQA44"/>
      <c r="RQB44"/>
      <c r="RQC44"/>
      <c r="RQD44"/>
      <c r="RQE44"/>
      <c r="RQF44"/>
      <c r="RQG44"/>
      <c r="RQH44"/>
      <c r="RQI44"/>
      <c r="RQJ44"/>
      <c r="RQK44"/>
      <c r="RQL44"/>
      <c r="RQM44"/>
      <c r="RQN44"/>
      <c r="RQO44"/>
      <c r="RQP44"/>
      <c r="RQQ44"/>
      <c r="RQR44"/>
      <c r="RQS44"/>
      <c r="RQT44"/>
      <c r="RQU44"/>
      <c r="RQV44"/>
      <c r="RQW44"/>
      <c r="RQX44"/>
      <c r="RQY44"/>
      <c r="RQZ44"/>
      <c r="RRA44"/>
      <c r="RRB44"/>
      <c r="RRC44"/>
      <c r="RRD44"/>
      <c r="RRE44"/>
      <c r="RRF44"/>
      <c r="RRG44"/>
      <c r="RRH44"/>
      <c r="RRI44"/>
      <c r="RRJ44"/>
      <c r="RRK44"/>
      <c r="RRL44"/>
      <c r="RRM44"/>
      <c r="RRN44"/>
      <c r="RRO44"/>
      <c r="RRP44"/>
      <c r="RRQ44"/>
      <c r="RRR44"/>
      <c r="RRS44"/>
      <c r="RRT44"/>
      <c r="RRU44"/>
      <c r="RRV44"/>
      <c r="RRW44"/>
      <c r="RRX44"/>
      <c r="RRY44"/>
      <c r="RRZ44"/>
      <c r="RSA44"/>
      <c r="RSB44"/>
      <c r="RSC44"/>
      <c r="RSD44"/>
      <c r="RSE44"/>
      <c r="RSF44"/>
      <c r="RSG44"/>
      <c r="RSH44"/>
      <c r="RSI44"/>
      <c r="RSJ44"/>
      <c r="RSK44"/>
      <c r="RSL44"/>
      <c r="RSM44"/>
      <c r="RSN44"/>
      <c r="RSO44"/>
      <c r="RSP44"/>
      <c r="RSQ44"/>
      <c r="RSR44"/>
      <c r="RSS44"/>
      <c r="RST44"/>
      <c r="RSU44"/>
      <c r="RSV44"/>
      <c r="RSW44"/>
      <c r="RSX44"/>
      <c r="RSY44"/>
      <c r="RSZ44"/>
      <c r="RTA44"/>
      <c r="RTB44"/>
      <c r="RTC44"/>
      <c r="RTD44"/>
      <c r="RTE44"/>
      <c r="RTF44"/>
      <c r="RTG44"/>
      <c r="RTH44"/>
      <c r="RTI44"/>
      <c r="RTJ44"/>
      <c r="RTK44"/>
      <c r="RTL44"/>
      <c r="RTM44"/>
      <c r="RTN44"/>
      <c r="RTO44"/>
      <c r="RTP44"/>
      <c r="RTQ44"/>
      <c r="RTR44"/>
      <c r="RTS44"/>
      <c r="RTT44"/>
      <c r="RTU44"/>
      <c r="RTV44"/>
      <c r="RTW44"/>
      <c r="RTX44"/>
      <c r="RTY44"/>
      <c r="RTZ44"/>
      <c r="RUA44"/>
      <c r="RUB44"/>
      <c r="RUC44"/>
      <c r="RUD44"/>
      <c r="RUE44"/>
      <c r="RUF44"/>
      <c r="RUG44"/>
      <c r="RUH44"/>
      <c r="RUI44"/>
      <c r="RUJ44"/>
      <c r="RUK44"/>
      <c r="RUL44"/>
      <c r="RUM44"/>
      <c r="RUN44"/>
      <c r="RUO44"/>
      <c r="RUP44"/>
      <c r="RUQ44"/>
      <c r="RUR44"/>
      <c r="RUS44"/>
      <c r="RUT44"/>
      <c r="RUU44"/>
      <c r="RUV44"/>
      <c r="RUW44"/>
      <c r="RUX44"/>
      <c r="RUY44"/>
      <c r="RUZ44"/>
      <c r="RVA44"/>
      <c r="RVB44"/>
      <c r="RVC44"/>
      <c r="RVD44"/>
      <c r="RVE44"/>
      <c r="RVF44"/>
      <c r="RVG44"/>
      <c r="RVH44"/>
      <c r="RVI44"/>
      <c r="RVJ44"/>
      <c r="RVK44"/>
      <c r="RVL44"/>
      <c r="RVM44"/>
      <c r="RVN44"/>
      <c r="RVO44"/>
      <c r="RVP44"/>
      <c r="RVQ44"/>
      <c r="RVR44"/>
      <c r="RVS44"/>
      <c r="RVT44"/>
      <c r="RVU44"/>
      <c r="RVV44"/>
      <c r="RVW44"/>
      <c r="RVX44"/>
      <c r="RVY44"/>
      <c r="RVZ44"/>
      <c r="RWA44"/>
      <c r="RWB44"/>
      <c r="RWC44"/>
      <c r="RWD44"/>
      <c r="RWE44"/>
      <c r="RWF44"/>
      <c r="RWG44"/>
      <c r="RWH44"/>
      <c r="RWI44"/>
      <c r="RWJ44"/>
      <c r="RWK44"/>
      <c r="RWL44"/>
      <c r="RWM44"/>
      <c r="RWN44"/>
      <c r="RWO44"/>
      <c r="RWP44"/>
      <c r="RWQ44"/>
      <c r="RWR44"/>
      <c r="RWS44"/>
      <c r="RWT44"/>
      <c r="RWU44"/>
      <c r="RWV44"/>
      <c r="RWW44"/>
      <c r="RWX44"/>
      <c r="RWY44"/>
      <c r="RWZ44"/>
      <c r="RXA44"/>
      <c r="RXB44"/>
      <c r="RXC44"/>
      <c r="RXD44"/>
      <c r="RXE44"/>
      <c r="RXF44"/>
      <c r="RXG44"/>
      <c r="RXH44"/>
      <c r="RXI44"/>
      <c r="RXJ44"/>
      <c r="RXK44"/>
      <c r="RXL44"/>
      <c r="RXM44"/>
      <c r="RXN44"/>
      <c r="RXO44"/>
      <c r="RXP44"/>
      <c r="RXQ44"/>
      <c r="RXR44"/>
      <c r="RXS44"/>
      <c r="RXT44"/>
      <c r="RXU44"/>
      <c r="RXV44"/>
      <c r="RXW44"/>
      <c r="RXX44"/>
      <c r="RXY44"/>
      <c r="RXZ44"/>
      <c r="RYA44"/>
      <c r="RYB44"/>
      <c r="RYC44"/>
      <c r="RYD44"/>
      <c r="RYE44"/>
      <c r="RYF44"/>
      <c r="RYG44"/>
      <c r="RYH44"/>
      <c r="RYI44"/>
      <c r="RYJ44"/>
      <c r="RYK44"/>
      <c r="RYL44"/>
      <c r="RYM44"/>
      <c r="RYN44"/>
      <c r="RYO44"/>
      <c r="RYP44"/>
      <c r="RYQ44"/>
      <c r="RYR44"/>
      <c r="RYS44"/>
      <c r="RYT44"/>
      <c r="RYU44"/>
      <c r="RYV44"/>
      <c r="RYW44"/>
      <c r="RYX44"/>
      <c r="RYY44"/>
      <c r="RYZ44"/>
      <c r="RZA44"/>
      <c r="RZB44"/>
      <c r="RZC44"/>
      <c r="RZD44"/>
      <c r="RZE44"/>
      <c r="RZF44"/>
      <c r="RZG44"/>
      <c r="RZH44"/>
      <c r="RZI44"/>
      <c r="RZJ44"/>
      <c r="RZK44"/>
      <c r="RZL44"/>
      <c r="RZM44"/>
      <c r="RZN44"/>
      <c r="RZO44"/>
      <c r="RZP44"/>
      <c r="RZQ44"/>
      <c r="RZR44"/>
      <c r="RZS44"/>
      <c r="RZT44"/>
      <c r="RZU44"/>
      <c r="RZV44"/>
      <c r="RZW44"/>
      <c r="RZX44"/>
      <c r="RZY44"/>
      <c r="RZZ44"/>
      <c r="SAA44"/>
      <c r="SAB44"/>
      <c r="SAC44"/>
      <c r="SAD44"/>
      <c r="SAE44"/>
      <c r="SAF44"/>
      <c r="SAG44"/>
      <c r="SAH44"/>
      <c r="SAI44"/>
      <c r="SAJ44"/>
      <c r="SAK44"/>
      <c r="SAL44"/>
      <c r="SAM44"/>
      <c r="SAN44"/>
      <c r="SAO44"/>
      <c r="SAP44"/>
      <c r="SAQ44"/>
      <c r="SAR44"/>
      <c r="SAS44"/>
      <c r="SAT44"/>
      <c r="SAU44"/>
      <c r="SAV44"/>
      <c r="SAW44"/>
      <c r="SAX44"/>
      <c r="SAY44"/>
      <c r="SAZ44"/>
      <c r="SBA44"/>
      <c r="SBB44"/>
      <c r="SBC44"/>
      <c r="SBD44"/>
      <c r="SBE44"/>
      <c r="SBF44"/>
      <c r="SBG44"/>
      <c r="SBH44"/>
      <c r="SBI44"/>
      <c r="SBJ44"/>
      <c r="SBK44"/>
      <c r="SBL44"/>
      <c r="SBM44"/>
      <c r="SBN44"/>
      <c r="SBO44"/>
      <c r="SBP44"/>
      <c r="SBQ44"/>
      <c r="SBR44"/>
      <c r="SBS44"/>
      <c r="SBT44"/>
      <c r="SBU44"/>
      <c r="SBV44"/>
      <c r="SBW44"/>
      <c r="SBX44"/>
      <c r="SBY44"/>
      <c r="SBZ44"/>
      <c r="SCA44"/>
      <c r="SCB44"/>
      <c r="SCC44"/>
      <c r="SCD44"/>
      <c r="SCE44"/>
      <c r="SCF44"/>
      <c r="SCG44"/>
      <c r="SCH44"/>
      <c r="SCI44"/>
      <c r="SCJ44"/>
      <c r="SCK44"/>
      <c r="SCL44"/>
      <c r="SCM44"/>
      <c r="SCN44"/>
      <c r="SCO44"/>
      <c r="SCP44"/>
      <c r="SCQ44"/>
      <c r="SCR44"/>
      <c r="SCS44"/>
      <c r="SCT44"/>
      <c r="SCU44"/>
      <c r="SCV44"/>
      <c r="SCW44"/>
      <c r="SCX44"/>
      <c r="SCY44"/>
      <c r="SCZ44"/>
      <c r="SDA44"/>
      <c r="SDB44"/>
      <c r="SDC44"/>
      <c r="SDD44"/>
      <c r="SDE44"/>
      <c r="SDF44"/>
      <c r="SDG44"/>
      <c r="SDH44"/>
      <c r="SDI44"/>
      <c r="SDJ44"/>
      <c r="SDK44"/>
      <c r="SDL44"/>
      <c r="SDM44"/>
      <c r="SDN44"/>
      <c r="SDO44"/>
      <c r="SDP44"/>
      <c r="SDQ44"/>
      <c r="SDR44"/>
      <c r="SDS44"/>
      <c r="SDT44"/>
      <c r="SDU44"/>
      <c r="SDV44"/>
      <c r="SDW44"/>
      <c r="SDX44"/>
      <c r="SDY44"/>
      <c r="SDZ44"/>
      <c r="SEA44"/>
      <c r="SEB44"/>
      <c r="SEC44"/>
      <c r="SED44"/>
      <c r="SEE44"/>
      <c r="SEF44"/>
      <c r="SEG44"/>
      <c r="SEH44"/>
      <c r="SEI44"/>
      <c r="SEJ44"/>
      <c r="SEK44"/>
      <c r="SEL44"/>
      <c r="SEM44"/>
      <c r="SEN44"/>
      <c r="SEO44"/>
      <c r="SEP44"/>
      <c r="SEQ44"/>
      <c r="SER44"/>
      <c r="SES44"/>
      <c r="SET44"/>
      <c r="SEU44"/>
      <c r="SEV44"/>
      <c r="SEW44"/>
      <c r="SEX44"/>
      <c r="SEY44"/>
      <c r="SEZ44"/>
      <c r="SFA44"/>
      <c r="SFB44"/>
      <c r="SFC44"/>
      <c r="SFD44"/>
      <c r="SFE44"/>
      <c r="SFF44"/>
      <c r="SFG44"/>
      <c r="SFH44"/>
      <c r="SFI44"/>
      <c r="SFJ44"/>
      <c r="SFK44"/>
      <c r="SFL44"/>
      <c r="SFM44"/>
      <c r="SFN44"/>
      <c r="SFO44"/>
      <c r="SFP44"/>
      <c r="SFQ44"/>
      <c r="SFR44"/>
      <c r="SFS44"/>
      <c r="SFT44"/>
      <c r="SFU44"/>
      <c r="SFV44"/>
      <c r="SFW44"/>
      <c r="SFX44"/>
      <c r="SFY44"/>
      <c r="SFZ44"/>
      <c r="SGA44"/>
      <c r="SGB44"/>
      <c r="SGC44"/>
      <c r="SGD44"/>
      <c r="SGE44"/>
      <c r="SGF44"/>
      <c r="SGG44"/>
      <c r="SGH44"/>
      <c r="SGI44"/>
      <c r="SGJ44"/>
      <c r="SGK44"/>
      <c r="SGL44"/>
      <c r="SGM44"/>
      <c r="SGN44"/>
      <c r="SGO44"/>
      <c r="SGP44"/>
      <c r="SGQ44"/>
      <c r="SGR44"/>
      <c r="SGS44"/>
      <c r="SGT44"/>
      <c r="SGU44"/>
      <c r="SGV44"/>
      <c r="SGW44"/>
      <c r="SGX44"/>
      <c r="SGY44"/>
      <c r="SGZ44"/>
      <c r="SHA44"/>
      <c r="SHB44"/>
      <c r="SHC44"/>
      <c r="SHD44"/>
      <c r="SHE44"/>
      <c r="SHF44"/>
      <c r="SHG44"/>
      <c r="SHH44"/>
      <c r="SHI44"/>
      <c r="SHJ44"/>
      <c r="SHK44"/>
      <c r="SHL44"/>
      <c r="SHM44"/>
      <c r="SHN44"/>
      <c r="SHO44"/>
      <c r="SHP44"/>
      <c r="SHQ44"/>
      <c r="SHR44"/>
      <c r="SHS44"/>
      <c r="SHT44"/>
      <c r="SHU44"/>
      <c r="SHV44"/>
      <c r="SHW44"/>
      <c r="SHX44"/>
      <c r="SHY44"/>
      <c r="SHZ44"/>
      <c r="SIA44"/>
      <c r="SIB44"/>
      <c r="SIC44"/>
      <c r="SID44"/>
      <c r="SIE44"/>
      <c r="SIF44"/>
      <c r="SIG44"/>
      <c r="SIH44"/>
      <c r="SII44"/>
      <c r="SIJ44"/>
      <c r="SIK44"/>
      <c r="SIL44"/>
      <c r="SIM44"/>
      <c r="SIN44"/>
      <c r="SIO44"/>
      <c r="SIP44"/>
      <c r="SIQ44"/>
      <c r="SIR44"/>
      <c r="SIS44"/>
      <c r="SIT44"/>
      <c r="SIU44"/>
      <c r="SIV44"/>
      <c r="SIW44"/>
      <c r="SIX44"/>
      <c r="SIY44"/>
      <c r="SIZ44"/>
      <c r="SJA44"/>
      <c r="SJB44"/>
      <c r="SJC44"/>
      <c r="SJD44"/>
      <c r="SJE44"/>
      <c r="SJF44"/>
      <c r="SJG44"/>
      <c r="SJH44"/>
      <c r="SJI44"/>
      <c r="SJJ44"/>
      <c r="SJK44"/>
      <c r="SJL44"/>
      <c r="SJM44"/>
      <c r="SJN44"/>
      <c r="SJO44"/>
      <c r="SJP44"/>
      <c r="SJQ44"/>
      <c r="SJR44"/>
      <c r="SJS44"/>
      <c r="SJT44"/>
      <c r="SJU44"/>
      <c r="SJV44"/>
      <c r="SJW44"/>
      <c r="SJX44"/>
      <c r="SJY44"/>
      <c r="SJZ44"/>
      <c r="SKA44"/>
      <c r="SKB44"/>
      <c r="SKC44"/>
      <c r="SKD44"/>
      <c r="SKE44"/>
      <c r="SKF44"/>
      <c r="SKG44"/>
      <c r="SKH44"/>
      <c r="SKI44"/>
      <c r="SKJ44"/>
      <c r="SKK44"/>
      <c r="SKL44"/>
      <c r="SKM44"/>
      <c r="SKN44"/>
      <c r="SKO44"/>
      <c r="SKP44"/>
      <c r="SKQ44"/>
      <c r="SKR44"/>
      <c r="SKS44"/>
      <c r="SKT44"/>
      <c r="SKU44"/>
      <c r="SKV44"/>
      <c r="SKW44"/>
      <c r="SKX44"/>
      <c r="SKY44"/>
      <c r="SKZ44"/>
      <c r="SLA44"/>
      <c r="SLB44"/>
      <c r="SLC44"/>
      <c r="SLD44"/>
      <c r="SLE44"/>
      <c r="SLF44"/>
      <c r="SLG44"/>
      <c r="SLH44"/>
      <c r="SLI44"/>
      <c r="SLJ44"/>
      <c r="SLK44"/>
      <c r="SLL44"/>
      <c r="SLM44"/>
      <c r="SLN44"/>
      <c r="SLO44"/>
      <c r="SLP44"/>
      <c r="SLQ44"/>
      <c r="SLR44"/>
      <c r="SLS44"/>
      <c r="SLT44"/>
      <c r="SLU44"/>
      <c r="SLV44"/>
      <c r="SLW44"/>
      <c r="SLX44"/>
      <c r="SLY44"/>
      <c r="SLZ44"/>
      <c r="SMA44"/>
      <c r="SMB44"/>
      <c r="SMC44"/>
      <c r="SMD44"/>
      <c r="SME44"/>
      <c r="SMF44"/>
      <c r="SMG44"/>
      <c r="SMH44"/>
      <c r="SMI44"/>
      <c r="SMJ44"/>
      <c r="SMK44"/>
      <c r="SML44"/>
      <c r="SMM44"/>
      <c r="SMN44"/>
      <c r="SMO44"/>
      <c r="SMP44"/>
      <c r="SMQ44"/>
      <c r="SMR44"/>
      <c r="SMS44"/>
      <c r="SMT44"/>
      <c r="SMU44"/>
      <c r="SMV44"/>
      <c r="SMW44"/>
      <c r="SMX44"/>
      <c r="SMY44"/>
      <c r="SMZ44"/>
      <c r="SNA44"/>
      <c r="SNB44"/>
      <c r="SNC44"/>
      <c r="SND44"/>
      <c r="SNE44"/>
      <c r="SNF44"/>
      <c r="SNG44"/>
      <c r="SNH44"/>
      <c r="SNI44"/>
      <c r="SNJ44"/>
      <c r="SNK44"/>
      <c r="SNL44"/>
      <c r="SNM44"/>
      <c r="SNN44"/>
      <c r="SNO44"/>
      <c r="SNP44"/>
      <c r="SNQ44"/>
      <c r="SNR44"/>
      <c r="SNS44"/>
      <c r="SNT44"/>
      <c r="SNU44"/>
      <c r="SNV44"/>
      <c r="SNW44"/>
      <c r="SNX44"/>
      <c r="SNY44"/>
      <c r="SNZ44"/>
      <c r="SOA44"/>
      <c r="SOB44"/>
      <c r="SOC44"/>
      <c r="SOD44"/>
      <c r="SOE44"/>
      <c r="SOF44"/>
      <c r="SOG44"/>
      <c r="SOH44"/>
      <c r="SOI44"/>
      <c r="SOJ44"/>
      <c r="SOK44"/>
      <c r="SOL44"/>
      <c r="SOM44"/>
      <c r="SON44"/>
      <c r="SOO44"/>
      <c r="SOP44"/>
      <c r="SOQ44"/>
      <c r="SOR44"/>
      <c r="SOS44"/>
      <c r="SOT44"/>
      <c r="SOU44"/>
      <c r="SOV44"/>
      <c r="SOW44"/>
      <c r="SOX44"/>
      <c r="SOY44"/>
      <c r="SOZ44"/>
      <c r="SPA44"/>
      <c r="SPB44"/>
      <c r="SPC44"/>
      <c r="SPD44"/>
      <c r="SPE44"/>
      <c r="SPF44"/>
      <c r="SPG44"/>
      <c r="SPH44"/>
      <c r="SPI44"/>
      <c r="SPJ44"/>
      <c r="SPK44"/>
      <c r="SPL44"/>
      <c r="SPM44"/>
      <c r="SPN44"/>
      <c r="SPO44"/>
      <c r="SPP44"/>
      <c r="SPQ44"/>
      <c r="SPR44"/>
      <c r="SPS44"/>
      <c r="SPT44"/>
      <c r="SPU44"/>
      <c r="SPV44"/>
      <c r="SPW44"/>
      <c r="SPX44"/>
      <c r="SPY44"/>
      <c r="SPZ44"/>
      <c r="SQA44"/>
      <c r="SQB44"/>
      <c r="SQC44"/>
      <c r="SQD44"/>
      <c r="SQE44"/>
      <c r="SQF44"/>
      <c r="SQG44"/>
      <c r="SQH44"/>
      <c r="SQI44"/>
      <c r="SQJ44"/>
      <c r="SQK44"/>
      <c r="SQL44"/>
      <c r="SQM44"/>
      <c r="SQN44"/>
      <c r="SQO44"/>
      <c r="SQP44"/>
      <c r="SQQ44"/>
      <c r="SQR44"/>
      <c r="SQS44"/>
      <c r="SQT44"/>
      <c r="SQU44"/>
      <c r="SQV44"/>
      <c r="SQW44"/>
      <c r="SQX44"/>
      <c r="SQY44"/>
      <c r="SQZ44"/>
      <c r="SRA44"/>
      <c r="SRB44"/>
      <c r="SRC44"/>
      <c r="SRD44"/>
      <c r="SRE44"/>
      <c r="SRF44"/>
      <c r="SRG44"/>
      <c r="SRH44"/>
      <c r="SRI44"/>
      <c r="SRJ44"/>
      <c r="SRK44"/>
      <c r="SRL44"/>
      <c r="SRM44"/>
      <c r="SRN44"/>
      <c r="SRO44"/>
      <c r="SRP44"/>
      <c r="SRQ44"/>
      <c r="SRR44"/>
      <c r="SRS44"/>
      <c r="SRT44"/>
      <c r="SRU44"/>
      <c r="SRV44"/>
      <c r="SRW44"/>
      <c r="SRX44"/>
      <c r="SRY44"/>
      <c r="SRZ44"/>
      <c r="SSA44"/>
      <c r="SSB44"/>
      <c r="SSC44"/>
      <c r="SSD44"/>
      <c r="SSE44"/>
      <c r="SSF44"/>
      <c r="SSG44"/>
      <c r="SSH44"/>
      <c r="SSI44"/>
      <c r="SSJ44"/>
      <c r="SSK44"/>
      <c r="SSL44"/>
      <c r="SSM44"/>
      <c r="SSN44"/>
      <c r="SSO44"/>
      <c r="SSP44"/>
      <c r="SSQ44"/>
      <c r="SSR44"/>
      <c r="SSS44"/>
      <c r="SST44"/>
      <c r="SSU44"/>
      <c r="SSV44"/>
      <c r="SSW44"/>
      <c r="SSX44"/>
      <c r="SSY44"/>
      <c r="SSZ44"/>
      <c r="STA44"/>
      <c r="STB44"/>
      <c r="STC44"/>
      <c r="STD44"/>
      <c r="STE44"/>
      <c r="STF44"/>
      <c r="STG44"/>
      <c r="STH44"/>
      <c r="STI44"/>
      <c r="STJ44"/>
      <c r="STK44"/>
      <c r="STL44"/>
      <c r="STM44"/>
      <c r="STN44"/>
      <c r="STO44"/>
      <c r="STP44"/>
      <c r="STQ44"/>
      <c r="STR44"/>
      <c r="STS44"/>
      <c r="STT44"/>
      <c r="STU44"/>
      <c r="STV44"/>
      <c r="STW44"/>
      <c r="STX44"/>
      <c r="STY44"/>
      <c r="STZ44"/>
      <c r="SUA44"/>
      <c r="SUB44"/>
      <c r="SUC44"/>
      <c r="SUD44"/>
      <c r="SUE44"/>
      <c r="SUF44"/>
      <c r="SUG44"/>
      <c r="SUH44"/>
      <c r="SUI44"/>
      <c r="SUJ44"/>
      <c r="SUK44"/>
      <c r="SUL44"/>
      <c r="SUM44"/>
      <c r="SUN44"/>
      <c r="SUO44"/>
      <c r="SUP44"/>
      <c r="SUQ44"/>
      <c r="SUR44"/>
      <c r="SUS44"/>
      <c r="SUT44"/>
      <c r="SUU44"/>
      <c r="SUV44"/>
      <c r="SUW44"/>
      <c r="SUX44"/>
      <c r="SUY44"/>
      <c r="SUZ44"/>
      <c r="SVA44"/>
      <c r="SVB44"/>
      <c r="SVC44"/>
      <c r="SVD44"/>
      <c r="SVE44"/>
      <c r="SVF44"/>
      <c r="SVG44"/>
      <c r="SVH44"/>
      <c r="SVI44"/>
      <c r="SVJ44"/>
      <c r="SVK44"/>
      <c r="SVL44"/>
      <c r="SVM44"/>
      <c r="SVN44"/>
      <c r="SVO44"/>
      <c r="SVP44"/>
      <c r="SVQ44"/>
      <c r="SVR44"/>
      <c r="SVS44"/>
      <c r="SVT44"/>
      <c r="SVU44"/>
      <c r="SVV44"/>
      <c r="SVW44"/>
      <c r="SVX44"/>
      <c r="SVY44"/>
      <c r="SVZ44"/>
      <c r="SWA44"/>
      <c r="SWB44"/>
      <c r="SWC44"/>
      <c r="SWD44"/>
      <c r="SWE44"/>
      <c r="SWF44"/>
      <c r="SWG44"/>
      <c r="SWH44"/>
      <c r="SWI44"/>
      <c r="SWJ44"/>
      <c r="SWK44"/>
      <c r="SWL44"/>
      <c r="SWM44"/>
      <c r="SWN44"/>
      <c r="SWO44"/>
      <c r="SWP44"/>
      <c r="SWQ44"/>
      <c r="SWR44"/>
      <c r="SWS44"/>
      <c r="SWT44"/>
      <c r="SWU44"/>
      <c r="SWV44"/>
      <c r="SWW44"/>
      <c r="SWX44"/>
      <c r="SWY44"/>
      <c r="SWZ44"/>
      <c r="SXA44"/>
      <c r="SXB44"/>
      <c r="SXC44"/>
      <c r="SXD44"/>
      <c r="SXE44"/>
      <c r="SXF44"/>
      <c r="SXG44"/>
      <c r="SXH44"/>
      <c r="SXI44"/>
      <c r="SXJ44"/>
      <c r="SXK44"/>
      <c r="SXL44"/>
      <c r="SXM44"/>
      <c r="SXN44"/>
      <c r="SXO44"/>
      <c r="SXP44"/>
      <c r="SXQ44"/>
      <c r="SXR44"/>
      <c r="SXS44"/>
      <c r="SXT44"/>
      <c r="SXU44"/>
      <c r="SXV44"/>
      <c r="SXW44"/>
      <c r="SXX44"/>
      <c r="SXY44"/>
      <c r="SXZ44"/>
      <c r="SYA44"/>
      <c r="SYB44"/>
      <c r="SYC44"/>
      <c r="SYD44"/>
      <c r="SYE44"/>
      <c r="SYF44"/>
      <c r="SYG44"/>
      <c r="SYH44"/>
      <c r="SYI44"/>
      <c r="SYJ44"/>
      <c r="SYK44"/>
      <c r="SYL44"/>
      <c r="SYM44"/>
      <c r="SYN44"/>
      <c r="SYO44"/>
      <c r="SYP44"/>
      <c r="SYQ44"/>
      <c r="SYR44"/>
      <c r="SYS44"/>
      <c r="SYT44"/>
      <c r="SYU44"/>
      <c r="SYV44"/>
      <c r="SYW44"/>
      <c r="SYX44"/>
      <c r="SYY44"/>
      <c r="SYZ44"/>
      <c r="SZA44"/>
      <c r="SZB44"/>
      <c r="SZC44"/>
      <c r="SZD44"/>
      <c r="SZE44"/>
      <c r="SZF44"/>
      <c r="SZG44"/>
      <c r="SZH44"/>
      <c r="SZI44"/>
      <c r="SZJ44"/>
      <c r="SZK44"/>
      <c r="SZL44"/>
      <c r="SZM44"/>
      <c r="SZN44"/>
      <c r="SZO44"/>
      <c r="SZP44"/>
      <c r="SZQ44"/>
      <c r="SZR44"/>
      <c r="SZS44"/>
      <c r="SZT44"/>
      <c r="SZU44"/>
      <c r="SZV44"/>
      <c r="SZW44"/>
      <c r="SZX44"/>
      <c r="SZY44"/>
      <c r="SZZ44"/>
      <c r="TAA44"/>
      <c r="TAB44"/>
      <c r="TAC44"/>
      <c r="TAD44"/>
      <c r="TAE44"/>
      <c r="TAF44"/>
      <c r="TAG44"/>
      <c r="TAH44"/>
      <c r="TAI44"/>
      <c r="TAJ44"/>
      <c r="TAK44"/>
      <c r="TAL44"/>
      <c r="TAM44"/>
      <c r="TAN44"/>
      <c r="TAO44"/>
      <c r="TAP44"/>
      <c r="TAQ44"/>
      <c r="TAR44"/>
      <c r="TAS44"/>
      <c r="TAT44"/>
      <c r="TAU44"/>
      <c r="TAV44"/>
      <c r="TAW44"/>
      <c r="TAX44"/>
      <c r="TAY44"/>
      <c r="TAZ44"/>
      <c r="TBA44"/>
      <c r="TBB44"/>
      <c r="TBC44"/>
      <c r="TBD44"/>
      <c r="TBE44"/>
      <c r="TBF44"/>
      <c r="TBG44"/>
      <c r="TBH44"/>
      <c r="TBI44"/>
      <c r="TBJ44"/>
      <c r="TBK44"/>
      <c r="TBL44"/>
      <c r="TBM44"/>
      <c r="TBN44"/>
      <c r="TBO44"/>
      <c r="TBP44"/>
      <c r="TBQ44"/>
      <c r="TBR44"/>
      <c r="TBS44"/>
      <c r="TBT44"/>
      <c r="TBU44"/>
      <c r="TBV44"/>
      <c r="TBW44"/>
      <c r="TBX44"/>
      <c r="TBY44"/>
      <c r="TBZ44"/>
      <c r="TCA44"/>
      <c r="TCB44"/>
      <c r="TCC44"/>
      <c r="TCD44"/>
      <c r="TCE44"/>
      <c r="TCF44"/>
      <c r="TCG44"/>
      <c r="TCH44"/>
      <c r="TCI44"/>
      <c r="TCJ44"/>
      <c r="TCK44"/>
      <c r="TCL44"/>
      <c r="TCM44"/>
      <c r="TCN44"/>
      <c r="TCO44"/>
      <c r="TCP44"/>
      <c r="TCQ44"/>
      <c r="TCR44"/>
      <c r="TCS44"/>
      <c r="TCT44"/>
      <c r="TCU44"/>
      <c r="TCV44"/>
      <c r="TCW44"/>
      <c r="TCX44"/>
      <c r="TCY44"/>
      <c r="TCZ44"/>
      <c r="TDA44"/>
      <c r="TDB44"/>
      <c r="TDC44"/>
      <c r="TDD44"/>
      <c r="TDE44"/>
      <c r="TDF44"/>
      <c r="TDG44"/>
      <c r="TDH44"/>
      <c r="TDI44"/>
      <c r="TDJ44"/>
      <c r="TDK44"/>
      <c r="TDL44"/>
      <c r="TDM44"/>
      <c r="TDN44"/>
      <c r="TDO44"/>
      <c r="TDP44"/>
      <c r="TDQ44"/>
      <c r="TDR44"/>
      <c r="TDS44"/>
      <c r="TDT44"/>
      <c r="TDU44"/>
      <c r="TDV44"/>
      <c r="TDW44"/>
      <c r="TDX44"/>
      <c r="TDY44"/>
      <c r="TDZ44"/>
      <c r="TEA44"/>
      <c r="TEB44"/>
      <c r="TEC44"/>
      <c r="TED44"/>
      <c r="TEE44"/>
      <c r="TEF44"/>
      <c r="TEG44"/>
      <c r="TEH44"/>
      <c r="TEI44"/>
      <c r="TEJ44"/>
      <c r="TEK44"/>
      <c r="TEL44"/>
      <c r="TEM44"/>
      <c r="TEN44"/>
      <c r="TEO44"/>
      <c r="TEP44"/>
      <c r="TEQ44"/>
      <c r="TER44"/>
      <c r="TES44"/>
      <c r="TET44"/>
      <c r="TEU44"/>
      <c r="TEV44"/>
      <c r="TEW44"/>
      <c r="TEX44"/>
      <c r="TEY44"/>
      <c r="TEZ44"/>
      <c r="TFA44"/>
      <c r="TFB44"/>
      <c r="TFC44"/>
      <c r="TFD44"/>
      <c r="TFE44"/>
      <c r="TFF44"/>
      <c r="TFG44"/>
      <c r="TFH44"/>
      <c r="TFI44"/>
      <c r="TFJ44"/>
      <c r="TFK44"/>
      <c r="TFL44"/>
      <c r="TFM44"/>
      <c r="TFN44"/>
      <c r="TFO44"/>
      <c r="TFP44"/>
      <c r="TFQ44"/>
      <c r="TFR44"/>
      <c r="TFS44"/>
      <c r="TFT44"/>
      <c r="TFU44"/>
      <c r="TFV44"/>
      <c r="TFW44"/>
      <c r="TFX44"/>
      <c r="TFY44"/>
      <c r="TFZ44"/>
      <c r="TGA44"/>
      <c r="TGB44"/>
      <c r="TGC44"/>
      <c r="TGD44"/>
      <c r="TGE44"/>
      <c r="TGF44"/>
      <c r="TGG44"/>
      <c r="TGH44"/>
      <c r="TGI44"/>
      <c r="TGJ44"/>
      <c r="TGK44"/>
      <c r="TGL44"/>
      <c r="TGM44"/>
      <c r="TGN44"/>
      <c r="TGO44"/>
      <c r="TGP44"/>
      <c r="TGQ44"/>
      <c r="TGR44"/>
      <c r="TGS44"/>
      <c r="TGT44"/>
      <c r="TGU44"/>
      <c r="TGV44"/>
      <c r="TGW44"/>
      <c r="TGX44"/>
      <c r="TGY44"/>
      <c r="TGZ44"/>
      <c r="THA44"/>
      <c r="THB44"/>
      <c r="THC44"/>
      <c r="THD44"/>
      <c r="THE44"/>
      <c r="THF44"/>
      <c r="THG44"/>
      <c r="THH44"/>
      <c r="THI44"/>
      <c r="THJ44"/>
      <c r="THK44"/>
      <c r="THL44"/>
      <c r="THM44"/>
      <c r="THN44"/>
      <c r="THO44"/>
      <c r="THP44"/>
      <c r="THQ44"/>
      <c r="THR44"/>
      <c r="THS44"/>
      <c r="THT44"/>
      <c r="THU44"/>
      <c r="THV44"/>
      <c r="THW44"/>
      <c r="THX44"/>
      <c r="THY44"/>
      <c r="THZ44"/>
      <c r="TIA44"/>
      <c r="TIB44"/>
      <c r="TIC44"/>
      <c r="TID44"/>
      <c r="TIE44"/>
      <c r="TIF44"/>
      <c r="TIG44"/>
      <c r="TIH44"/>
      <c r="TII44"/>
      <c r="TIJ44"/>
      <c r="TIK44"/>
      <c r="TIL44"/>
      <c r="TIM44"/>
      <c r="TIN44"/>
      <c r="TIO44"/>
      <c r="TIP44"/>
      <c r="TIQ44"/>
      <c r="TIR44"/>
      <c r="TIS44"/>
      <c r="TIT44"/>
      <c r="TIU44"/>
      <c r="TIV44"/>
      <c r="TIW44"/>
      <c r="TIX44"/>
      <c r="TIY44"/>
      <c r="TIZ44"/>
      <c r="TJA44"/>
      <c r="TJB44"/>
      <c r="TJC44"/>
      <c r="TJD44"/>
      <c r="TJE44"/>
      <c r="TJF44"/>
      <c r="TJG44"/>
      <c r="TJH44"/>
      <c r="TJI44"/>
      <c r="TJJ44"/>
      <c r="TJK44"/>
      <c r="TJL44"/>
      <c r="TJM44"/>
      <c r="TJN44"/>
      <c r="TJO44"/>
      <c r="TJP44"/>
      <c r="TJQ44"/>
      <c r="TJR44"/>
      <c r="TJS44"/>
      <c r="TJT44"/>
      <c r="TJU44"/>
      <c r="TJV44"/>
      <c r="TJW44"/>
      <c r="TJX44"/>
      <c r="TJY44"/>
      <c r="TJZ44"/>
      <c r="TKA44"/>
      <c r="TKB44"/>
      <c r="TKC44"/>
      <c r="TKD44"/>
      <c r="TKE44"/>
      <c r="TKF44"/>
      <c r="TKG44"/>
      <c r="TKH44"/>
      <c r="TKI44"/>
      <c r="TKJ44"/>
      <c r="TKK44"/>
      <c r="TKL44"/>
      <c r="TKM44"/>
      <c r="TKN44"/>
      <c r="TKO44"/>
      <c r="TKP44"/>
      <c r="TKQ44"/>
      <c r="TKR44"/>
      <c r="TKS44"/>
      <c r="TKT44"/>
      <c r="TKU44"/>
      <c r="TKV44"/>
      <c r="TKW44"/>
      <c r="TKX44"/>
      <c r="TKY44"/>
      <c r="TKZ44"/>
      <c r="TLA44"/>
      <c r="TLB44"/>
      <c r="TLC44"/>
      <c r="TLD44"/>
      <c r="TLE44"/>
      <c r="TLF44"/>
      <c r="TLG44"/>
      <c r="TLH44"/>
      <c r="TLI44"/>
      <c r="TLJ44"/>
      <c r="TLK44"/>
      <c r="TLL44"/>
      <c r="TLM44"/>
      <c r="TLN44"/>
      <c r="TLO44"/>
      <c r="TLP44"/>
      <c r="TLQ44"/>
      <c r="TLR44"/>
      <c r="TLS44"/>
      <c r="TLT44"/>
      <c r="TLU44"/>
      <c r="TLV44"/>
      <c r="TLW44"/>
      <c r="TLX44"/>
      <c r="TLY44"/>
      <c r="TLZ44"/>
      <c r="TMA44"/>
      <c r="TMB44"/>
      <c r="TMC44"/>
      <c r="TMD44"/>
      <c r="TME44"/>
      <c r="TMF44"/>
      <c r="TMG44"/>
      <c r="TMH44"/>
      <c r="TMI44"/>
      <c r="TMJ44"/>
      <c r="TMK44"/>
      <c r="TML44"/>
      <c r="TMM44"/>
      <c r="TMN44"/>
      <c r="TMO44"/>
      <c r="TMP44"/>
      <c r="TMQ44"/>
      <c r="TMR44"/>
      <c r="TMS44"/>
      <c r="TMT44"/>
      <c r="TMU44"/>
      <c r="TMV44"/>
      <c r="TMW44"/>
      <c r="TMX44"/>
      <c r="TMY44"/>
      <c r="TMZ44"/>
      <c r="TNA44"/>
      <c r="TNB44"/>
      <c r="TNC44"/>
      <c r="TND44"/>
      <c r="TNE44"/>
      <c r="TNF44"/>
      <c r="TNG44"/>
      <c r="TNH44"/>
      <c r="TNI44"/>
      <c r="TNJ44"/>
      <c r="TNK44"/>
      <c r="TNL44"/>
      <c r="TNM44"/>
      <c r="TNN44"/>
      <c r="TNO44"/>
      <c r="TNP44"/>
      <c r="TNQ44"/>
      <c r="TNR44"/>
      <c r="TNS44"/>
      <c r="TNT44"/>
      <c r="TNU44"/>
      <c r="TNV44"/>
      <c r="TNW44"/>
      <c r="TNX44"/>
      <c r="TNY44"/>
      <c r="TNZ44"/>
      <c r="TOA44"/>
      <c r="TOB44"/>
      <c r="TOC44"/>
      <c r="TOD44"/>
      <c r="TOE44"/>
      <c r="TOF44"/>
      <c r="TOG44"/>
      <c r="TOH44"/>
      <c r="TOI44"/>
      <c r="TOJ44"/>
      <c r="TOK44"/>
      <c r="TOL44"/>
      <c r="TOM44"/>
      <c r="TON44"/>
      <c r="TOO44"/>
      <c r="TOP44"/>
      <c r="TOQ44"/>
      <c r="TOR44"/>
      <c r="TOS44"/>
      <c r="TOT44"/>
      <c r="TOU44"/>
      <c r="TOV44"/>
      <c r="TOW44"/>
      <c r="TOX44"/>
      <c r="TOY44"/>
      <c r="TOZ44"/>
      <c r="TPA44"/>
      <c r="TPB44"/>
      <c r="TPC44"/>
      <c r="TPD44"/>
      <c r="TPE44"/>
      <c r="TPF44"/>
      <c r="TPG44"/>
      <c r="TPH44"/>
      <c r="TPI44"/>
      <c r="TPJ44"/>
      <c r="TPK44"/>
      <c r="TPL44"/>
      <c r="TPM44"/>
      <c r="TPN44"/>
      <c r="TPO44"/>
      <c r="TPP44"/>
      <c r="TPQ44"/>
      <c r="TPR44"/>
      <c r="TPS44"/>
      <c r="TPT44"/>
      <c r="TPU44"/>
      <c r="TPV44"/>
      <c r="TPW44"/>
      <c r="TPX44"/>
      <c r="TPY44"/>
      <c r="TPZ44"/>
      <c r="TQA44"/>
      <c r="TQB44"/>
      <c r="TQC44"/>
      <c r="TQD44"/>
      <c r="TQE44"/>
      <c r="TQF44"/>
      <c r="TQG44"/>
      <c r="TQH44"/>
      <c r="TQI44"/>
      <c r="TQJ44"/>
      <c r="TQK44"/>
      <c r="TQL44"/>
      <c r="TQM44"/>
      <c r="TQN44"/>
      <c r="TQO44"/>
      <c r="TQP44"/>
      <c r="TQQ44"/>
      <c r="TQR44"/>
      <c r="TQS44"/>
      <c r="TQT44"/>
      <c r="TQU44"/>
      <c r="TQV44"/>
      <c r="TQW44"/>
      <c r="TQX44"/>
      <c r="TQY44"/>
      <c r="TQZ44"/>
      <c r="TRA44"/>
      <c r="TRB44"/>
      <c r="TRC44"/>
      <c r="TRD44"/>
      <c r="TRE44"/>
      <c r="TRF44"/>
      <c r="TRG44"/>
      <c r="TRH44"/>
      <c r="TRI44"/>
      <c r="TRJ44"/>
      <c r="TRK44"/>
      <c r="TRL44"/>
      <c r="TRM44"/>
      <c r="TRN44"/>
      <c r="TRO44"/>
      <c r="TRP44"/>
      <c r="TRQ44"/>
      <c r="TRR44"/>
      <c r="TRS44"/>
      <c r="TRT44"/>
      <c r="TRU44"/>
      <c r="TRV44"/>
      <c r="TRW44"/>
      <c r="TRX44"/>
      <c r="TRY44"/>
      <c r="TRZ44"/>
      <c r="TSA44"/>
      <c r="TSB44"/>
      <c r="TSC44"/>
      <c r="TSD44"/>
      <c r="TSE44"/>
      <c r="TSF44"/>
      <c r="TSG44"/>
      <c r="TSH44"/>
      <c r="TSI44"/>
      <c r="TSJ44"/>
      <c r="TSK44"/>
      <c r="TSL44"/>
      <c r="TSM44"/>
      <c r="TSN44"/>
      <c r="TSO44"/>
      <c r="TSP44"/>
      <c r="TSQ44"/>
      <c r="TSR44"/>
      <c r="TSS44"/>
      <c r="TST44"/>
      <c r="TSU44"/>
      <c r="TSV44"/>
      <c r="TSW44"/>
      <c r="TSX44"/>
      <c r="TSY44"/>
      <c r="TSZ44"/>
      <c r="TTA44"/>
      <c r="TTB44"/>
      <c r="TTC44"/>
      <c r="TTD44"/>
      <c r="TTE44"/>
      <c r="TTF44"/>
      <c r="TTG44"/>
      <c r="TTH44"/>
      <c r="TTI44"/>
      <c r="TTJ44"/>
      <c r="TTK44"/>
      <c r="TTL44"/>
      <c r="TTM44"/>
      <c r="TTN44"/>
      <c r="TTO44"/>
      <c r="TTP44"/>
      <c r="TTQ44"/>
      <c r="TTR44"/>
      <c r="TTS44"/>
      <c r="TTT44"/>
      <c r="TTU44"/>
      <c r="TTV44"/>
      <c r="TTW44"/>
      <c r="TTX44"/>
      <c r="TTY44"/>
      <c r="TTZ44"/>
      <c r="TUA44"/>
      <c r="TUB44"/>
      <c r="TUC44"/>
      <c r="TUD44"/>
      <c r="TUE44"/>
      <c r="TUF44"/>
      <c r="TUG44"/>
      <c r="TUH44"/>
      <c r="TUI44"/>
      <c r="TUJ44"/>
      <c r="TUK44"/>
      <c r="TUL44"/>
      <c r="TUM44"/>
      <c r="TUN44"/>
      <c r="TUO44"/>
      <c r="TUP44"/>
      <c r="TUQ44"/>
      <c r="TUR44"/>
      <c r="TUS44"/>
      <c r="TUT44"/>
      <c r="TUU44"/>
      <c r="TUV44"/>
      <c r="TUW44"/>
      <c r="TUX44"/>
      <c r="TUY44"/>
      <c r="TUZ44"/>
      <c r="TVA44"/>
      <c r="TVB44"/>
      <c r="TVC44"/>
      <c r="TVD44"/>
      <c r="TVE44"/>
      <c r="TVF44"/>
      <c r="TVG44"/>
      <c r="TVH44"/>
      <c r="TVI44"/>
      <c r="TVJ44"/>
      <c r="TVK44"/>
      <c r="TVL44"/>
      <c r="TVM44"/>
      <c r="TVN44"/>
      <c r="TVO44"/>
      <c r="TVP44"/>
      <c r="TVQ44"/>
      <c r="TVR44"/>
      <c r="TVS44"/>
      <c r="TVT44"/>
      <c r="TVU44"/>
      <c r="TVV44"/>
      <c r="TVW44"/>
      <c r="TVX44"/>
      <c r="TVY44"/>
      <c r="TVZ44"/>
      <c r="TWA44"/>
      <c r="TWB44"/>
      <c r="TWC44"/>
      <c r="TWD44"/>
      <c r="TWE44"/>
      <c r="TWF44"/>
      <c r="TWG44"/>
      <c r="TWH44"/>
      <c r="TWI44"/>
      <c r="TWJ44"/>
      <c r="TWK44"/>
      <c r="TWL44"/>
      <c r="TWM44"/>
      <c r="TWN44"/>
      <c r="TWO44"/>
      <c r="TWP44"/>
      <c r="TWQ44"/>
      <c r="TWR44"/>
      <c r="TWS44"/>
      <c r="TWT44"/>
      <c r="TWU44"/>
      <c r="TWV44"/>
      <c r="TWW44"/>
      <c r="TWX44"/>
      <c r="TWY44"/>
      <c r="TWZ44"/>
      <c r="TXA44"/>
      <c r="TXB44"/>
      <c r="TXC44"/>
      <c r="TXD44"/>
      <c r="TXE44"/>
      <c r="TXF44"/>
      <c r="TXG44"/>
      <c r="TXH44"/>
      <c r="TXI44"/>
      <c r="TXJ44"/>
      <c r="TXK44"/>
      <c r="TXL44"/>
      <c r="TXM44"/>
      <c r="TXN44"/>
      <c r="TXO44"/>
      <c r="TXP44"/>
      <c r="TXQ44"/>
      <c r="TXR44"/>
      <c r="TXS44"/>
      <c r="TXT44"/>
      <c r="TXU44"/>
      <c r="TXV44"/>
      <c r="TXW44"/>
      <c r="TXX44"/>
      <c r="TXY44"/>
      <c r="TXZ44"/>
      <c r="TYA44"/>
      <c r="TYB44"/>
      <c r="TYC44"/>
      <c r="TYD44"/>
      <c r="TYE44"/>
      <c r="TYF44"/>
      <c r="TYG44"/>
      <c r="TYH44"/>
      <c r="TYI44"/>
      <c r="TYJ44"/>
      <c r="TYK44"/>
      <c r="TYL44"/>
      <c r="TYM44"/>
      <c r="TYN44"/>
      <c r="TYO44"/>
      <c r="TYP44"/>
      <c r="TYQ44"/>
      <c r="TYR44"/>
      <c r="TYS44"/>
      <c r="TYT44"/>
      <c r="TYU44"/>
      <c r="TYV44"/>
      <c r="TYW44"/>
      <c r="TYX44"/>
      <c r="TYY44"/>
      <c r="TYZ44"/>
      <c r="TZA44"/>
      <c r="TZB44"/>
      <c r="TZC44"/>
      <c r="TZD44"/>
      <c r="TZE44"/>
      <c r="TZF44"/>
      <c r="TZG44"/>
      <c r="TZH44"/>
      <c r="TZI44"/>
      <c r="TZJ44"/>
      <c r="TZK44"/>
      <c r="TZL44"/>
      <c r="TZM44"/>
      <c r="TZN44"/>
      <c r="TZO44"/>
      <c r="TZP44"/>
      <c r="TZQ44"/>
      <c r="TZR44"/>
      <c r="TZS44"/>
      <c r="TZT44"/>
      <c r="TZU44"/>
      <c r="TZV44"/>
      <c r="TZW44"/>
      <c r="TZX44"/>
      <c r="TZY44"/>
      <c r="TZZ44"/>
      <c r="UAA44"/>
      <c r="UAB44"/>
      <c r="UAC44"/>
      <c r="UAD44"/>
      <c r="UAE44"/>
      <c r="UAF44"/>
      <c r="UAG44"/>
      <c r="UAH44"/>
      <c r="UAI44"/>
      <c r="UAJ44"/>
      <c r="UAK44"/>
      <c r="UAL44"/>
      <c r="UAM44"/>
      <c r="UAN44"/>
      <c r="UAO44"/>
      <c r="UAP44"/>
      <c r="UAQ44"/>
      <c r="UAR44"/>
      <c r="UAS44"/>
      <c r="UAT44"/>
      <c r="UAU44"/>
      <c r="UAV44"/>
      <c r="UAW44"/>
      <c r="UAX44"/>
      <c r="UAY44"/>
      <c r="UAZ44"/>
      <c r="UBA44"/>
      <c r="UBB44"/>
      <c r="UBC44"/>
      <c r="UBD44"/>
      <c r="UBE44"/>
      <c r="UBF44"/>
      <c r="UBG44"/>
      <c r="UBH44"/>
      <c r="UBI44"/>
      <c r="UBJ44"/>
      <c r="UBK44"/>
      <c r="UBL44"/>
      <c r="UBM44"/>
      <c r="UBN44"/>
      <c r="UBO44"/>
      <c r="UBP44"/>
      <c r="UBQ44"/>
      <c r="UBR44"/>
      <c r="UBS44"/>
      <c r="UBT44"/>
      <c r="UBU44"/>
      <c r="UBV44"/>
      <c r="UBW44"/>
      <c r="UBX44"/>
      <c r="UBY44"/>
      <c r="UBZ44"/>
      <c r="UCA44"/>
      <c r="UCB44"/>
      <c r="UCC44"/>
      <c r="UCD44"/>
      <c r="UCE44"/>
      <c r="UCF44"/>
      <c r="UCG44"/>
      <c r="UCH44"/>
      <c r="UCI44"/>
      <c r="UCJ44"/>
      <c r="UCK44"/>
      <c r="UCL44"/>
      <c r="UCM44"/>
      <c r="UCN44"/>
      <c r="UCO44"/>
      <c r="UCP44"/>
      <c r="UCQ44"/>
      <c r="UCR44"/>
      <c r="UCS44"/>
      <c r="UCT44"/>
      <c r="UCU44"/>
      <c r="UCV44"/>
      <c r="UCW44"/>
      <c r="UCX44"/>
      <c r="UCY44"/>
      <c r="UCZ44"/>
      <c r="UDA44"/>
      <c r="UDB44"/>
      <c r="UDC44"/>
      <c r="UDD44"/>
      <c r="UDE44"/>
      <c r="UDF44"/>
      <c r="UDG44"/>
      <c r="UDH44"/>
      <c r="UDI44"/>
      <c r="UDJ44"/>
      <c r="UDK44"/>
      <c r="UDL44"/>
      <c r="UDM44"/>
      <c r="UDN44"/>
      <c r="UDO44"/>
      <c r="UDP44"/>
      <c r="UDQ44"/>
      <c r="UDR44"/>
      <c r="UDS44"/>
      <c r="UDT44"/>
      <c r="UDU44"/>
      <c r="UDV44"/>
      <c r="UDW44"/>
      <c r="UDX44"/>
      <c r="UDY44"/>
      <c r="UDZ44"/>
      <c r="UEA44"/>
      <c r="UEB44"/>
      <c r="UEC44"/>
      <c r="UED44"/>
      <c r="UEE44"/>
      <c r="UEF44"/>
      <c r="UEG44"/>
      <c r="UEH44"/>
      <c r="UEI44"/>
      <c r="UEJ44"/>
      <c r="UEK44"/>
      <c r="UEL44"/>
      <c r="UEM44"/>
      <c r="UEN44"/>
      <c r="UEO44"/>
      <c r="UEP44"/>
      <c r="UEQ44"/>
      <c r="UER44"/>
      <c r="UES44"/>
      <c r="UET44"/>
      <c r="UEU44"/>
      <c r="UEV44"/>
      <c r="UEW44"/>
      <c r="UEX44"/>
      <c r="UEY44"/>
      <c r="UEZ44"/>
      <c r="UFA44"/>
      <c r="UFB44"/>
      <c r="UFC44"/>
      <c r="UFD44"/>
      <c r="UFE44"/>
      <c r="UFF44"/>
      <c r="UFG44"/>
      <c r="UFH44"/>
      <c r="UFI44"/>
      <c r="UFJ44"/>
      <c r="UFK44"/>
      <c r="UFL44"/>
      <c r="UFM44"/>
      <c r="UFN44"/>
      <c r="UFO44"/>
      <c r="UFP44"/>
      <c r="UFQ44"/>
      <c r="UFR44"/>
      <c r="UFS44"/>
      <c r="UFT44"/>
      <c r="UFU44"/>
      <c r="UFV44"/>
      <c r="UFW44"/>
      <c r="UFX44"/>
      <c r="UFY44"/>
      <c r="UFZ44"/>
      <c r="UGA44"/>
      <c r="UGB44"/>
      <c r="UGC44"/>
      <c r="UGD44"/>
      <c r="UGE44"/>
      <c r="UGF44"/>
      <c r="UGG44"/>
      <c r="UGH44"/>
      <c r="UGI44"/>
      <c r="UGJ44"/>
      <c r="UGK44"/>
      <c r="UGL44"/>
      <c r="UGM44"/>
      <c r="UGN44"/>
      <c r="UGO44"/>
      <c r="UGP44"/>
      <c r="UGQ44"/>
      <c r="UGR44"/>
      <c r="UGS44"/>
      <c r="UGT44"/>
      <c r="UGU44"/>
      <c r="UGV44"/>
      <c r="UGW44"/>
      <c r="UGX44"/>
      <c r="UGY44"/>
      <c r="UGZ44"/>
      <c r="UHA44"/>
      <c r="UHB44"/>
      <c r="UHC44"/>
      <c r="UHD44"/>
      <c r="UHE44"/>
      <c r="UHF44"/>
      <c r="UHG44"/>
      <c r="UHH44"/>
      <c r="UHI44"/>
      <c r="UHJ44"/>
      <c r="UHK44"/>
      <c r="UHL44"/>
      <c r="UHM44"/>
      <c r="UHN44"/>
      <c r="UHO44"/>
      <c r="UHP44"/>
      <c r="UHQ44"/>
      <c r="UHR44"/>
      <c r="UHS44"/>
      <c r="UHT44"/>
      <c r="UHU44"/>
      <c r="UHV44"/>
      <c r="UHW44"/>
      <c r="UHX44"/>
      <c r="UHY44"/>
      <c r="UHZ44"/>
      <c r="UIA44"/>
      <c r="UIB44"/>
      <c r="UIC44"/>
      <c r="UID44"/>
      <c r="UIE44"/>
      <c r="UIF44"/>
      <c r="UIG44"/>
      <c r="UIH44"/>
      <c r="UII44"/>
      <c r="UIJ44"/>
      <c r="UIK44"/>
      <c r="UIL44"/>
      <c r="UIM44"/>
      <c r="UIN44"/>
      <c r="UIO44"/>
      <c r="UIP44"/>
      <c r="UIQ44"/>
      <c r="UIR44"/>
      <c r="UIS44"/>
      <c r="UIT44"/>
      <c r="UIU44"/>
      <c r="UIV44"/>
      <c r="UIW44"/>
      <c r="UIX44"/>
      <c r="UIY44"/>
      <c r="UIZ44"/>
      <c r="UJA44"/>
      <c r="UJB44"/>
      <c r="UJC44"/>
      <c r="UJD44"/>
      <c r="UJE44"/>
      <c r="UJF44"/>
      <c r="UJG44"/>
      <c r="UJH44"/>
      <c r="UJI44"/>
      <c r="UJJ44"/>
      <c r="UJK44"/>
      <c r="UJL44"/>
      <c r="UJM44"/>
      <c r="UJN44"/>
      <c r="UJO44"/>
      <c r="UJP44"/>
      <c r="UJQ44"/>
      <c r="UJR44"/>
      <c r="UJS44"/>
      <c r="UJT44"/>
      <c r="UJU44"/>
      <c r="UJV44"/>
      <c r="UJW44"/>
      <c r="UJX44"/>
      <c r="UJY44"/>
      <c r="UJZ44"/>
      <c r="UKA44"/>
      <c r="UKB44"/>
      <c r="UKC44"/>
      <c r="UKD44"/>
      <c r="UKE44"/>
      <c r="UKF44"/>
      <c r="UKG44"/>
      <c r="UKH44"/>
      <c r="UKI44"/>
      <c r="UKJ44"/>
      <c r="UKK44"/>
      <c r="UKL44"/>
      <c r="UKM44"/>
      <c r="UKN44"/>
      <c r="UKO44"/>
      <c r="UKP44"/>
      <c r="UKQ44"/>
      <c r="UKR44"/>
      <c r="UKS44"/>
      <c r="UKT44"/>
      <c r="UKU44"/>
      <c r="UKV44"/>
      <c r="UKW44"/>
      <c r="UKX44"/>
      <c r="UKY44"/>
      <c r="UKZ44"/>
      <c r="ULA44"/>
      <c r="ULB44"/>
      <c r="ULC44"/>
      <c r="ULD44"/>
      <c r="ULE44"/>
      <c r="ULF44"/>
      <c r="ULG44"/>
      <c r="ULH44"/>
      <c r="ULI44"/>
      <c r="ULJ44"/>
      <c r="ULK44"/>
      <c r="ULL44"/>
      <c r="ULM44"/>
      <c r="ULN44"/>
      <c r="ULO44"/>
      <c r="ULP44"/>
      <c r="ULQ44"/>
      <c r="ULR44"/>
      <c r="ULS44"/>
      <c r="ULT44"/>
      <c r="ULU44"/>
      <c r="ULV44"/>
      <c r="ULW44"/>
      <c r="ULX44"/>
      <c r="ULY44"/>
      <c r="ULZ44"/>
      <c r="UMA44"/>
      <c r="UMB44"/>
      <c r="UMC44"/>
      <c r="UMD44"/>
      <c r="UME44"/>
      <c r="UMF44"/>
      <c r="UMG44"/>
      <c r="UMH44"/>
      <c r="UMI44"/>
      <c r="UMJ44"/>
      <c r="UMK44"/>
      <c r="UML44"/>
      <c r="UMM44"/>
      <c r="UMN44"/>
      <c r="UMO44"/>
      <c r="UMP44"/>
      <c r="UMQ44"/>
      <c r="UMR44"/>
      <c r="UMS44"/>
      <c r="UMT44"/>
      <c r="UMU44"/>
      <c r="UMV44"/>
      <c r="UMW44"/>
      <c r="UMX44"/>
      <c r="UMY44"/>
      <c r="UMZ44"/>
      <c r="UNA44"/>
      <c r="UNB44"/>
      <c r="UNC44"/>
      <c r="UND44"/>
      <c r="UNE44"/>
      <c r="UNF44"/>
      <c r="UNG44"/>
      <c r="UNH44"/>
      <c r="UNI44"/>
      <c r="UNJ44"/>
      <c r="UNK44"/>
      <c r="UNL44"/>
      <c r="UNM44"/>
      <c r="UNN44"/>
      <c r="UNO44"/>
      <c r="UNP44"/>
      <c r="UNQ44"/>
      <c r="UNR44"/>
      <c r="UNS44"/>
      <c r="UNT44"/>
      <c r="UNU44"/>
      <c r="UNV44"/>
      <c r="UNW44"/>
      <c r="UNX44"/>
      <c r="UNY44"/>
      <c r="UNZ44"/>
      <c r="UOA44"/>
      <c r="UOB44"/>
      <c r="UOC44"/>
      <c r="UOD44"/>
      <c r="UOE44"/>
      <c r="UOF44"/>
      <c r="UOG44"/>
      <c r="UOH44"/>
      <c r="UOI44"/>
      <c r="UOJ44"/>
      <c r="UOK44"/>
      <c r="UOL44"/>
      <c r="UOM44"/>
      <c r="UON44"/>
      <c r="UOO44"/>
      <c r="UOP44"/>
      <c r="UOQ44"/>
      <c r="UOR44"/>
      <c r="UOS44"/>
      <c r="UOT44"/>
      <c r="UOU44"/>
      <c r="UOV44"/>
      <c r="UOW44"/>
      <c r="UOX44"/>
      <c r="UOY44"/>
      <c r="UOZ44"/>
      <c r="UPA44"/>
      <c r="UPB44"/>
      <c r="UPC44"/>
      <c r="UPD44"/>
      <c r="UPE44"/>
      <c r="UPF44"/>
      <c r="UPG44"/>
      <c r="UPH44"/>
      <c r="UPI44"/>
      <c r="UPJ44"/>
      <c r="UPK44"/>
      <c r="UPL44"/>
      <c r="UPM44"/>
      <c r="UPN44"/>
      <c r="UPO44"/>
      <c r="UPP44"/>
      <c r="UPQ44"/>
      <c r="UPR44"/>
      <c r="UPS44"/>
      <c r="UPT44"/>
      <c r="UPU44"/>
      <c r="UPV44"/>
      <c r="UPW44"/>
      <c r="UPX44"/>
      <c r="UPY44"/>
      <c r="UPZ44"/>
      <c r="UQA44"/>
      <c r="UQB44"/>
      <c r="UQC44"/>
      <c r="UQD44"/>
      <c r="UQE44"/>
      <c r="UQF44"/>
      <c r="UQG44"/>
      <c r="UQH44"/>
      <c r="UQI44"/>
      <c r="UQJ44"/>
      <c r="UQK44"/>
      <c r="UQL44"/>
      <c r="UQM44"/>
      <c r="UQN44"/>
      <c r="UQO44"/>
      <c r="UQP44"/>
      <c r="UQQ44"/>
      <c r="UQR44"/>
      <c r="UQS44"/>
      <c r="UQT44"/>
      <c r="UQU44"/>
      <c r="UQV44"/>
      <c r="UQW44"/>
      <c r="UQX44"/>
      <c r="UQY44"/>
      <c r="UQZ44"/>
      <c r="URA44"/>
      <c r="URB44"/>
      <c r="URC44"/>
      <c r="URD44"/>
      <c r="URE44"/>
      <c r="URF44"/>
      <c r="URG44"/>
      <c r="URH44"/>
      <c r="URI44"/>
      <c r="URJ44"/>
      <c r="URK44"/>
      <c r="URL44"/>
      <c r="URM44"/>
      <c r="URN44"/>
      <c r="URO44"/>
      <c r="URP44"/>
      <c r="URQ44"/>
      <c r="URR44"/>
      <c r="URS44"/>
      <c r="URT44"/>
      <c r="URU44"/>
      <c r="URV44"/>
      <c r="URW44"/>
      <c r="URX44"/>
      <c r="URY44"/>
      <c r="URZ44"/>
      <c r="USA44"/>
      <c r="USB44"/>
      <c r="USC44"/>
      <c r="USD44"/>
      <c r="USE44"/>
      <c r="USF44"/>
      <c r="USG44"/>
      <c r="USH44"/>
      <c r="USI44"/>
      <c r="USJ44"/>
      <c r="USK44"/>
      <c r="USL44"/>
      <c r="USM44"/>
      <c r="USN44"/>
      <c r="USO44"/>
      <c r="USP44"/>
      <c r="USQ44"/>
      <c r="USR44"/>
      <c r="USS44"/>
      <c r="UST44"/>
      <c r="USU44"/>
      <c r="USV44"/>
      <c r="USW44"/>
      <c r="USX44"/>
      <c r="USY44"/>
      <c r="USZ44"/>
      <c r="UTA44"/>
      <c r="UTB44"/>
      <c r="UTC44"/>
      <c r="UTD44"/>
      <c r="UTE44"/>
      <c r="UTF44"/>
      <c r="UTG44"/>
      <c r="UTH44"/>
      <c r="UTI44"/>
      <c r="UTJ44"/>
      <c r="UTK44"/>
      <c r="UTL44"/>
      <c r="UTM44"/>
      <c r="UTN44"/>
      <c r="UTO44"/>
      <c r="UTP44"/>
      <c r="UTQ44"/>
      <c r="UTR44"/>
      <c r="UTS44"/>
      <c r="UTT44"/>
      <c r="UTU44"/>
      <c r="UTV44"/>
      <c r="UTW44"/>
      <c r="UTX44"/>
      <c r="UTY44"/>
      <c r="UTZ44"/>
      <c r="UUA44"/>
      <c r="UUB44"/>
      <c r="UUC44"/>
      <c r="UUD44"/>
      <c r="UUE44"/>
      <c r="UUF44"/>
      <c r="UUG44"/>
      <c r="UUH44"/>
      <c r="UUI44"/>
      <c r="UUJ44"/>
      <c r="UUK44"/>
      <c r="UUL44"/>
      <c r="UUM44"/>
      <c r="UUN44"/>
      <c r="UUO44"/>
      <c r="UUP44"/>
      <c r="UUQ44"/>
      <c r="UUR44"/>
      <c r="UUS44"/>
      <c r="UUT44"/>
      <c r="UUU44"/>
      <c r="UUV44"/>
      <c r="UUW44"/>
      <c r="UUX44"/>
      <c r="UUY44"/>
      <c r="UUZ44"/>
      <c r="UVA44"/>
      <c r="UVB44"/>
      <c r="UVC44"/>
      <c r="UVD44"/>
      <c r="UVE44"/>
      <c r="UVF44"/>
      <c r="UVG44"/>
      <c r="UVH44"/>
      <c r="UVI44"/>
      <c r="UVJ44"/>
      <c r="UVK44"/>
      <c r="UVL44"/>
      <c r="UVM44"/>
      <c r="UVN44"/>
      <c r="UVO44"/>
      <c r="UVP44"/>
      <c r="UVQ44"/>
      <c r="UVR44"/>
      <c r="UVS44"/>
      <c r="UVT44"/>
      <c r="UVU44"/>
      <c r="UVV44"/>
      <c r="UVW44"/>
      <c r="UVX44"/>
      <c r="UVY44"/>
      <c r="UVZ44"/>
      <c r="UWA44"/>
      <c r="UWB44"/>
      <c r="UWC44"/>
      <c r="UWD44"/>
      <c r="UWE44"/>
      <c r="UWF44"/>
      <c r="UWG44"/>
      <c r="UWH44"/>
      <c r="UWI44"/>
      <c r="UWJ44"/>
      <c r="UWK44"/>
      <c r="UWL44"/>
      <c r="UWM44"/>
      <c r="UWN44"/>
      <c r="UWO44"/>
      <c r="UWP44"/>
      <c r="UWQ44"/>
      <c r="UWR44"/>
      <c r="UWS44"/>
      <c r="UWT44"/>
      <c r="UWU44"/>
      <c r="UWV44"/>
      <c r="UWW44"/>
      <c r="UWX44"/>
      <c r="UWY44"/>
      <c r="UWZ44"/>
      <c r="UXA44"/>
      <c r="UXB44"/>
      <c r="UXC44"/>
      <c r="UXD44"/>
      <c r="UXE44"/>
      <c r="UXF44"/>
      <c r="UXG44"/>
      <c r="UXH44"/>
      <c r="UXI44"/>
      <c r="UXJ44"/>
      <c r="UXK44"/>
      <c r="UXL44"/>
      <c r="UXM44"/>
      <c r="UXN44"/>
      <c r="UXO44"/>
      <c r="UXP44"/>
      <c r="UXQ44"/>
      <c r="UXR44"/>
      <c r="UXS44"/>
      <c r="UXT44"/>
      <c r="UXU44"/>
      <c r="UXV44"/>
      <c r="UXW44"/>
      <c r="UXX44"/>
      <c r="UXY44"/>
      <c r="UXZ44"/>
      <c r="UYA44"/>
      <c r="UYB44"/>
      <c r="UYC44"/>
      <c r="UYD44"/>
      <c r="UYE44"/>
      <c r="UYF44"/>
      <c r="UYG44"/>
      <c r="UYH44"/>
      <c r="UYI44"/>
      <c r="UYJ44"/>
      <c r="UYK44"/>
      <c r="UYL44"/>
      <c r="UYM44"/>
      <c r="UYN44"/>
      <c r="UYO44"/>
      <c r="UYP44"/>
      <c r="UYQ44"/>
      <c r="UYR44"/>
      <c r="UYS44"/>
      <c r="UYT44"/>
      <c r="UYU44"/>
      <c r="UYV44"/>
      <c r="UYW44"/>
      <c r="UYX44"/>
      <c r="UYY44"/>
      <c r="UYZ44"/>
      <c r="UZA44"/>
      <c r="UZB44"/>
      <c r="UZC44"/>
      <c r="UZD44"/>
      <c r="UZE44"/>
      <c r="UZF44"/>
      <c r="UZG44"/>
      <c r="UZH44"/>
      <c r="UZI44"/>
      <c r="UZJ44"/>
      <c r="UZK44"/>
      <c r="UZL44"/>
      <c r="UZM44"/>
      <c r="UZN44"/>
      <c r="UZO44"/>
      <c r="UZP44"/>
      <c r="UZQ44"/>
      <c r="UZR44"/>
      <c r="UZS44"/>
      <c r="UZT44"/>
      <c r="UZU44"/>
      <c r="UZV44"/>
      <c r="UZW44"/>
      <c r="UZX44"/>
      <c r="UZY44"/>
      <c r="UZZ44"/>
      <c r="VAA44"/>
      <c r="VAB44"/>
      <c r="VAC44"/>
      <c r="VAD44"/>
      <c r="VAE44"/>
      <c r="VAF44"/>
      <c r="VAG44"/>
      <c r="VAH44"/>
      <c r="VAI44"/>
      <c r="VAJ44"/>
      <c r="VAK44"/>
      <c r="VAL44"/>
      <c r="VAM44"/>
      <c r="VAN44"/>
      <c r="VAO44"/>
      <c r="VAP44"/>
      <c r="VAQ44"/>
      <c r="VAR44"/>
      <c r="VAS44"/>
      <c r="VAT44"/>
      <c r="VAU44"/>
      <c r="VAV44"/>
      <c r="VAW44"/>
      <c r="VAX44"/>
      <c r="VAY44"/>
      <c r="VAZ44"/>
      <c r="VBA44"/>
      <c r="VBB44"/>
      <c r="VBC44"/>
      <c r="VBD44"/>
      <c r="VBE44"/>
      <c r="VBF44"/>
      <c r="VBG44"/>
      <c r="VBH44"/>
      <c r="VBI44"/>
      <c r="VBJ44"/>
      <c r="VBK44"/>
      <c r="VBL44"/>
      <c r="VBM44"/>
      <c r="VBN44"/>
      <c r="VBO44"/>
      <c r="VBP44"/>
      <c r="VBQ44"/>
      <c r="VBR44"/>
      <c r="VBS44"/>
      <c r="VBT44"/>
      <c r="VBU44"/>
      <c r="VBV44"/>
      <c r="VBW44"/>
      <c r="VBX44"/>
      <c r="VBY44"/>
      <c r="VBZ44"/>
      <c r="VCA44"/>
      <c r="VCB44"/>
      <c r="VCC44"/>
      <c r="VCD44"/>
      <c r="VCE44"/>
      <c r="VCF44"/>
      <c r="VCG44"/>
      <c r="VCH44"/>
      <c r="VCI44"/>
      <c r="VCJ44"/>
      <c r="VCK44"/>
      <c r="VCL44"/>
      <c r="VCM44"/>
      <c r="VCN44"/>
      <c r="VCO44"/>
      <c r="VCP44"/>
      <c r="VCQ44"/>
      <c r="VCR44"/>
      <c r="VCS44"/>
      <c r="VCT44"/>
      <c r="VCU44"/>
      <c r="VCV44"/>
      <c r="VCW44"/>
      <c r="VCX44"/>
      <c r="VCY44"/>
      <c r="VCZ44"/>
      <c r="VDA44"/>
      <c r="VDB44"/>
      <c r="VDC44"/>
      <c r="VDD44"/>
      <c r="VDE44"/>
      <c r="VDF44"/>
      <c r="VDG44"/>
      <c r="VDH44"/>
      <c r="VDI44"/>
      <c r="VDJ44"/>
      <c r="VDK44"/>
      <c r="VDL44"/>
      <c r="VDM44"/>
      <c r="VDN44"/>
      <c r="VDO44"/>
      <c r="VDP44"/>
      <c r="VDQ44"/>
      <c r="VDR44"/>
      <c r="VDS44"/>
      <c r="VDT44"/>
      <c r="VDU44"/>
      <c r="VDV44"/>
      <c r="VDW44"/>
      <c r="VDX44"/>
      <c r="VDY44"/>
      <c r="VDZ44"/>
      <c r="VEA44"/>
      <c r="VEB44"/>
      <c r="VEC44"/>
      <c r="VED44"/>
      <c r="VEE44"/>
      <c r="VEF44"/>
      <c r="VEG44"/>
      <c r="VEH44"/>
      <c r="VEI44"/>
      <c r="VEJ44"/>
      <c r="VEK44"/>
      <c r="VEL44"/>
      <c r="VEM44"/>
      <c r="VEN44"/>
      <c r="VEO44"/>
      <c r="VEP44"/>
      <c r="VEQ44"/>
      <c r="VER44"/>
      <c r="VES44"/>
      <c r="VET44"/>
      <c r="VEU44"/>
      <c r="VEV44"/>
      <c r="VEW44"/>
      <c r="VEX44"/>
      <c r="VEY44"/>
      <c r="VEZ44"/>
      <c r="VFA44"/>
      <c r="VFB44"/>
      <c r="VFC44"/>
      <c r="VFD44"/>
      <c r="VFE44"/>
      <c r="VFF44"/>
      <c r="VFG44"/>
      <c r="VFH44"/>
      <c r="VFI44"/>
      <c r="VFJ44"/>
      <c r="VFK44"/>
      <c r="VFL44"/>
      <c r="VFM44"/>
      <c r="VFN44"/>
      <c r="VFO44"/>
      <c r="VFP44"/>
      <c r="VFQ44"/>
      <c r="VFR44"/>
      <c r="VFS44"/>
      <c r="VFT44"/>
      <c r="VFU44"/>
      <c r="VFV44"/>
      <c r="VFW44"/>
      <c r="VFX44"/>
      <c r="VFY44"/>
      <c r="VFZ44"/>
      <c r="VGA44"/>
      <c r="VGB44"/>
      <c r="VGC44"/>
      <c r="VGD44"/>
      <c r="VGE44"/>
      <c r="VGF44"/>
      <c r="VGG44"/>
      <c r="VGH44"/>
      <c r="VGI44"/>
      <c r="VGJ44"/>
      <c r="VGK44"/>
      <c r="VGL44"/>
      <c r="VGM44"/>
      <c r="VGN44"/>
      <c r="VGO44"/>
      <c r="VGP44"/>
      <c r="VGQ44"/>
      <c r="VGR44"/>
      <c r="VGS44"/>
      <c r="VGT44"/>
      <c r="VGU44"/>
      <c r="VGV44"/>
      <c r="VGW44"/>
      <c r="VGX44"/>
      <c r="VGY44"/>
      <c r="VGZ44"/>
      <c r="VHA44"/>
      <c r="VHB44"/>
      <c r="VHC44"/>
      <c r="VHD44"/>
      <c r="VHE44"/>
      <c r="VHF44"/>
      <c r="VHG44"/>
      <c r="VHH44"/>
      <c r="VHI44"/>
      <c r="VHJ44"/>
      <c r="VHK44"/>
      <c r="VHL44"/>
      <c r="VHM44"/>
      <c r="VHN44"/>
      <c r="VHO44"/>
      <c r="VHP44"/>
      <c r="VHQ44"/>
      <c r="VHR44"/>
      <c r="VHS44"/>
      <c r="VHT44"/>
      <c r="VHU44"/>
      <c r="VHV44"/>
      <c r="VHW44"/>
      <c r="VHX44"/>
      <c r="VHY44"/>
      <c r="VHZ44"/>
      <c r="VIA44"/>
      <c r="VIB44"/>
      <c r="VIC44"/>
      <c r="VID44"/>
      <c r="VIE44"/>
      <c r="VIF44"/>
      <c r="VIG44"/>
      <c r="VIH44"/>
      <c r="VII44"/>
      <c r="VIJ44"/>
      <c r="VIK44"/>
      <c r="VIL44"/>
      <c r="VIM44"/>
      <c r="VIN44"/>
      <c r="VIO44"/>
      <c r="VIP44"/>
      <c r="VIQ44"/>
      <c r="VIR44"/>
      <c r="VIS44"/>
      <c r="VIT44"/>
      <c r="VIU44"/>
      <c r="VIV44"/>
      <c r="VIW44"/>
      <c r="VIX44"/>
      <c r="VIY44"/>
      <c r="VIZ44"/>
      <c r="VJA44"/>
      <c r="VJB44"/>
      <c r="VJC44"/>
      <c r="VJD44"/>
      <c r="VJE44"/>
      <c r="VJF44"/>
      <c r="VJG44"/>
      <c r="VJH44"/>
      <c r="VJI44"/>
      <c r="VJJ44"/>
      <c r="VJK44"/>
      <c r="VJL44"/>
      <c r="VJM44"/>
      <c r="VJN44"/>
      <c r="VJO44"/>
      <c r="VJP44"/>
      <c r="VJQ44"/>
      <c r="VJR44"/>
      <c r="VJS44"/>
      <c r="VJT44"/>
      <c r="VJU44"/>
      <c r="VJV44"/>
      <c r="VJW44"/>
      <c r="VJX44"/>
      <c r="VJY44"/>
      <c r="VJZ44"/>
      <c r="VKA44"/>
      <c r="VKB44"/>
      <c r="VKC44"/>
      <c r="VKD44"/>
      <c r="VKE44"/>
      <c r="VKF44"/>
      <c r="VKG44"/>
      <c r="VKH44"/>
      <c r="VKI44"/>
      <c r="VKJ44"/>
      <c r="VKK44"/>
      <c r="VKL44"/>
      <c r="VKM44"/>
      <c r="VKN44"/>
      <c r="VKO44"/>
      <c r="VKP44"/>
      <c r="VKQ44"/>
      <c r="VKR44"/>
      <c r="VKS44"/>
      <c r="VKT44"/>
      <c r="VKU44"/>
      <c r="VKV44"/>
      <c r="VKW44"/>
      <c r="VKX44"/>
      <c r="VKY44"/>
      <c r="VKZ44"/>
      <c r="VLA44"/>
      <c r="VLB44"/>
      <c r="VLC44"/>
      <c r="VLD44"/>
      <c r="VLE44"/>
      <c r="VLF44"/>
      <c r="VLG44"/>
      <c r="VLH44"/>
      <c r="VLI44"/>
      <c r="VLJ44"/>
      <c r="VLK44"/>
      <c r="VLL44"/>
      <c r="VLM44"/>
      <c r="VLN44"/>
      <c r="VLO44"/>
      <c r="VLP44"/>
      <c r="VLQ44"/>
      <c r="VLR44"/>
      <c r="VLS44"/>
      <c r="VLT44"/>
      <c r="VLU44"/>
      <c r="VLV44"/>
      <c r="VLW44"/>
      <c r="VLX44"/>
      <c r="VLY44"/>
      <c r="VLZ44"/>
      <c r="VMA44"/>
      <c r="VMB44"/>
      <c r="VMC44"/>
      <c r="VMD44"/>
      <c r="VME44"/>
      <c r="VMF44"/>
      <c r="VMG44"/>
      <c r="VMH44"/>
      <c r="VMI44"/>
      <c r="VMJ44"/>
      <c r="VMK44"/>
      <c r="VML44"/>
      <c r="VMM44"/>
      <c r="VMN44"/>
      <c r="VMO44"/>
      <c r="VMP44"/>
      <c r="VMQ44"/>
      <c r="VMR44"/>
      <c r="VMS44"/>
      <c r="VMT44"/>
      <c r="VMU44"/>
      <c r="VMV44"/>
      <c r="VMW44"/>
      <c r="VMX44"/>
      <c r="VMY44"/>
      <c r="VMZ44"/>
      <c r="VNA44"/>
      <c r="VNB44"/>
      <c r="VNC44"/>
      <c r="VND44"/>
      <c r="VNE44"/>
      <c r="VNF44"/>
      <c r="VNG44"/>
      <c r="VNH44"/>
      <c r="VNI44"/>
      <c r="VNJ44"/>
      <c r="VNK44"/>
      <c r="VNL44"/>
      <c r="VNM44"/>
      <c r="VNN44"/>
      <c r="VNO44"/>
      <c r="VNP44"/>
      <c r="VNQ44"/>
      <c r="VNR44"/>
      <c r="VNS44"/>
      <c r="VNT44"/>
      <c r="VNU44"/>
      <c r="VNV44"/>
      <c r="VNW44"/>
      <c r="VNX44"/>
      <c r="VNY44"/>
      <c r="VNZ44"/>
      <c r="VOA44"/>
      <c r="VOB44"/>
      <c r="VOC44"/>
      <c r="VOD44"/>
      <c r="VOE44"/>
      <c r="VOF44"/>
      <c r="VOG44"/>
      <c r="VOH44"/>
      <c r="VOI44"/>
      <c r="VOJ44"/>
      <c r="VOK44"/>
      <c r="VOL44"/>
      <c r="VOM44"/>
      <c r="VON44"/>
      <c r="VOO44"/>
      <c r="VOP44"/>
      <c r="VOQ44"/>
      <c r="VOR44"/>
      <c r="VOS44"/>
      <c r="VOT44"/>
      <c r="VOU44"/>
      <c r="VOV44"/>
      <c r="VOW44"/>
      <c r="VOX44"/>
      <c r="VOY44"/>
      <c r="VOZ44"/>
      <c r="VPA44"/>
      <c r="VPB44"/>
      <c r="VPC44"/>
      <c r="VPD44"/>
      <c r="VPE44"/>
      <c r="VPF44"/>
      <c r="VPG44"/>
      <c r="VPH44"/>
      <c r="VPI44"/>
      <c r="VPJ44"/>
      <c r="VPK44"/>
      <c r="VPL44"/>
      <c r="VPM44"/>
      <c r="VPN44"/>
      <c r="VPO44"/>
      <c r="VPP44"/>
      <c r="VPQ44"/>
      <c r="VPR44"/>
      <c r="VPS44"/>
      <c r="VPT44"/>
      <c r="VPU44"/>
      <c r="VPV44"/>
      <c r="VPW44"/>
      <c r="VPX44"/>
      <c r="VPY44"/>
      <c r="VPZ44"/>
      <c r="VQA44"/>
      <c r="VQB44"/>
      <c r="VQC44"/>
      <c r="VQD44"/>
      <c r="VQE44"/>
      <c r="VQF44"/>
      <c r="VQG44"/>
      <c r="VQH44"/>
      <c r="VQI44"/>
      <c r="VQJ44"/>
      <c r="VQK44"/>
      <c r="VQL44"/>
      <c r="VQM44"/>
      <c r="VQN44"/>
      <c r="VQO44"/>
      <c r="VQP44"/>
      <c r="VQQ44"/>
      <c r="VQR44"/>
      <c r="VQS44"/>
      <c r="VQT44"/>
      <c r="VQU44"/>
      <c r="VQV44"/>
      <c r="VQW44"/>
      <c r="VQX44"/>
      <c r="VQY44"/>
      <c r="VQZ44"/>
      <c r="VRA44"/>
      <c r="VRB44"/>
      <c r="VRC44"/>
      <c r="VRD44"/>
      <c r="VRE44"/>
      <c r="VRF44"/>
      <c r="VRG44"/>
      <c r="VRH44"/>
      <c r="VRI44"/>
      <c r="VRJ44"/>
      <c r="VRK44"/>
      <c r="VRL44"/>
      <c r="VRM44"/>
      <c r="VRN44"/>
      <c r="VRO44"/>
      <c r="VRP44"/>
      <c r="VRQ44"/>
      <c r="VRR44"/>
      <c r="VRS44"/>
      <c r="VRT44"/>
      <c r="VRU44"/>
      <c r="VRV44"/>
      <c r="VRW44"/>
      <c r="VRX44"/>
      <c r="VRY44"/>
      <c r="VRZ44"/>
      <c r="VSA44"/>
      <c r="VSB44"/>
      <c r="VSC44"/>
      <c r="VSD44"/>
      <c r="VSE44"/>
      <c r="VSF44"/>
      <c r="VSG44"/>
      <c r="VSH44"/>
      <c r="VSI44"/>
      <c r="VSJ44"/>
      <c r="VSK44"/>
      <c r="VSL44"/>
      <c r="VSM44"/>
      <c r="VSN44"/>
      <c r="VSO44"/>
      <c r="VSP44"/>
      <c r="VSQ44"/>
      <c r="VSR44"/>
      <c r="VSS44"/>
      <c r="VST44"/>
      <c r="VSU44"/>
      <c r="VSV44"/>
      <c r="VSW44"/>
      <c r="VSX44"/>
      <c r="VSY44"/>
      <c r="VSZ44"/>
      <c r="VTA44"/>
      <c r="VTB44"/>
      <c r="VTC44"/>
      <c r="VTD44"/>
      <c r="VTE44"/>
      <c r="VTF44"/>
      <c r="VTG44"/>
      <c r="VTH44"/>
      <c r="VTI44"/>
      <c r="VTJ44"/>
      <c r="VTK44"/>
      <c r="VTL44"/>
      <c r="VTM44"/>
      <c r="VTN44"/>
      <c r="VTO44"/>
      <c r="VTP44"/>
      <c r="VTQ44"/>
      <c r="VTR44"/>
      <c r="VTS44"/>
      <c r="VTT44"/>
      <c r="VTU44"/>
      <c r="VTV44"/>
      <c r="VTW44"/>
      <c r="VTX44"/>
      <c r="VTY44"/>
      <c r="VTZ44"/>
      <c r="VUA44"/>
      <c r="VUB44"/>
      <c r="VUC44"/>
      <c r="VUD44"/>
      <c r="VUE44"/>
      <c r="VUF44"/>
      <c r="VUG44"/>
      <c r="VUH44"/>
      <c r="VUI44"/>
      <c r="VUJ44"/>
      <c r="VUK44"/>
      <c r="VUL44"/>
      <c r="VUM44"/>
      <c r="VUN44"/>
      <c r="VUO44"/>
      <c r="VUP44"/>
      <c r="VUQ44"/>
      <c r="VUR44"/>
      <c r="VUS44"/>
      <c r="VUT44"/>
      <c r="VUU44"/>
      <c r="VUV44"/>
      <c r="VUW44"/>
      <c r="VUX44"/>
      <c r="VUY44"/>
      <c r="VUZ44"/>
      <c r="VVA44"/>
      <c r="VVB44"/>
      <c r="VVC44"/>
      <c r="VVD44"/>
      <c r="VVE44"/>
      <c r="VVF44"/>
      <c r="VVG44"/>
      <c r="VVH44"/>
      <c r="VVI44"/>
      <c r="VVJ44"/>
      <c r="VVK44"/>
      <c r="VVL44"/>
      <c r="VVM44"/>
      <c r="VVN44"/>
      <c r="VVO44"/>
      <c r="VVP44"/>
      <c r="VVQ44"/>
      <c r="VVR44"/>
      <c r="VVS44"/>
      <c r="VVT44"/>
      <c r="VVU44"/>
      <c r="VVV44"/>
      <c r="VVW44"/>
      <c r="VVX44"/>
      <c r="VVY44"/>
      <c r="VVZ44"/>
      <c r="VWA44"/>
      <c r="VWB44"/>
      <c r="VWC44"/>
      <c r="VWD44"/>
      <c r="VWE44"/>
      <c r="VWF44"/>
      <c r="VWG44"/>
      <c r="VWH44"/>
      <c r="VWI44"/>
      <c r="VWJ44"/>
      <c r="VWK44"/>
      <c r="VWL44"/>
      <c r="VWM44"/>
      <c r="VWN44"/>
      <c r="VWO44"/>
      <c r="VWP44"/>
      <c r="VWQ44"/>
      <c r="VWR44"/>
      <c r="VWS44"/>
      <c r="VWT44"/>
      <c r="VWU44"/>
      <c r="VWV44"/>
      <c r="VWW44"/>
      <c r="VWX44"/>
      <c r="VWY44"/>
      <c r="VWZ44"/>
      <c r="VXA44"/>
      <c r="VXB44"/>
      <c r="VXC44"/>
      <c r="VXD44"/>
      <c r="VXE44"/>
      <c r="VXF44"/>
      <c r="VXG44"/>
      <c r="VXH44"/>
      <c r="VXI44"/>
      <c r="VXJ44"/>
      <c r="VXK44"/>
      <c r="VXL44"/>
      <c r="VXM44"/>
      <c r="VXN44"/>
      <c r="VXO44"/>
      <c r="VXP44"/>
      <c r="VXQ44"/>
      <c r="VXR44"/>
      <c r="VXS44"/>
      <c r="VXT44"/>
      <c r="VXU44"/>
      <c r="VXV44"/>
      <c r="VXW44"/>
      <c r="VXX44"/>
      <c r="VXY44"/>
      <c r="VXZ44"/>
      <c r="VYA44"/>
      <c r="VYB44"/>
      <c r="VYC44"/>
      <c r="VYD44"/>
      <c r="VYE44"/>
      <c r="VYF44"/>
      <c r="VYG44"/>
      <c r="VYH44"/>
      <c r="VYI44"/>
      <c r="VYJ44"/>
      <c r="VYK44"/>
      <c r="VYL44"/>
      <c r="VYM44"/>
      <c r="VYN44"/>
      <c r="VYO44"/>
      <c r="VYP44"/>
      <c r="VYQ44"/>
      <c r="VYR44"/>
      <c r="VYS44"/>
      <c r="VYT44"/>
      <c r="VYU44"/>
      <c r="VYV44"/>
      <c r="VYW44"/>
      <c r="VYX44"/>
      <c r="VYY44"/>
      <c r="VYZ44"/>
      <c r="VZA44"/>
      <c r="VZB44"/>
      <c r="VZC44"/>
      <c r="VZD44"/>
      <c r="VZE44"/>
      <c r="VZF44"/>
      <c r="VZG44"/>
      <c r="VZH44"/>
      <c r="VZI44"/>
      <c r="VZJ44"/>
      <c r="VZK44"/>
      <c r="VZL44"/>
      <c r="VZM44"/>
      <c r="VZN44"/>
      <c r="VZO44"/>
      <c r="VZP44"/>
      <c r="VZQ44"/>
      <c r="VZR44"/>
      <c r="VZS44"/>
      <c r="VZT44"/>
      <c r="VZU44"/>
      <c r="VZV44"/>
      <c r="VZW44"/>
      <c r="VZX44"/>
      <c r="VZY44"/>
      <c r="VZZ44"/>
      <c r="WAA44"/>
      <c r="WAB44"/>
      <c r="WAC44"/>
      <c r="WAD44"/>
      <c r="WAE44"/>
      <c r="WAF44"/>
      <c r="WAG44"/>
      <c r="WAH44"/>
      <c r="WAI44"/>
      <c r="WAJ44"/>
      <c r="WAK44"/>
      <c r="WAL44"/>
      <c r="WAM44"/>
      <c r="WAN44"/>
      <c r="WAO44"/>
      <c r="WAP44"/>
      <c r="WAQ44"/>
      <c r="WAR44"/>
      <c r="WAS44"/>
      <c r="WAT44"/>
      <c r="WAU44"/>
      <c r="WAV44"/>
      <c r="WAW44"/>
      <c r="WAX44"/>
      <c r="WAY44"/>
      <c r="WAZ44"/>
      <c r="WBA44"/>
      <c r="WBB44"/>
      <c r="WBC44"/>
      <c r="WBD44"/>
      <c r="WBE44"/>
      <c r="WBF44"/>
      <c r="WBG44"/>
      <c r="WBH44"/>
      <c r="WBI44"/>
      <c r="WBJ44"/>
      <c r="WBK44"/>
      <c r="WBL44"/>
      <c r="WBM44"/>
      <c r="WBN44"/>
      <c r="WBO44"/>
      <c r="WBP44"/>
      <c r="WBQ44"/>
      <c r="WBR44"/>
      <c r="WBS44"/>
      <c r="WBT44"/>
      <c r="WBU44"/>
      <c r="WBV44"/>
      <c r="WBW44"/>
      <c r="WBX44"/>
      <c r="WBY44"/>
      <c r="WBZ44"/>
      <c r="WCA44"/>
      <c r="WCB44"/>
      <c r="WCC44"/>
      <c r="WCD44"/>
      <c r="WCE44"/>
      <c r="WCF44"/>
      <c r="WCG44"/>
      <c r="WCH44"/>
      <c r="WCI44"/>
      <c r="WCJ44"/>
      <c r="WCK44"/>
      <c r="WCL44"/>
      <c r="WCM44"/>
      <c r="WCN44"/>
      <c r="WCO44"/>
      <c r="WCP44"/>
      <c r="WCQ44"/>
      <c r="WCR44"/>
      <c r="WCS44"/>
      <c r="WCT44"/>
      <c r="WCU44"/>
      <c r="WCV44"/>
      <c r="WCW44"/>
      <c r="WCX44"/>
      <c r="WCY44"/>
      <c r="WCZ44"/>
      <c r="WDA44"/>
      <c r="WDB44"/>
      <c r="WDC44"/>
      <c r="WDD44"/>
      <c r="WDE44"/>
      <c r="WDF44"/>
      <c r="WDG44"/>
      <c r="WDH44"/>
      <c r="WDI44"/>
      <c r="WDJ44"/>
      <c r="WDK44"/>
      <c r="WDL44"/>
      <c r="WDM44"/>
      <c r="WDN44"/>
      <c r="WDO44"/>
      <c r="WDP44"/>
      <c r="WDQ44"/>
      <c r="WDR44"/>
      <c r="WDS44"/>
      <c r="WDT44"/>
      <c r="WDU44"/>
      <c r="WDV44"/>
      <c r="WDW44"/>
      <c r="WDX44"/>
      <c r="WDY44"/>
      <c r="WDZ44"/>
      <c r="WEA44"/>
      <c r="WEB44"/>
      <c r="WEC44"/>
      <c r="WED44"/>
      <c r="WEE44"/>
      <c r="WEF44"/>
      <c r="WEG44"/>
      <c r="WEH44"/>
      <c r="WEI44"/>
      <c r="WEJ44"/>
      <c r="WEK44"/>
      <c r="WEL44"/>
      <c r="WEM44"/>
      <c r="WEN44"/>
      <c r="WEO44"/>
      <c r="WEP44"/>
      <c r="WEQ44"/>
      <c r="WER44"/>
      <c r="WES44"/>
      <c r="WET44"/>
      <c r="WEU44"/>
      <c r="WEV44"/>
      <c r="WEW44"/>
      <c r="WEX44"/>
      <c r="WEY44"/>
      <c r="WEZ44"/>
      <c r="WFA44"/>
      <c r="WFB44"/>
      <c r="WFC44"/>
      <c r="WFD44"/>
      <c r="WFE44"/>
      <c r="WFF44"/>
      <c r="WFG44"/>
      <c r="WFH44"/>
      <c r="WFI44"/>
      <c r="WFJ44"/>
      <c r="WFK44"/>
      <c r="WFL44"/>
      <c r="WFM44"/>
      <c r="WFN44"/>
      <c r="WFO44"/>
      <c r="WFP44"/>
      <c r="WFQ44"/>
      <c r="WFR44"/>
      <c r="WFS44"/>
      <c r="WFT44"/>
      <c r="WFU44"/>
      <c r="WFV44"/>
      <c r="WFW44"/>
      <c r="WFX44"/>
      <c r="WFY44"/>
      <c r="WFZ44"/>
      <c r="WGA44"/>
      <c r="WGB44"/>
      <c r="WGC44"/>
      <c r="WGD44"/>
      <c r="WGE44"/>
      <c r="WGF44"/>
      <c r="WGG44"/>
      <c r="WGH44"/>
      <c r="WGI44"/>
      <c r="WGJ44"/>
      <c r="WGK44"/>
      <c r="WGL44"/>
      <c r="WGM44"/>
      <c r="WGN44"/>
      <c r="WGO44"/>
      <c r="WGP44"/>
      <c r="WGQ44"/>
      <c r="WGR44"/>
      <c r="WGS44"/>
      <c r="WGT44"/>
      <c r="WGU44"/>
      <c r="WGV44"/>
      <c r="WGW44"/>
      <c r="WGX44"/>
      <c r="WGY44"/>
      <c r="WGZ44"/>
      <c r="WHA44"/>
      <c r="WHB44"/>
      <c r="WHC44"/>
      <c r="WHD44"/>
      <c r="WHE44"/>
      <c r="WHF44"/>
      <c r="WHG44"/>
      <c r="WHH44"/>
      <c r="WHI44"/>
      <c r="WHJ44"/>
      <c r="WHK44"/>
      <c r="WHL44"/>
      <c r="WHM44"/>
      <c r="WHN44"/>
      <c r="WHO44"/>
      <c r="WHP44"/>
      <c r="WHQ44"/>
      <c r="WHR44"/>
      <c r="WHS44"/>
      <c r="WHT44"/>
      <c r="WHU44"/>
      <c r="WHV44"/>
      <c r="WHW44"/>
      <c r="WHX44"/>
      <c r="WHY44"/>
      <c r="WHZ44"/>
      <c r="WIA44"/>
      <c r="WIB44"/>
      <c r="WIC44"/>
      <c r="WID44"/>
      <c r="WIE44"/>
      <c r="WIF44"/>
      <c r="WIG44"/>
      <c r="WIH44"/>
      <c r="WII44"/>
      <c r="WIJ44"/>
      <c r="WIK44"/>
      <c r="WIL44"/>
      <c r="WIM44"/>
      <c r="WIN44"/>
      <c r="WIO44"/>
      <c r="WIP44"/>
      <c r="WIQ44"/>
      <c r="WIR44"/>
      <c r="WIS44"/>
      <c r="WIT44"/>
      <c r="WIU44"/>
      <c r="WIV44"/>
      <c r="WIW44"/>
      <c r="WIX44"/>
      <c r="WIY44"/>
      <c r="WIZ44"/>
      <c r="WJA44"/>
      <c r="WJB44"/>
      <c r="WJC44"/>
      <c r="WJD44"/>
      <c r="WJE44"/>
      <c r="WJF44"/>
      <c r="WJG44"/>
      <c r="WJH44"/>
      <c r="WJI44"/>
      <c r="WJJ44"/>
      <c r="WJK44"/>
      <c r="WJL44"/>
      <c r="WJM44"/>
      <c r="WJN44"/>
      <c r="WJO44"/>
      <c r="WJP44"/>
      <c r="WJQ44"/>
      <c r="WJR44"/>
      <c r="WJS44"/>
      <c r="WJT44"/>
      <c r="WJU44"/>
      <c r="WJV44"/>
      <c r="WJW44"/>
      <c r="WJX44"/>
      <c r="WJY44"/>
      <c r="WJZ44"/>
      <c r="WKA44"/>
      <c r="WKB44"/>
      <c r="WKC44"/>
      <c r="WKD44"/>
      <c r="WKE44"/>
      <c r="WKF44"/>
      <c r="WKG44"/>
      <c r="WKH44"/>
      <c r="WKI44"/>
      <c r="WKJ44"/>
      <c r="WKK44"/>
      <c r="WKL44"/>
      <c r="WKM44"/>
      <c r="WKN44"/>
      <c r="WKO44"/>
      <c r="WKP44"/>
      <c r="WKQ44"/>
      <c r="WKR44"/>
      <c r="WKS44"/>
      <c r="WKT44"/>
      <c r="WKU44"/>
      <c r="WKV44"/>
      <c r="WKW44"/>
      <c r="WKX44"/>
      <c r="WKY44"/>
      <c r="WKZ44"/>
      <c r="WLA44"/>
      <c r="WLB44"/>
      <c r="WLC44"/>
      <c r="WLD44"/>
      <c r="WLE44"/>
      <c r="WLF44"/>
      <c r="WLG44"/>
      <c r="WLH44"/>
      <c r="WLI44"/>
      <c r="WLJ44"/>
      <c r="WLK44"/>
      <c r="WLL44"/>
      <c r="WLM44"/>
      <c r="WLN44"/>
      <c r="WLO44"/>
      <c r="WLP44"/>
      <c r="WLQ44"/>
      <c r="WLR44"/>
      <c r="WLS44"/>
      <c r="WLT44"/>
      <c r="WLU44"/>
      <c r="WLV44"/>
      <c r="WLW44"/>
      <c r="WLX44"/>
      <c r="WLY44"/>
      <c r="WLZ44"/>
      <c r="WMA44"/>
      <c r="WMB44"/>
      <c r="WMC44"/>
      <c r="WMD44"/>
      <c r="WME44"/>
      <c r="WMF44"/>
      <c r="WMG44"/>
      <c r="WMH44"/>
      <c r="WMI44"/>
      <c r="WMJ44"/>
      <c r="WMK44"/>
      <c r="WML44"/>
      <c r="WMM44"/>
      <c r="WMN44"/>
      <c r="WMO44"/>
      <c r="WMP44"/>
      <c r="WMQ44"/>
      <c r="WMR44"/>
      <c r="WMS44"/>
      <c r="WMT44"/>
      <c r="WMU44"/>
      <c r="WMV44"/>
      <c r="WMW44"/>
      <c r="WMX44"/>
      <c r="WMY44"/>
      <c r="WMZ44"/>
      <c r="WNA44"/>
      <c r="WNB44"/>
      <c r="WNC44"/>
      <c r="WND44"/>
      <c r="WNE44"/>
      <c r="WNF44"/>
      <c r="WNG44"/>
      <c r="WNH44"/>
      <c r="WNI44"/>
      <c r="WNJ44"/>
      <c r="WNK44"/>
      <c r="WNL44"/>
      <c r="WNM44"/>
      <c r="WNN44"/>
      <c r="WNO44"/>
      <c r="WNP44"/>
      <c r="WNQ44"/>
      <c r="WNR44"/>
      <c r="WNS44"/>
      <c r="WNT44"/>
      <c r="WNU44"/>
      <c r="WNV44"/>
      <c r="WNW44"/>
      <c r="WNX44"/>
      <c r="WNY44"/>
      <c r="WNZ44"/>
      <c r="WOA44"/>
      <c r="WOB44"/>
      <c r="WOC44"/>
      <c r="WOD44"/>
      <c r="WOE44"/>
      <c r="WOF44"/>
      <c r="WOG44"/>
      <c r="WOH44"/>
      <c r="WOI44"/>
      <c r="WOJ44"/>
      <c r="WOK44"/>
      <c r="WOL44"/>
      <c r="WOM44"/>
      <c r="WON44"/>
      <c r="WOO44"/>
      <c r="WOP44"/>
      <c r="WOQ44"/>
      <c r="WOR44"/>
      <c r="WOS44"/>
      <c r="WOT44"/>
      <c r="WOU44"/>
      <c r="WOV44"/>
      <c r="WOW44"/>
      <c r="WOX44"/>
      <c r="WOY44"/>
      <c r="WOZ44"/>
      <c r="WPA44"/>
      <c r="WPB44"/>
      <c r="WPC44"/>
      <c r="WPD44"/>
      <c r="WPE44"/>
      <c r="WPF44"/>
      <c r="WPG44"/>
      <c r="WPH44"/>
      <c r="WPI44"/>
      <c r="WPJ44"/>
      <c r="WPK44"/>
      <c r="WPL44"/>
      <c r="WPM44"/>
      <c r="WPN44"/>
      <c r="WPO44"/>
      <c r="WPP44"/>
      <c r="WPQ44"/>
      <c r="WPR44"/>
      <c r="WPS44"/>
      <c r="WPT44"/>
      <c r="WPU44"/>
      <c r="WPV44"/>
      <c r="WPW44"/>
      <c r="WPX44"/>
      <c r="WPY44"/>
      <c r="WPZ44"/>
      <c r="WQA44"/>
      <c r="WQB44"/>
      <c r="WQC44"/>
      <c r="WQD44"/>
      <c r="WQE44"/>
      <c r="WQF44"/>
      <c r="WQG44"/>
      <c r="WQH44"/>
      <c r="WQI44"/>
      <c r="WQJ44"/>
      <c r="WQK44"/>
      <c r="WQL44"/>
      <c r="WQM44"/>
      <c r="WQN44"/>
      <c r="WQO44"/>
      <c r="WQP44"/>
      <c r="WQQ44"/>
      <c r="WQR44"/>
      <c r="WQS44"/>
      <c r="WQT44"/>
      <c r="WQU44"/>
      <c r="WQV44"/>
      <c r="WQW44"/>
      <c r="WQX44"/>
      <c r="WQY44"/>
      <c r="WQZ44"/>
      <c r="WRA44"/>
      <c r="WRB44"/>
      <c r="WRC44"/>
      <c r="WRD44"/>
      <c r="WRE44"/>
      <c r="WRF44"/>
      <c r="WRG44"/>
      <c r="WRH44"/>
      <c r="WRI44"/>
      <c r="WRJ44"/>
      <c r="WRK44"/>
      <c r="WRL44"/>
      <c r="WRM44"/>
      <c r="WRN44"/>
      <c r="WRO44"/>
      <c r="WRP44"/>
      <c r="WRQ44"/>
      <c r="WRR44"/>
      <c r="WRS44"/>
      <c r="WRT44"/>
      <c r="WRU44"/>
      <c r="WRV44"/>
      <c r="WRW44"/>
      <c r="WRX44"/>
      <c r="WRY44"/>
      <c r="WRZ44"/>
      <c r="WSA44"/>
      <c r="WSB44"/>
      <c r="WSC44"/>
      <c r="WSD44"/>
      <c r="WSE44"/>
      <c r="WSF44"/>
      <c r="WSG44"/>
      <c r="WSH44"/>
      <c r="WSI44"/>
      <c r="WSJ44"/>
      <c r="WSK44"/>
      <c r="WSL44"/>
      <c r="WSM44"/>
      <c r="WSN44"/>
      <c r="WSO44"/>
      <c r="WSP44"/>
      <c r="WSQ44"/>
      <c r="WSR44"/>
      <c r="WSS44"/>
      <c r="WST44"/>
      <c r="WSU44"/>
      <c r="WSV44"/>
      <c r="WSW44"/>
      <c r="WSX44"/>
      <c r="WSY44"/>
      <c r="WSZ44"/>
      <c r="WTA44"/>
      <c r="WTB44"/>
      <c r="WTC44"/>
      <c r="WTD44"/>
      <c r="WTE44"/>
      <c r="WTF44"/>
      <c r="WTG44"/>
      <c r="WTH44"/>
      <c r="WTI44"/>
      <c r="WTJ44"/>
      <c r="WTK44"/>
      <c r="WTL44"/>
      <c r="WTM44"/>
      <c r="WTN44"/>
      <c r="WTO44"/>
      <c r="WTP44"/>
      <c r="WTQ44"/>
      <c r="WTR44"/>
      <c r="WTS44"/>
      <c r="WTT44"/>
      <c r="WTU44"/>
      <c r="WTV44"/>
      <c r="WTW44"/>
      <c r="WTX44"/>
      <c r="WTY44"/>
      <c r="WTZ44"/>
      <c r="WUA44"/>
      <c r="WUB44"/>
      <c r="WUC44"/>
      <c r="WUD44"/>
      <c r="WUE44"/>
      <c r="WUF44"/>
      <c r="WUG44"/>
      <c r="WUH44"/>
      <c r="WUI44"/>
      <c r="WUJ44"/>
      <c r="WUK44"/>
      <c r="WUL44"/>
      <c r="WUM44"/>
      <c r="WUN44"/>
      <c r="WUO44"/>
      <c r="WUP44"/>
      <c r="WUQ44"/>
      <c r="WUR44"/>
      <c r="WUS44"/>
      <c r="WUT44"/>
      <c r="WUU44"/>
      <c r="WUV44"/>
      <c r="WUW44"/>
      <c r="WUX44"/>
      <c r="WUY44"/>
      <c r="WUZ44"/>
      <c r="WVA44"/>
      <c r="WVB44"/>
      <c r="WVC44"/>
      <c r="WVD44"/>
      <c r="WVE44"/>
      <c r="WVF44"/>
      <c r="WVG44"/>
      <c r="WVH44"/>
      <c r="WVI44"/>
      <c r="WVJ44"/>
      <c r="WVK44"/>
      <c r="WVL44"/>
      <c r="WVM44"/>
      <c r="WVN44"/>
      <c r="WVO44"/>
      <c r="WVP44"/>
      <c r="WVQ44"/>
      <c r="WVR44"/>
      <c r="WVS44"/>
      <c r="WVT44"/>
      <c r="WVU44"/>
      <c r="WVV44"/>
      <c r="WVW44"/>
      <c r="WVX44"/>
      <c r="WVY44"/>
      <c r="WVZ44"/>
      <c r="WWA44"/>
      <c r="WWB44"/>
      <c r="WWC44"/>
      <c r="WWD44"/>
      <c r="WWE44"/>
      <c r="WWF44"/>
      <c r="WWG44"/>
      <c r="WWH44"/>
      <c r="WWI44"/>
      <c r="WWJ44"/>
      <c r="WWK44"/>
      <c r="WWL44"/>
      <c r="WWM44"/>
      <c r="WWN44"/>
      <c r="WWO44"/>
      <c r="WWP44"/>
      <c r="WWQ44"/>
      <c r="WWR44"/>
      <c r="WWS44"/>
      <c r="WWT44"/>
      <c r="WWU44"/>
      <c r="WWV44"/>
      <c r="WWW44"/>
      <c r="WWX44"/>
      <c r="WWY44"/>
      <c r="WWZ44"/>
      <c r="WXA44"/>
      <c r="WXB44"/>
      <c r="WXC44"/>
      <c r="WXD44"/>
      <c r="WXE44"/>
      <c r="WXF44"/>
      <c r="WXG44"/>
      <c r="WXH44"/>
      <c r="WXI44"/>
      <c r="WXJ44"/>
      <c r="WXK44"/>
      <c r="WXL44"/>
      <c r="WXM44"/>
      <c r="WXN44"/>
      <c r="WXO44"/>
      <c r="WXP44"/>
      <c r="WXQ44"/>
      <c r="WXR44"/>
      <c r="WXS44"/>
      <c r="WXT44"/>
      <c r="WXU44"/>
      <c r="WXV44"/>
      <c r="WXW44"/>
      <c r="WXX44"/>
      <c r="WXY44"/>
      <c r="WXZ44"/>
      <c r="WYA44"/>
      <c r="WYB44"/>
      <c r="WYC44"/>
      <c r="WYD44"/>
      <c r="WYE44"/>
      <c r="WYF44"/>
      <c r="WYG44"/>
      <c r="WYH44"/>
      <c r="WYI44"/>
      <c r="WYJ44"/>
      <c r="WYK44"/>
      <c r="WYL44"/>
      <c r="WYM44"/>
      <c r="WYN44"/>
      <c r="WYO44"/>
      <c r="WYP44"/>
      <c r="WYQ44"/>
      <c r="WYR44"/>
      <c r="WYS44"/>
      <c r="WYT44"/>
      <c r="WYU44"/>
      <c r="WYV44"/>
      <c r="WYW44"/>
      <c r="WYX44"/>
      <c r="WYY44"/>
      <c r="WYZ44"/>
      <c r="WZA44"/>
      <c r="WZB44"/>
      <c r="WZC44"/>
      <c r="WZD44"/>
      <c r="WZE44"/>
      <c r="WZF44"/>
      <c r="WZG44"/>
      <c r="WZH44"/>
      <c r="WZI44"/>
      <c r="WZJ44"/>
      <c r="WZK44"/>
      <c r="WZL44"/>
      <c r="WZM44"/>
      <c r="WZN44"/>
      <c r="WZO44"/>
      <c r="WZP44"/>
      <c r="WZQ44"/>
      <c r="WZR44"/>
      <c r="WZS44"/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/>
      <c r="XBT44"/>
      <c r="XBU44"/>
      <c r="XBV44"/>
      <c r="XBW44"/>
      <c r="XBX44"/>
      <c r="XBY44"/>
      <c r="XBZ44"/>
      <c r="XCA44"/>
      <c r="XCB44"/>
      <c r="XCC44"/>
      <c r="XCD44"/>
      <c r="XCE44"/>
      <c r="XCF44"/>
      <c r="XCG44"/>
      <c r="XCH44"/>
      <c r="XCI44"/>
      <c r="XCJ44"/>
      <c r="XCK44"/>
      <c r="XCL44"/>
      <c r="XCM44"/>
      <c r="XCN44"/>
      <c r="XCO44"/>
      <c r="XCP44"/>
      <c r="XCQ44"/>
      <c r="XCR44"/>
      <c r="XCS44"/>
      <c r="XCT44"/>
      <c r="XCU44"/>
      <c r="XCV44"/>
      <c r="XCW44"/>
      <c r="XCX44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  <c r="XEZ44"/>
    </row>
    <row r="45" spans="1:16380" x14ac:dyDescent="0.35">
      <c r="A45" s="49" t="s">
        <v>81</v>
      </c>
      <c r="B45" s="26" t="s">
        <v>154</v>
      </c>
      <c r="C45" s="59" t="s">
        <v>200</v>
      </c>
      <c r="D45" s="32" t="s">
        <v>246</v>
      </c>
      <c r="E45" s="27">
        <v>30303062100289</v>
      </c>
      <c r="F45" s="14" t="s">
        <v>36</v>
      </c>
      <c r="G45" s="30">
        <v>4000</v>
      </c>
      <c r="H45" s="30">
        <v>3000</v>
      </c>
      <c r="I45" s="30">
        <v>0</v>
      </c>
      <c r="J45" s="53">
        <v>1</v>
      </c>
      <c r="K45" s="9">
        <f t="shared" si="1"/>
        <v>3000</v>
      </c>
      <c r="L45" s="9">
        <v>0</v>
      </c>
      <c r="M45" s="9">
        <f t="shared" si="2"/>
        <v>30</v>
      </c>
      <c r="N45" s="9">
        <f t="shared" si="26"/>
        <v>0</v>
      </c>
      <c r="O45" s="10">
        <f t="shared" si="27"/>
        <v>133.33333333333334</v>
      </c>
      <c r="P45" s="10">
        <f t="shared" si="28"/>
        <v>100</v>
      </c>
      <c r="Q45" s="10">
        <f t="shared" si="29"/>
        <v>233.33333333333334</v>
      </c>
      <c r="R45" s="10">
        <f t="shared" si="30"/>
        <v>16.666666666666668</v>
      </c>
      <c r="S45" s="9">
        <v>36</v>
      </c>
      <c r="T45" s="9">
        <f t="shared" si="8"/>
        <v>600</v>
      </c>
      <c r="U45" s="9">
        <v>0</v>
      </c>
      <c r="V45" s="15">
        <f t="shared" si="9"/>
        <v>7600</v>
      </c>
      <c r="W45" s="52">
        <v>0</v>
      </c>
      <c r="X45" s="29">
        <f t="shared" si="10"/>
        <v>0</v>
      </c>
      <c r="Y45" s="43">
        <v>0</v>
      </c>
      <c r="Z45" s="29">
        <f t="shared" si="24"/>
        <v>0</v>
      </c>
      <c r="AA45" s="29">
        <v>0</v>
      </c>
      <c r="AB45" s="29">
        <f t="shared" si="12"/>
        <v>0</v>
      </c>
      <c r="AC45" s="11">
        <f t="shared" si="13"/>
        <v>0</v>
      </c>
      <c r="AD45" s="4">
        <f t="shared" si="31"/>
        <v>7600</v>
      </c>
      <c r="AE45" s="3">
        <f t="shared" si="14"/>
        <v>5384.6153846153848</v>
      </c>
      <c r="AF45" s="3">
        <f t="shared" si="15"/>
        <v>592.30769230769238</v>
      </c>
      <c r="AG45" s="1">
        <v>1666.6666666666667</v>
      </c>
      <c r="AH45" s="1">
        <f t="shared" si="16"/>
        <v>64092.307692307688</v>
      </c>
      <c r="AI45" s="1">
        <f t="shared" si="17"/>
        <v>238.6538461538461</v>
      </c>
      <c r="AJ45" s="3">
        <f t="shared" si="18"/>
        <v>3.8000000000000003</v>
      </c>
      <c r="AK45" s="4">
        <f t="shared" si="19"/>
        <v>6765.2384615384617</v>
      </c>
      <c r="AL45" s="3">
        <v>0</v>
      </c>
      <c r="AM45" s="4">
        <f t="shared" si="20"/>
        <v>6765.2384615384617</v>
      </c>
      <c r="AN45" s="1">
        <f t="shared" si="25"/>
        <v>1009.6153846153846</v>
      </c>
      <c r="AO45" s="46"/>
      <c r="AP45" s="55">
        <f t="shared" si="22"/>
        <v>8609.6153846153848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</row>
    <row r="46" spans="1:16380" x14ac:dyDescent="0.35">
      <c r="A46" s="49" t="s">
        <v>82</v>
      </c>
      <c r="B46" s="26" t="s">
        <v>156</v>
      </c>
      <c r="C46" s="59" t="s">
        <v>200</v>
      </c>
      <c r="D46" s="32" t="s">
        <v>247</v>
      </c>
      <c r="E46" s="19">
        <v>30004012107447</v>
      </c>
      <c r="F46" s="14" t="s">
        <v>36</v>
      </c>
      <c r="G46" s="30">
        <v>4000</v>
      </c>
      <c r="H46" s="30">
        <v>3000</v>
      </c>
      <c r="I46" s="30"/>
      <c r="J46" s="53">
        <v>1</v>
      </c>
      <c r="K46" s="9">
        <f t="shared" si="1"/>
        <v>3000</v>
      </c>
      <c r="L46" s="9">
        <v>0</v>
      </c>
      <c r="M46" s="9">
        <f t="shared" si="2"/>
        <v>10</v>
      </c>
      <c r="N46" s="9">
        <f t="shared" si="26"/>
        <v>0</v>
      </c>
      <c r="O46" s="10">
        <f t="shared" si="27"/>
        <v>133.33333333333334</v>
      </c>
      <c r="P46" s="10">
        <f t="shared" si="28"/>
        <v>100</v>
      </c>
      <c r="Q46" s="10">
        <f t="shared" si="29"/>
        <v>233.33333333333334</v>
      </c>
      <c r="R46" s="10">
        <f t="shared" si="30"/>
        <v>16.666666666666668</v>
      </c>
      <c r="S46" s="9">
        <v>21</v>
      </c>
      <c r="T46" s="9">
        <f t="shared" si="8"/>
        <v>350</v>
      </c>
      <c r="U46" s="9">
        <v>0</v>
      </c>
      <c r="V46" s="15">
        <f t="shared" si="9"/>
        <v>7350</v>
      </c>
      <c r="W46" s="52">
        <v>20</v>
      </c>
      <c r="X46" s="29">
        <f t="shared" si="10"/>
        <v>4666.666666666667</v>
      </c>
      <c r="Y46" s="43">
        <v>0</v>
      </c>
      <c r="Z46" s="29">
        <f t="shared" si="24"/>
        <v>0</v>
      </c>
      <c r="AA46" s="29">
        <v>0</v>
      </c>
      <c r="AB46" s="29">
        <f t="shared" si="12"/>
        <v>0</v>
      </c>
      <c r="AC46" s="11">
        <f t="shared" si="13"/>
        <v>4666.666666666667</v>
      </c>
      <c r="AD46" s="4">
        <f t="shared" si="31"/>
        <v>2683.333333333333</v>
      </c>
      <c r="AE46" s="3">
        <v>0</v>
      </c>
      <c r="AF46" s="3">
        <f t="shared" si="15"/>
        <v>0</v>
      </c>
      <c r="AG46" s="1">
        <v>1666.6666666666667</v>
      </c>
      <c r="AH46" s="1">
        <f t="shared" si="16"/>
        <v>12199.999999999996</v>
      </c>
      <c r="AI46" s="1">
        <f t="shared" si="17"/>
        <v>0</v>
      </c>
      <c r="AJ46" s="3">
        <f t="shared" si="18"/>
        <v>1.3416666666666666</v>
      </c>
      <c r="AK46" s="4">
        <f t="shared" si="19"/>
        <v>2681.9916666666663</v>
      </c>
      <c r="AL46" s="3"/>
      <c r="AM46" s="4">
        <f t="shared" si="20"/>
        <v>2681.9916666666663</v>
      </c>
      <c r="AN46" s="1">
        <f t="shared" si="25"/>
        <v>0</v>
      </c>
      <c r="AO46" s="46"/>
      <c r="AP46" s="55">
        <f t="shared" si="22"/>
        <v>2683.333333333333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</row>
    <row r="47" spans="1:16380" x14ac:dyDescent="0.35">
      <c r="A47" s="49" t="s">
        <v>83</v>
      </c>
      <c r="B47" s="26" t="s">
        <v>158</v>
      </c>
      <c r="C47" s="59" t="s">
        <v>200</v>
      </c>
      <c r="D47" s="32" t="s">
        <v>248</v>
      </c>
      <c r="E47" s="27">
        <v>29803052104241</v>
      </c>
      <c r="F47" s="14" t="s">
        <v>36</v>
      </c>
      <c r="G47" s="30">
        <v>4000</v>
      </c>
      <c r="H47" s="30">
        <v>3000</v>
      </c>
      <c r="I47" s="30">
        <v>0</v>
      </c>
      <c r="J47" s="53">
        <v>1</v>
      </c>
      <c r="K47" s="9">
        <f t="shared" si="1"/>
        <v>3000</v>
      </c>
      <c r="L47" s="9">
        <v>0</v>
      </c>
      <c r="M47" s="9">
        <f t="shared" si="2"/>
        <v>30</v>
      </c>
      <c r="N47" s="9">
        <f t="shared" si="26"/>
        <v>0</v>
      </c>
      <c r="O47" s="10">
        <f t="shared" si="27"/>
        <v>133.33333333333334</v>
      </c>
      <c r="P47" s="10">
        <f t="shared" si="28"/>
        <v>100</v>
      </c>
      <c r="Q47" s="10">
        <f t="shared" si="29"/>
        <v>233.33333333333334</v>
      </c>
      <c r="R47" s="10">
        <f t="shared" si="30"/>
        <v>16.666666666666668</v>
      </c>
      <c r="S47" s="9">
        <v>36</v>
      </c>
      <c r="T47" s="9">
        <f t="shared" si="8"/>
        <v>600</v>
      </c>
      <c r="U47" s="9">
        <v>0</v>
      </c>
      <c r="V47" s="15">
        <f t="shared" si="9"/>
        <v>7600</v>
      </c>
      <c r="W47" s="52">
        <v>0</v>
      </c>
      <c r="X47" s="29">
        <f t="shared" si="10"/>
        <v>0</v>
      </c>
      <c r="Y47" s="43">
        <v>0</v>
      </c>
      <c r="Z47" s="29">
        <f t="shared" si="24"/>
        <v>0</v>
      </c>
      <c r="AA47" s="29">
        <v>0</v>
      </c>
      <c r="AB47" s="29">
        <f t="shared" si="12"/>
        <v>0</v>
      </c>
      <c r="AC47" s="11">
        <f t="shared" si="13"/>
        <v>0</v>
      </c>
      <c r="AD47" s="4">
        <f t="shared" si="31"/>
        <v>7600</v>
      </c>
      <c r="AE47" s="3">
        <f t="shared" si="14"/>
        <v>5384.6153846153848</v>
      </c>
      <c r="AF47" s="3">
        <f t="shared" si="15"/>
        <v>592.30769230769238</v>
      </c>
      <c r="AG47" s="1">
        <v>1666.6666666666667</v>
      </c>
      <c r="AH47" s="1">
        <f t="shared" si="16"/>
        <v>64092.307692307688</v>
      </c>
      <c r="AI47" s="1">
        <f t="shared" si="17"/>
        <v>238.6538461538461</v>
      </c>
      <c r="AJ47" s="3">
        <f t="shared" si="18"/>
        <v>3.8000000000000003</v>
      </c>
      <c r="AK47" s="4">
        <f t="shared" si="19"/>
        <v>6765.2384615384617</v>
      </c>
      <c r="AL47" s="3">
        <v>0</v>
      </c>
      <c r="AM47" s="4">
        <f t="shared" si="20"/>
        <v>6765.2384615384617</v>
      </c>
      <c r="AN47" s="1">
        <f t="shared" si="25"/>
        <v>1009.6153846153846</v>
      </c>
      <c r="AO47" s="46"/>
      <c r="AP47" s="55">
        <f t="shared" si="22"/>
        <v>8609.6153846153848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/>
      <c r="BHW47"/>
      <c r="BHX47"/>
      <c r="BHY47"/>
      <c r="BHZ47"/>
      <c r="BIA47"/>
      <c r="BIB47"/>
      <c r="BIC47"/>
      <c r="BID47"/>
      <c r="BIE47"/>
      <c r="BIF47"/>
      <c r="BIG47"/>
      <c r="BIH47"/>
      <c r="BII47"/>
      <c r="BIJ47"/>
      <c r="BIK47"/>
      <c r="BIL47"/>
      <c r="BIM47"/>
      <c r="BIN47"/>
      <c r="BIO47"/>
      <c r="BIP47"/>
      <c r="BIQ47"/>
      <c r="BIR47"/>
      <c r="BIS47"/>
      <c r="BIT47"/>
      <c r="BIU47"/>
      <c r="BIV47"/>
      <c r="BIW47"/>
      <c r="BIX47"/>
      <c r="BIY47"/>
      <c r="BIZ47"/>
      <c r="BJA47"/>
      <c r="BJB47"/>
      <c r="BJC47"/>
      <c r="BJD47"/>
      <c r="BJE47"/>
      <c r="BJF47"/>
      <c r="BJG47"/>
      <c r="BJH47"/>
      <c r="BJI47"/>
      <c r="BJJ47"/>
      <c r="BJK47"/>
      <c r="BJL47"/>
      <c r="BJM47"/>
      <c r="BJN47"/>
      <c r="BJO47"/>
      <c r="BJP47"/>
      <c r="BJQ47"/>
      <c r="BJR47"/>
      <c r="BJS47"/>
      <c r="BJT47"/>
      <c r="BJU47"/>
      <c r="BJV47"/>
      <c r="BJW47"/>
      <c r="BJX47"/>
      <c r="BJY47"/>
      <c r="BJZ47"/>
      <c r="BKA47"/>
      <c r="BKB47"/>
      <c r="BKC47"/>
      <c r="BKD47"/>
      <c r="BKE47"/>
      <c r="BKF47"/>
      <c r="BKG47"/>
      <c r="BKH47"/>
      <c r="BKI47"/>
      <c r="BKJ47"/>
      <c r="BKK47"/>
      <c r="BKL47"/>
      <c r="BKM47"/>
      <c r="BKN47"/>
      <c r="BKO47"/>
      <c r="BKP47"/>
      <c r="BKQ47"/>
      <c r="BKR47"/>
      <c r="BKS47"/>
      <c r="BKT47"/>
      <c r="BKU47"/>
      <c r="BKV47"/>
      <c r="BKW47"/>
      <c r="BKX47"/>
      <c r="BKY47"/>
      <c r="BKZ47"/>
      <c r="BLA47"/>
      <c r="BLB47"/>
      <c r="BLC47"/>
      <c r="BLD47"/>
      <c r="BLE47"/>
      <c r="BLF47"/>
      <c r="BLG47"/>
      <c r="BLH47"/>
      <c r="BLI47"/>
      <c r="BLJ47"/>
      <c r="BLK47"/>
      <c r="BLL47"/>
      <c r="BLM47"/>
      <c r="BLN47"/>
      <c r="BLO47"/>
      <c r="BLP47"/>
      <c r="BLQ47"/>
      <c r="BLR47"/>
      <c r="BLS47"/>
      <c r="BLT47"/>
      <c r="BLU47"/>
      <c r="BLV47"/>
      <c r="BLW47"/>
      <c r="BLX47"/>
      <c r="BLY47"/>
      <c r="BLZ47"/>
      <c r="BMA47"/>
      <c r="BMB47"/>
      <c r="BMC47"/>
      <c r="BMD47"/>
      <c r="BME47"/>
      <c r="BMF47"/>
      <c r="BMG47"/>
      <c r="BMH47"/>
      <c r="BMI47"/>
      <c r="BMJ47"/>
      <c r="BMK47"/>
      <c r="BML47"/>
      <c r="BMM47"/>
      <c r="BMN47"/>
      <c r="BMO47"/>
      <c r="BMP47"/>
      <c r="BMQ47"/>
      <c r="BMR47"/>
      <c r="BMS47"/>
      <c r="BMT47"/>
      <c r="BMU47"/>
      <c r="BMV47"/>
      <c r="BMW47"/>
      <c r="BMX47"/>
      <c r="BMY47"/>
      <c r="BMZ47"/>
      <c r="BNA47"/>
      <c r="BNB47"/>
      <c r="BNC47"/>
      <c r="BND47"/>
      <c r="BNE47"/>
      <c r="BNF47"/>
      <c r="BNG47"/>
      <c r="BNH47"/>
      <c r="BNI47"/>
      <c r="BNJ47"/>
      <c r="BNK47"/>
      <c r="BNL47"/>
      <c r="BNM47"/>
      <c r="BNN47"/>
      <c r="BNO47"/>
      <c r="BNP47"/>
      <c r="BNQ47"/>
      <c r="BNR47"/>
      <c r="BNS47"/>
      <c r="BNT47"/>
      <c r="BNU47"/>
      <c r="BNV47"/>
      <c r="BNW47"/>
      <c r="BNX47"/>
      <c r="BNY47"/>
      <c r="BNZ47"/>
      <c r="BOA47"/>
      <c r="BOB47"/>
      <c r="BOC47"/>
      <c r="BOD47"/>
      <c r="BOE47"/>
      <c r="BOF47"/>
      <c r="BOG47"/>
      <c r="BOH47"/>
      <c r="BOI47"/>
      <c r="BOJ47"/>
      <c r="BOK47"/>
      <c r="BOL47"/>
      <c r="BOM47"/>
      <c r="BON47"/>
      <c r="BOO47"/>
      <c r="BOP47"/>
      <c r="BOQ47"/>
      <c r="BOR47"/>
      <c r="BOS47"/>
      <c r="BOT47"/>
      <c r="BOU47"/>
      <c r="BOV47"/>
      <c r="BOW47"/>
      <c r="BOX47"/>
      <c r="BOY47"/>
      <c r="BOZ47"/>
      <c r="BPA47"/>
      <c r="BPB47"/>
      <c r="BPC47"/>
      <c r="BPD47"/>
      <c r="BPE47"/>
      <c r="BPF47"/>
      <c r="BPG47"/>
      <c r="BPH47"/>
      <c r="BPI47"/>
      <c r="BPJ47"/>
      <c r="BPK47"/>
      <c r="BPL47"/>
      <c r="BPM47"/>
      <c r="BPN47"/>
      <c r="BPO47"/>
      <c r="BPP47"/>
      <c r="BPQ47"/>
      <c r="BPR47"/>
      <c r="BPS47"/>
      <c r="BPT47"/>
      <c r="BPU47"/>
      <c r="BPV47"/>
      <c r="BPW47"/>
      <c r="BPX47"/>
      <c r="BPY47"/>
      <c r="BPZ47"/>
      <c r="BQA47"/>
      <c r="BQB47"/>
      <c r="BQC47"/>
      <c r="BQD47"/>
      <c r="BQE47"/>
      <c r="BQF47"/>
      <c r="BQG47"/>
      <c r="BQH47"/>
      <c r="BQI47"/>
      <c r="BQJ47"/>
      <c r="BQK47"/>
      <c r="BQL47"/>
      <c r="BQM47"/>
      <c r="BQN47"/>
      <c r="BQO47"/>
      <c r="BQP47"/>
      <c r="BQQ47"/>
      <c r="BQR47"/>
      <c r="BQS47"/>
      <c r="BQT47"/>
      <c r="BQU47"/>
      <c r="BQV47"/>
      <c r="BQW47"/>
      <c r="BQX47"/>
      <c r="BQY47"/>
      <c r="BQZ47"/>
      <c r="BRA47"/>
      <c r="BRB47"/>
      <c r="BRC47"/>
      <c r="BRD47"/>
      <c r="BRE47"/>
      <c r="BRF47"/>
      <c r="BRG47"/>
      <c r="BRH47"/>
      <c r="BRI47"/>
      <c r="BRJ47"/>
      <c r="BRK47"/>
      <c r="BRL47"/>
      <c r="BRM47"/>
      <c r="BRN47"/>
      <c r="BRO47"/>
      <c r="BRP47"/>
      <c r="BRQ47"/>
      <c r="BRR47"/>
      <c r="BRS47"/>
      <c r="BRT47"/>
      <c r="BRU47"/>
      <c r="BRV47"/>
      <c r="BRW47"/>
      <c r="BRX47"/>
      <c r="BRY47"/>
      <c r="BRZ47"/>
      <c r="BSA47"/>
      <c r="BSB47"/>
      <c r="BSC47"/>
      <c r="BSD47"/>
      <c r="BSE47"/>
      <c r="BSF47"/>
      <c r="BSG47"/>
      <c r="BSH47"/>
      <c r="BSI47"/>
      <c r="BSJ47"/>
      <c r="BSK47"/>
      <c r="BSL47"/>
      <c r="BSM47"/>
      <c r="BSN47"/>
      <c r="BSO47"/>
      <c r="BSP47"/>
      <c r="BSQ47"/>
      <c r="BSR47"/>
      <c r="BSS47"/>
      <c r="BST47"/>
      <c r="BSU47"/>
      <c r="BSV47"/>
      <c r="BSW47"/>
      <c r="BSX47"/>
      <c r="BSY47"/>
      <c r="BSZ47"/>
      <c r="BTA47"/>
      <c r="BTB47"/>
      <c r="BTC47"/>
      <c r="BTD47"/>
      <c r="BTE47"/>
      <c r="BTF47"/>
      <c r="BTG47"/>
      <c r="BTH47"/>
      <c r="BTI47"/>
      <c r="BTJ47"/>
      <c r="BTK47"/>
      <c r="BTL47"/>
      <c r="BTM47"/>
      <c r="BTN47"/>
      <c r="BTO47"/>
      <c r="BTP47"/>
      <c r="BTQ47"/>
      <c r="BTR47"/>
      <c r="BTS47"/>
      <c r="BTT47"/>
      <c r="BTU47"/>
      <c r="BTV47"/>
      <c r="BTW47"/>
      <c r="BTX47"/>
      <c r="BTY47"/>
      <c r="BTZ47"/>
      <c r="BUA47"/>
      <c r="BUB47"/>
      <c r="BUC47"/>
      <c r="BUD47"/>
      <c r="BUE47"/>
      <c r="BUF47"/>
      <c r="BUG47"/>
      <c r="BUH47"/>
      <c r="BUI47"/>
      <c r="BUJ47"/>
      <c r="BUK47"/>
      <c r="BUL47"/>
      <c r="BUM47"/>
      <c r="BUN47"/>
      <c r="BUO47"/>
      <c r="BUP47"/>
      <c r="BUQ47"/>
      <c r="BUR47"/>
      <c r="BUS47"/>
      <c r="BUT47"/>
      <c r="BUU47"/>
      <c r="BUV47"/>
      <c r="BUW47"/>
      <c r="BUX47"/>
      <c r="BUY47"/>
      <c r="BUZ47"/>
      <c r="BVA47"/>
      <c r="BVB47"/>
      <c r="BVC47"/>
      <c r="BVD47"/>
      <c r="BVE47"/>
      <c r="BVF47"/>
      <c r="BVG47"/>
      <c r="BVH47"/>
      <c r="BVI47"/>
      <c r="BVJ47"/>
      <c r="BVK47"/>
      <c r="BVL47"/>
      <c r="BVM47"/>
      <c r="BVN47"/>
      <c r="BVO47"/>
      <c r="BVP47"/>
      <c r="BVQ47"/>
      <c r="BVR47"/>
      <c r="BVS47"/>
      <c r="BVT47"/>
      <c r="BVU47"/>
      <c r="BVV47"/>
      <c r="BVW47"/>
      <c r="BVX47"/>
      <c r="BVY47"/>
      <c r="BVZ47"/>
      <c r="BWA47"/>
      <c r="BWB47"/>
      <c r="BWC47"/>
      <c r="BWD47"/>
      <c r="BWE47"/>
      <c r="BWF47"/>
      <c r="BWG47"/>
      <c r="BWH47"/>
      <c r="BWI47"/>
      <c r="BWJ47"/>
      <c r="BWK47"/>
      <c r="BWL47"/>
      <c r="BWM47"/>
      <c r="BWN47"/>
      <c r="BWO47"/>
      <c r="BWP47"/>
      <c r="BWQ47"/>
      <c r="BWR47"/>
      <c r="BWS47"/>
      <c r="BWT47"/>
      <c r="BWU47"/>
      <c r="BWV47"/>
      <c r="BWW47"/>
      <c r="BWX47"/>
      <c r="BWY47"/>
      <c r="BWZ47"/>
      <c r="BXA47"/>
      <c r="BXB47"/>
      <c r="BXC47"/>
      <c r="BXD47"/>
      <c r="BXE47"/>
      <c r="BXF47"/>
      <c r="BXG47"/>
      <c r="BXH47"/>
      <c r="BXI47"/>
      <c r="BXJ47"/>
      <c r="BXK47"/>
      <c r="BXL47"/>
      <c r="BXM47"/>
      <c r="BXN47"/>
      <c r="BXO47"/>
      <c r="BXP47"/>
      <c r="BXQ47"/>
      <c r="BXR47"/>
      <c r="BXS47"/>
      <c r="BXT47"/>
      <c r="BXU47"/>
      <c r="BXV47"/>
      <c r="BXW47"/>
      <c r="BXX47"/>
      <c r="BXY47"/>
      <c r="BXZ47"/>
      <c r="BYA47"/>
      <c r="BYB47"/>
      <c r="BYC47"/>
      <c r="BYD47"/>
      <c r="BYE47"/>
      <c r="BYF47"/>
      <c r="BYG47"/>
      <c r="BYH47"/>
      <c r="BYI47"/>
      <c r="BYJ47"/>
      <c r="BYK47"/>
      <c r="BYL47"/>
      <c r="BYM47"/>
      <c r="BYN47"/>
      <c r="BYO47"/>
      <c r="BYP47"/>
      <c r="BYQ47"/>
      <c r="BYR47"/>
      <c r="BYS47"/>
      <c r="BYT47"/>
      <c r="BYU47"/>
      <c r="BYV47"/>
      <c r="BYW47"/>
      <c r="BYX47"/>
      <c r="BYY47"/>
      <c r="BYZ47"/>
      <c r="BZA47"/>
      <c r="BZB47"/>
      <c r="BZC47"/>
      <c r="BZD47"/>
      <c r="BZE47"/>
      <c r="BZF47"/>
      <c r="BZG47"/>
      <c r="BZH47"/>
      <c r="BZI47"/>
      <c r="BZJ47"/>
      <c r="BZK47"/>
      <c r="BZL47"/>
      <c r="BZM47"/>
      <c r="BZN47"/>
      <c r="BZO47"/>
      <c r="BZP47"/>
      <c r="BZQ47"/>
      <c r="BZR47"/>
      <c r="BZS47"/>
      <c r="BZT47"/>
      <c r="BZU47"/>
      <c r="BZV47"/>
      <c r="BZW47"/>
      <c r="BZX47"/>
      <c r="BZY47"/>
      <c r="BZZ47"/>
      <c r="CAA47"/>
      <c r="CAB47"/>
      <c r="CAC47"/>
      <c r="CAD47"/>
      <c r="CAE47"/>
      <c r="CAF47"/>
      <c r="CAG47"/>
      <c r="CAH47"/>
      <c r="CAI47"/>
      <c r="CAJ47"/>
      <c r="CAK47"/>
      <c r="CAL47"/>
      <c r="CAM47"/>
      <c r="CAN47"/>
      <c r="CAO47"/>
      <c r="CAP47"/>
      <c r="CAQ47"/>
      <c r="CAR47"/>
      <c r="CAS47"/>
      <c r="CAT47"/>
      <c r="CAU47"/>
      <c r="CAV47"/>
      <c r="CAW47"/>
      <c r="CAX47"/>
      <c r="CAY47"/>
      <c r="CAZ47"/>
      <c r="CBA47"/>
      <c r="CBB47"/>
      <c r="CBC47"/>
      <c r="CBD47"/>
      <c r="CBE47"/>
      <c r="CBF47"/>
      <c r="CBG47"/>
      <c r="CBH47"/>
      <c r="CBI47"/>
      <c r="CBJ47"/>
      <c r="CBK47"/>
      <c r="CBL47"/>
      <c r="CBM47"/>
      <c r="CBN47"/>
      <c r="CBO47"/>
      <c r="CBP47"/>
      <c r="CBQ47"/>
      <c r="CBR47"/>
      <c r="CBS47"/>
      <c r="CBT47"/>
      <c r="CBU47"/>
      <c r="CBV47"/>
      <c r="CBW47"/>
      <c r="CBX47"/>
      <c r="CBY47"/>
      <c r="CBZ47"/>
      <c r="CCA47"/>
      <c r="CCB47"/>
      <c r="CCC47"/>
      <c r="CCD47"/>
      <c r="CCE47"/>
      <c r="CCF47"/>
      <c r="CCG47"/>
      <c r="CCH47"/>
      <c r="CCI47"/>
      <c r="CCJ47"/>
      <c r="CCK47"/>
      <c r="CCL47"/>
      <c r="CCM47"/>
      <c r="CCN47"/>
      <c r="CCO47"/>
      <c r="CCP47"/>
      <c r="CCQ47"/>
      <c r="CCR47"/>
      <c r="CCS47"/>
      <c r="CCT47"/>
      <c r="CCU47"/>
      <c r="CCV47"/>
      <c r="CCW47"/>
      <c r="CCX47"/>
      <c r="CCY47"/>
      <c r="CCZ47"/>
      <c r="CDA47"/>
      <c r="CDB47"/>
      <c r="CDC47"/>
      <c r="CDD47"/>
      <c r="CDE47"/>
      <c r="CDF47"/>
      <c r="CDG47"/>
      <c r="CDH47"/>
      <c r="CDI47"/>
      <c r="CDJ47"/>
      <c r="CDK47"/>
      <c r="CDL47"/>
      <c r="CDM47"/>
      <c r="CDN47"/>
      <c r="CDO47"/>
      <c r="CDP47"/>
      <c r="CDQ47"/>
      <c r="CDR47"/>
      <c r="CDS47"/>
      <c r="CDT47"/>
      <c r="CDU47"/>
      <c r="CDV47"/>
      <c r="CDW47"/>
      <c r="CDX47"/>
      <c r="CDY47"/>
      <c r="CDZ47"/>
      <c r="CEA47"/>
      <c r="CEB47"/>
      <c r="CEC47"/>
      <c r="CED47"/>
      <c r="CEE47"/>
      <c r="CEF47"/>
      <c r="CEG47"/>
      <c r="CEH47"/>
      <c r="CEI47"/>
      <c r="CEJ47"/>
      <c r="CEK47"/>
      <c r="CEL47"/>
      <c r="CEM47"/>
      <c r="CEN47"/>
      <c r="CEO47"/>
      <c r="CEP47"/>
      <c r="CEQ47"/>
      <c r="CER47"/>
      <c r="CES47"/>
      <c r="CET47"/>
      <c r="CEU47"/>
      <c r="CEV47"/>
      <c r="CEW47"/>
      <c r="CEX47"/>
      <c r="CEY47"/>
      <c r="CEZ47"/>
      <c r="CFA47"/>
      <c r="CFB47"/>
      <c r="CFC47"/>
      <c r="CFD47"/>
      <c r="CFE47"/>
      <c r="CFF47"/>
      <c r="CFG47"/>
      <c r="CFH47"/>
      <c r="CFI47"/>
      <c r="CFJ47"/>
      <c r="CFK47"/>
      <c r="CFL47"/>
      <c r="CFM47"/>
      <c r="CFN47"/>
      <c r="CFO47"/>
      <c r="CFP47"/>
      <c r="CFQ47"/>
      <c r="CFR47"/>
      <c r="CFS47"/>
      <c r="CFT47"/>
      <c r="CFU47"/>
      <c r="CFV47"/>
      <c r="CFW47"/>
      <c r="CFX47"/>
      <c r="CFY47"/>
      <c r="CFZ47"/>
      <c r="CGA47"/>
      <c r="CGB47"/>
      <c r="CGC47"/>
      <c r="CGD47"/>
      <c r="CGE47"/>
      <c r="CGF47"/>
      <c r="CGG47"/>
      <c r="CGH47"/>
      <c r="CGI47"/>
      <c r="CGJ47"/>
      <c r="CGK47"/>
      <c r="CGL47"/>
      <c r="CGM47"/>
      <c r="CGN47"/>
      <c r="CGO47"/>
      <c r="CGP47"/>
      <c r="CGQ47"/>
      <c r="CGR47"/>
      <c r="CGS47"/>
      <c r="CGT47"/>
      <c r="CGU47"/>
      <c r="CGV47"/>
      <c r="CGW47"/>
      <c r="CGX47"/>
      <c r="CGY47"/>
      <c r="CGZ47"/>
      <c r="CHA47"/>
      <c r="CHB47"/>
      <c r="CHC47"/>
      <c r="CHD47"/>
      <c r="CHE47"/>
      <c r="CHF47"/>
      <c r="CHG47"/>
      <c r="CHH47"/>
      <c r="CHI47"/>
      <c r="CHJ47"/>
      <c r="CHK47"/>
      <c r="CHL47"/>
      <c r="CHM47"/>
      <c r="CHN47"/>
      <c r="CHO47"/>
      <c r="CHP47"/>
      <c r="CHQ47"/>
      <c r="CHR47"/>
      <c r="CHS47"/>
      <c r="CHT47"/>
      <c r="CHU47"/>
      <c r="CHV47"/>
      <c r="CHW47"/>
      <c r="CHX47"/>
      <c r="CHY47"/>
      <c r="CHZ47"/>
      <c r="CIA47"/>
      <c r="CIB47"/>
      <c r="CIC47"/>
      <c r="CID47"/>
      <c r="CIE47"/>
      <c r="CIF47"/>
      <c r="CIG47"/>
      <c r="CIH47"/>
      <c r="CII47"/>
      <c r="CIJ47"/>
      <c r="CIK47"/>
      <c r="CIL47"/>
      <c r="CIM47"/>
      <c r="CIN47"/>
      <c r="CIO47"/>
      <c r="CIP47"/>
      <c r="CIQ47"/>
      <c r="CIR47"/>
      <c r="CIS47"/>
      <c r="CIT47"/>
      <c r="CIU47"/>
      <c r="CIV47"/>
      <c r="CIW47"/>
      <c r="CIX47"/>
      <c r="CIY47"/>
      <c r="CIZ47"/>
      <c r="CJA47"/>
      <c r="CJB47"/>
      <c r="CJC47"/>
      <c r="CJD47"/>
      <c r="CJE47"/>
      <c r="CJF47"/>
      <c r="CJG47"/>
      <c r="CJH47"/>
      <c r="CJI47"/>
      <c r="CJJ47"/>
      <c r="CJK47"/>
      <c r="CJL47"/>
      <c r="CJM47"/>
      <c r="CJN47"/>
      <c r="CJO47"/>
      <c r="CJP47"/>
      <c r="CJQ47"/>
      <c r="CJR47"/>
      <c r="CJS47"/>
      <c r="CJT47"/>
      <c r="CJU47"/>
      <c r="CJV47"/>
      <c r="CJW47"/>
      <c r="CJX47"/>
      <c r="CJY47"/>
      <c r="CJZ47"/>
      <c r="CKA47"/>
      <c r="CKB47"/>
      <c r="CKC47"/>
      <c r="CKD47"/>
      <c r="CKE47"/>
      <c r="CKF47"/>
      <c r="CKG47"/>
      <c r="CKH47"/>
      <c r="CKI47"/>
      <c r="CKJ47"/>
      <c r="CKK47"/>
      <c r="CKL47"/>
      <c r="CKM47"/>
      <c r="CKN47"/>
      <c r="CKO47"/>
      <c r="CKP47"/>
      <c r="CKQ47"/>
      <c r="CKR47"/>
      <c r="CKS47"/>
      <c r="CKT47"/>
      <c r="CKU47"/>
      <c r="CKV47"/>
      <c r="CKW47"/>
      <c r="CKX47"/>
      <c r="CKY47"/>
      <c r="CKZ47"/>
      <c r="CLA47"/>
      <c r="CLB47"/>
      <c r="CLC47"/>
      <c r="CLD47"/>
      <c r="CLE47"/>
      <c r="CLF47"/>
      <c r="CLG47"/>
      <c r="CLH47"/>
      <c r="CLI47"/>
      <c r="CLJ47"/>
      <c r="CLK47"/>
      <c r="CLL47"/>
      <c r="CLM47"/>
      <c r="CLN47"/>
      <c r="CLO47"/>
      <c r="CLP47"/>
      <c r="CLQ47"/>
      <c r="CLR47"/>
      <c r="CLS47"/>
      <c r="CLT47"/>
      <c r="CLU47"/>
      <c r="CLV47"/>
      <c r="CLW47"/>
      <c r="CLX47"/>
      <c r="CLY47"/>
      <c r="CLZ47"/>
      <c r="CMA47"/>
      <c r="CMB47"/>
      <c r="CMC47"/>
      <c r="CMD47"/>
      <c r="CME47"/>
      <c r="CMF47"/>
      <c r="CMG47"/>
      <c r="CMH47"/>
      <c r="CMI47"/>
      <c r="CMJ47"/>
      <c r="CMK47"/>
      <c r="CML47"/>
      <c r="CMM47"/>
      <c r="CMN47"/>
      <c r="CMO47"/>
      <c r="CMP47"/>
      <c r="CMQ47"/>
      <c r="CMR47"/>
      <c r="CMS47"/>
      <c r="CMT47"/>
      <c r="CMU47"/>
      <c r="CMV47"/>
      <c r="CMW47"/>
      <c r="CMX47"/>
      <c r="CMY47"/>
      <c r="CMZ47"/>
      <c r="CNA47"/>
      <c r="CNB47"/>
      <c r="CNC47"/>
      <c r="CND47"/>
      <c r="CNE47"/>
      <c r="CNF47"/>
      <c r="CNG47"/>
      <c r="CNH47"/>
      <c r="CNI47"/>
      <c r="CNJ47"/>
      <c r="CNK47"/>
      <c r="CNL47"/>
      <c r="CNM47"/>
      <c r="CNN47"/>
      <c r="CNO47"/>
      <c r="CNP47"/>
      <c r="CNQ47"/>
      <c r="CNR47"/>
      <c r="CNS47"/>
      <c r="CNT47"/>
      <c r="CNU47"/>
      <c r="CNV47"/>
      <c r="CNW47"/>
      <c r="CNX47"/>
      <c r="CNY47"/>
      <c r="CNZ47"/>
      <c r="COA47"/>
      <c r="COB47"/>
      <c r="COC47"/>
      <c r="COD47"/>
      <c r="COE47"/>
      <c r="COF47"/>
      <c r="COG47"/>
      <c r="COH47"/>
      <c r="COI47"/>
      <c r="COJ47"/>
      <c r="COK47"/>
      <c r="COL47"/>
      <c r="COM47"/>
      <c r="CON47"/>
      <c r="COO47"/>
      <c r="COP47"/>
      <c r="COQ47"/>
      <c r="COR47"/>
      <c r="COS47"/>
      <c r="COT47"/>
      <c r="COU47"/>
      <c r="COV47"/>
      <c r="COW47"/>
      <c r="COX47"/>
      <c r="COY47"/>
      <c r="COZ47"/>
      <c r="CPA47"/>
      <c r="CPB47"/>
      <c r="CPC47"/>
      <c r="CPD47"/>
      <c r="CPE47"/>
      <c r="CPF47"/>
      <c r="CPG47"/>
      <c r="CPH47"/>
      <c r="CPI47"/>
      <c r="CPJ47"/>
      <c r="CPK47"/>
      <c r="CPL47"/>
      <c r="CPM47"/>
      <c r="CPN47"/>
      <c r="CPO47"/>
      <c r="CPP47"/>
      <c r="CPQ47"/>
      <c r="CPR47"/>
      <c r="CPS47"/>
      <c r="CPT47"/>
      <c r="CPU47"/>
      <c r="CPV47"/>
      <c r="CPW47"/>
      <c r="CPX47"/>
      <c r="CPY47"/>
      <c r="CPZ47"/>
      <c r="CQA47"/>
      <c r="CQB47"/>
      <c r="CQC47"/>
      <c r="CQD47"/>
      <c r="CQE47"/>
      <c r="CQF47"/>
      <c r="CQG47"/>
      <c r="CQH47"/>
      <c r="CQI47"/>
      <c r="CQJ47"/>
      <c r="CQK47"/>
      <c r="CQL47"/>
      <c r="CQM47"/>
      <c r="CQN47"/>
      <c r="CQO47"/>
      <c r="CQP47"/>
      <c r="CQQ47"/>
      <c r="CQR47"/>
      <c r="CQS47"/>
      <c r="CQT47"/>
      <c r="CQU47"/>
      <c r="CQV47"/>
      <c r="CQW47"/>
      <c r="CQX47"/>
      <c r="CQY47"/>
      <c r="CQZ47"/>
      <c r="CRA47"/>
      <c r="CRB47"/>
      <c r="CRC47"/>
      <c r="CRD47"/>
      <c r="CRE47"/>
      <c r="CRF47"/>
      <c r="CRG47"/>
      <c r="CRH47"/>
      <c r="CRI47"/>
      <c r="CRJ47"/>
      <c r="CRK47"/>
      <c r="CRL47"/>
      <c r="CRM47"/>
      <c r="CRN47"/>
      <c r="CRO47"/>
      <c r="CRP47"/>
      <c r="CRQ47"/>
      <c r="CRR47"/>
      <c r="CRS47"/>
      <c r="CRT47"/>
      <c r="CRU47"/>
      <c r="CRV47"/>
      <c r="CRW47"/>
      <c r="CRX47"/>
      <c r="CRY47"/>
      <c r="CRZ47"/>
      <c r="CSA47"/>
      <c r="CSB47"/>
      <c r="CSC47"/>
      <c r="CSD47"/>
      <c r="CSE47"/>
      <c r="CSF47"/>
      <c r="CSG47"/>
      <c r="CSH47"/>
      <c r="CSI47"/>
      <c r="CSJ47"/>
      <c r="CSK47"/>
      <c r="CSL47"/>
      <c r="CSM47"/>
      <c r="CSN47"/>
      <c r="CSO47"/>
      <c r="CSP47"/>
      <c r="CSQ47"/>
      <c r="CSR47"/>
      <c r="CSS47"/>
      <c r="CST47"/>
      <c r="CSU47"/>
      <c r="CSV47"/>
      <c r="CSW47"/>
      <c r="CSX47"/>
      <c r="CSY47"/>
      <c r="CSZ47"/>
      <c r="CTA47"/>
      <c r="CTB47"/>
      <c r="CTC47"/>
      <c r="CTD47"/>
      <c r="CTE47"/>
      <c r="CTF47"/>
      <c r="CTG47"/>
      <c r="CTH47"/>
      <c r="CTI47"/>
      <c r="CTJ47"/>
      <c r="CTK47"/>
      <c r="CTL47"/>
      <c r="CTM47"/>
      <c r="CTN47"/>
      <c r="CTO47"/>
      <c r="CTP47"/>
      <c r="CTQ47"/>
      <c r="CTR47"/>
      <c r="CTS47"/>
      <c r="CTT47"/>
      <c r="CTU47"/>
      <c r="CTV47"/>
      <c r="CTW47"/>
      <c r="CTX47"/>
      <c r="CTY47"/>
      <c r="CTZ47"/>
      <c r="CUA47"/>
      <c r="CUB47"/>
      <c r="CUC47"/>
      <c r="CUD47"/>
      <c r="CUE47"/>
      <c r="CUF47"/>
      <c r="CUG47"/>
      <c r="CUH47"/>
      <c r="CUI47"/>
      <c r="CUJ47"/>
      <c r="CUK47"/>
      <c r="CUL47"/>
      <c r="CUM47"/>
      <c r="CUN47"/>
      <c r="CUO47"/>
      <c r="CUP47"/>
      <c r="CUQ47"/>
      <c r="CUR47"/>
      <c r="CUS47"/>
      <c r="CUT47"/>
      <c r="CUU47"/>
      <c r="CUV47"/>
      <c r="CUW47"/>
      <c r="CUX47"/>
      <c r="CUY47"/>
      <c r="CUZ47"/>
      <c r="CVA47"/>
      <c r="CVB47"/>
      <c r="CVC47"/>
      <c r="CVD47"/>
      <c r="CVE47"/>
      <c r="CVF47"/>
      <c r="CVG47"/>
      <c r="CVH47"/>
      <c r="CVI47"/>
      <c r="CVJ47"/>
      <c r="CVK47"/>
      <c r="CVL47"/>
      <c r="CVM47"/>
      <c r="CVN47"/>
      <c r="CVO47"/>
      <c r="CVP47"/>
      <c r="CVQ47"/>
      <c r="CVR47"/>
      <c r="CVS47"/>
      <c r="CVT47"/>
      <c r="CVU47"/>
      <c r="CVV47"/>
      <c r="CVW47"/>
      <c r="CVX47"/>
      <c r="CVY47"/>
      <c r="CVZ47"/>
      <c r="CWA47"/>
      <c r="CWB47"/>
      <c r="CWC47"/>
      <c r="CWD47"/>
      <c r="CWE47"/>
      <c r="CWF47"/>
      <c r="CWG47"/>
      <c r="CWH47"/>
      <c r="CWI47"/>
      <c r="CWJ47"/>
      <c r="CWK47"/>
      <c r="CWL47"/>
      <c r="CWM47"/>
      <c r="CWN47"/>
      <c r="CWO47"/>
      <c r="CWP47"/>
      <c r="CWQ47"/>
      <c r="CWR47"/>
      <c r="CWS47"/>
      <c r="CWT47"/>
      <c r="CWU47"/>
      <c r="CWV47"/>
      <c r="CWW47"/>
      <c r="CWX47"/>
      <c r="CWY47"/>
      <c r="CWZ47"/>
      <c r="CXA47"/>
      <c r="CXB47"/>
      <c r="CXC47"/>
      <c r="CXD47"/>
      <c r="CXE47"/>
      <c r="CXF47"/>
      <c r="CXG47"/>
      <c r="CXH47"/>
      <c r="CXI47"/>
      <c r="CXJ47"/>
      <c r="CXK47"/>
      <c r="CXL47"/>
      <c r="CXM47"/>
      <c r="CXN47"/>
      <c r="CXO47"/>
      <c r="CXP47"/>
      <c r="CXQ47"/>
      <c r="CXR47"/>
      <c r="CXS47"/>
      <c r="CXT47"/>
      <c r="CXU47"/>
      <c r="CXV47"/>
      <c r="CXW47"/>
      <c r="CXX47"/>
      <c r="CXY47"/>
      <c r="CXZ47"/>
      <c r="CYA47"/>
      <c r="CYB47"/>
      <c r="CYC47"/>
      <c r="CYD47"/>
      <c r="CYE47"/>
      <c r="CYF47"/>
      <c r="CYG47"/>
      <c r="CYH47"/>
      <c r="CYI47"/>
      <c r="CYJ47"/>
      <c r="CYK47"/>
      <c r="CYL47"/>
      <c r="CYM47"/>
      <c r="CYN47"/>
      <c r="CYO47"/>
      <c r="CYP47"/>
      <c r="CYQ47"/>
      <c r="CYR47"/>
      <c r="CYS47"/>
      <c r="CYT47"/>
      <c r="CYU47"/>
      <c r="CYV47"/>
      <c r="CYW47"/>
      <c r="CYX47"/>
      <c r="CYY47"/>
      <c r="CYZ47"/>
      <c r="CZA47"/>
      <c r="CZB47"/>
      <c r="CZC47"/>
      <c r="CZD47"/>
      <c r="CZE47"/>
      <c r="CZF47"/>
      <c r="CZG47"/>
      <c r="CZH47"/>
      <c r="CZI47"/>
      <c r="CZJ47"/>
      <c r="CZK47"/>
      <c r="CZL47"/>
      <c r="CZM47"/>
      <c r="CZN47"/>
      <c r="CZO47"/>
      <c r="CZP47"/>
      <c r="CZQ47"/>
      <c r="CZR47"/>
      <c r="CZS47"/>
      <c r="CZT47"/>
      <c r="CZU47"/>
      <c r="CZV47"/>
      <c r="CZW47"/>
      <c r="CZX47"/>
      <c r="CZY47"/>
      <c r="CZZ47"/>
      <c r="DAA47"/>
      <c r="DAB47"/>
      <c r="DAC47"/>
      <c r="DAD47"/>
      <c r="DAE47"/>
      <c r="DAF47"/>
      <c r="DAG47"/>
      <c r="DAH47"/>
      <c r="DAI47"/>
      <c r="DAJ47"/>
      <c r="DAK47"/>
      <c r="DAL47"/>
      <c r="DAM47"/>
      <c r="DAN47"/>
      <c r="DAO47"/>
      <c r="DAP47"/>
      <c r="DAQ47"/>
      <c r="DAR47"/>
      <c r="DAS47"/>
      <c r="DAT47"/>
      <c r="DAU47"/>
      <c r="DAV47"/>
      <c r="DAW47"/>
      <c r="DAX47"/>
      <c r="DAY47"/>
      <c r="DAZ47"/>
      <c r="DBA47"/>
      <c r="DBB47"/>
      <c r="DBC47"/>
      <c r="DBD47"/>
      <c r="DBE47"/>
      <c r="DBF47"/>
      <c r="DBG47"/>
      <c r="DBH47"/>
      <c r="DBI47"/>
      <c r="DBJ47"/>
      <c r="DBK47"/>
      <c r="DBL47"/>
      <c r="DBM47"/>
      <c r="DBN47"/>
      <c r="DBO47"/>
      <c r="DBP47"/>
      <c r="DBQ47"/>
      <c r="DBR47"/>
      <c r="DBS47"/>
      <c r="DBT47"/>
      <c r="DBU47"/>
      <c r="DBV47"/>
      <c r="DBW47"/>
      <c r="DBX47"/>
      <c r="DBY47"/>
      <c r="DBZ47"/>
      <c r="DCA47"/>
      <c r="DCB47"/>
      <c r="DCC47"/>
      <c r="DCD47"/>
      <c r="DCE47"/>
      <c r="DCF47"/>
      <c r="DCG47"/>
      <c r="DCH47"/>
      <c r="DCI47"/>
      <c r="DCJ47"/>
      <c r="DCK47"/>
      <c r="DCL47"/>
      <c r="DCM47"/>
      <c r="DCN47"/>
      <c r="DCO47"/>
      <c r="DCP47"/>
      <c r="DCQ47"/>
      <c r="DCR47"/>
      <c r="DCS47"/>
      <c r="DCT47"/>
      <c r="DCU47"/>
      <c r="DCV47"/>
      <c r="DCW47"/>
      <c r="DCX47"/>
      <c r="DCY47"/>
      <c r="DCZ47"/>
      <c r="DDA47"/>
      <c r="DDB47"/>
      <c r="DDC47"/>
      <c r="DDD47"/>
      <c r="DDE47"/>
      <c r="DDF47"/>
      <c r="DDG47"/>
      <c r="DDH47"/>
      <c r="DDI47"/>
      <c r="DDJ47"/>
      <c r="DDK47"/>
      <c r="DDL47"/>
      <c r="DDM47"/>
      <c r="DDN47"/>
      <c r="DDO47"/>
      <c r="DDP47"/>
      <c r="DDQ47"/>
      <c r="DDR47"/>
      <c r="DDS47"/>
      <c r="DDT47"/>
      <c r="DDU47"/>
      <c r="DDV47"/>
      <c r="DDW47"/>
      <c r="DDX47"/>
      <c r="DDY47"/>
      <c r="DDZ47"/>
      <c r="DEA47"/>
      <c r="DEB47"/>
      <c r="DEC47"/>
      <c r="DED47"/>
      <c r="DEE47"/>
      <c r="DEF47"/>
      <c r="DEG47"/>
      <c r="DEH47"/>
      <c r="DEI47"/>
      <c r="DEJ47"/>
      <c r="DEK47"/>
      <c r="DEL47"/>
      <c r="DEM47"/>
      <c r="DEN47"/>
      <c r="DEO47"/>
      <c r="DEP47"/>
      <c r="DEQ47"/>
      <c r="DER47"/>
      <c r="DES47"/>
      <c r="DET47"/>
      <c r="DEU47"/>
      <c r="DEV47"/>
      <c r="DEW47"/>
      <c r="DEX47"/>
      <c r="DEY47"/>
      <c r="DEZ47"/>
      <c r="DFA47"/>
      <c r="DFB47"/>
      <c r="DFC47"/>
      <c r="DFD47"/>
      <c r="DFE47"/>
      <c r="DFF47"/>
      <c r="DFG47"/>
      <c r="DFH47"/>
      <c r="DFI47"/>
      <c r="DFJ47"/>
      <c r="DFK47"/>
      <c r="DFL47"/>
      <c r="DFM47"/>
      <c r="DFN47"/>
      <c r="DFO47"/>
      <c r="DFP47"/>
      <c r="DFQ47"/>
      <c r="DFR47"/>
      <c r="DFS47"/>
      <c r="DFT47"/>
      <c r="DFU47"/>
      <c r="DFV47"/>
      <c r="DFW47"/>
      <c r="DFX47"/>
      <c r="DFY47"/>
      <c r="DFZ47"/>
      <c r="DGA47"/>
      <c r="DGB47"/>
      <c r="DGC47"/>
      <c r="DGD47"/>
      <c r="DGE47"/>
      <c r="DGF47"/>
      <c r="DGG47"/>
      <c r="DGH47"/>
      <c r="DGI47"/>
      <c r="DGJ47"/>
      <c r="DGK47"/>
      <c r="DGL47"/>
      <c r="DGM47"/>
      <c r="DGN47"/>
      <c r="DGO47"/>
      <c r="DGP47"/>
      <c r="DGQ47"/>
      <c r="DGR47"/>
      <c r="DGS47"/>
      <c r="DGT47"/>
      <c r="DGU47"/>
      <c r="DGV47"/>
      <c r="DGW47"/>
      <c r="DGX47"/>
      <c r="DGY47"/>
      <c r="DGZ47"/>
      <c r="DHA47"/>
      <c r="DHB47"/>
      <c r="DHC47"/>
      <c r="DHD47"/>
      <c r="DHE47"/>
      <c r="DHF47"/>
      <c r="DHG47"/>
      <c r="DHH47"/>
      <c r="DHI47"/>
      <c r="DHJ47"/>
      <c r="DHK47"/>
      <c r="DHL47"/>
      <c r="DHM47"/>
      <c r="DHN47"/>
      <c r="DHO47"/>
      <c r="DHP47"/>
      <c r="DHQ47"/>
      <c r="DHR47"/>
      <c r="DHS47"/>
      <c r="DHT47"/>
      <c r="DHU47"/>
      <c r="DHV47"/>
      <c r="DHW47"/>
      <c r="DHX47"/>
      <c r="DHY47"/>
      <c r="DHZ47"/>
      <c r="DIA47"/>
      <c r="DIB47"/>
      <c r="DIC47"/>
      <c r="DID47"/>
      <c r="DIE47"/>
      <c r="DIF47"/>
      <c r="DIG47"/>
      <c r="DIH47"/>
      <c r="DII47"/>
      <c r="DIJ47"/>
      <c r="DIK47"/>
      <c r="DIL47"/>
      <c r="DIM47"/>
      <c r="DIN47"/>
      <c r="DIO47"/>
      <c r="DIP47"/>
      <c r="DIQ47"/>
      <c r="DIR47"/>
      <c r="DIS47"/>
      <c r="DIT47"/>
      <c r="DIU47"/>
      <c r="DIV47"/>
      <c r="DIW47"/>
      <c r="DIX47"/>
      <c r="DIY47"/>
      <c r="DIZ47"/>
      <c r="DJA47"/>
      <c r="DJB47"/>
      <c r="DJC47"/>
      <c r="DJD47"/>
      <c r="DJE47"/>
      <c r="DJF47"/>
      <c r="DJG47"/>
      <c r="DJH47"/>
      <c r="DJI47"/>
      <c r="DJJ47"/>
      <c r="DJK47"/>
      <c r="DJL47"/>
      <c r="DJM47"/>
      <c r="DJN47"/>
      <c r="DJO47"/>
      <c r="DJP47"/>
      <c r="DJQ47"/>
      <c r="DJR47"/>
      <c r="DJS47"/>
      <c r="DJT47"/>
      <c r="DJU47"/>
      <c r="DJV47"/>
      <c r="DJW47"/>
      <c r="DJX47"/>
      <c r="DJY47"/>
      <c r="DJZ47"/>
      <c r="DKA47"/>
      <c r="DKB47"/>
      <c r="DKC47"/>
      <c r="DKD47"/>
      <c r="DKE47"/>
      <c r="DKF47"/>
      <c r="DKG47"/>
      <c r="DKH47"/>
      <c r="DKI47"/>
      <c r="DKJ47"/>
      <c r="DKK47"/>
      <c r="DKL47"/>
      <c r="DKM47"/>
      <c r="DKN47"/>
      <c r="DKO47"/>
      <c r="DKP47"/>
      <c r="DKQ47"/>
      <c r="DKR47"/>
      <c r="DKS47"/>
      <c r="DKT47"/>
      <c r="DKU47"/>
      <c r="DKV47"/>
      <c r="DKW47"/>
      <c r="DKX47"/>
      <c r="DKY47"/>
      <c r="DKZ47"/>
      <c r="DLA47"/>
      <c r="DLB47"/>
      <c r="DLC47"/>
      <c r="DLD47"/>
      <c r="DLE47"/>
      <c r="DLF47"/>
      <c r="DLG47"/>
      <c r="DLH47"/>
      <c r="DLI47"/>
      <c r="DLJ47"/>
      <c r="DLK47"/>
      <c r="DLL47"/>
      <c r="DLM47"/>
      <c r="DLN47"/>
      <c r="DLO47"/>
      <c r="DLP47"/>
      <c r="DLQ47"/>
      <c r="DLR47"/>
      <c r="DLS47"/>
      <c r="DLT47"/>
      <c r="DLU47"/>
      <c r="DLV47"/>
      <c r="DLW47"/>
      <c r="DLX47"/>
      <c r="DLY47"/>
      <c r="DLZ47"/>
      <c r="DMA47"/>
      <c r="DMB47"/>
      <c r="DMC47"/>
      <c r="DMD47"/>
      <c r="DME47"/>
      <c r="DMF47"/>
      <c r="DMG47"/>
      <c r="DMH47"/>
      <c r="DMI47"/>
      <c r="DMJ47"/>
      <c r="DMK47"/>
      <c r="DML47"/>
      <c r="DMM47"/>
      <c r="DMN47"/>
      <c r="DMO47"/>
      <c r="DMP47"/>
      <c r="DMQ47"/>
      <c r="DMR47"/>
      <c r="DMS47"/>
      <c r="DMT47"/>
      <c r="DMU47"/>
      <c r="DMV47"/>
      <c r="DMW47"/>
      <c r="DMX47"/>
      <c r="DMY47"/>
      <c r="DMZ47"/>
      <c r="DNA47"/>
      <c r="DNB47"/>
      <c r="DNC47"/>
      <c r="DND47"/>
      <c r="DNE47"/>
      <c r="DNF47"/>
      <c r="DNG47"/>
      <c r="DNH47"/>
      <c r="DNI47"/>
      <c r="DNJ47"/>
      <c r="DNK47"/>
      <c r="DNL47"/>
      <c r="DNM47"/>
      <c r="DNN47"/>
      <c r="DNO47"/>
      <c r="DNP47"/>
      <c r="DNQ47"/>
      <c r="DNR47"/>
      <c r="DNS47"/>
      <c r="DNT47"/>
      <c r="DNU47"/>
      <c r="DNV47"/>
      <c r="DNW47"/>
      <c r="DNX47"/>
      <c r="DNY47"/>
      <c r="DNZ47"/>
      <c r="DOA47"/>
      <c r="DOB47"/>
      <c r="DOC47"/>
      <c r="DOD47"/>
      <c r="DOE47"/>
      <c r="DOF47"/>
      <c r="DOG47"/>
      <c r="DOH47"/>
      <c r="DOI47"/>
      <c r="DOJ47"/>
      <c r="DOK47"/>
      <c r="DOL47"/>
      <c r="DOM47"/>
      <c r="DON47"/>
      <c r="DOO47"/>
      <c r="DOP47"/>
      <c r="DOQ47"/>
      <c r="DOR47"/>
      <c r="DOS47"/>
      <c r="DOT47"/>
      <c r="DOU47"/>
      <c r="DOV47"/>
      <c r="DOW47"/>
      <c r="DOX47"/>
      <c r="DOY47"/>
      <c r="DOZ47"/>
      <c r="DPA47"/>
      <c r="DPB47"/>
      <c r="DPC47"/>
      <c r="DPD47"/>
      <c r="DPE47"/>
      <c r="DPF47"/>
      <c r="DPG47"/>
      <c r="DPH47"/>
      <c r="DPI47"/>
      <c r="DPJ47"/>
      <c r="DPK47"/>
      <c r="DPL47"/>
      <c r="DPM47"/>
      <c r="DPN47"/>
      <c r="DPO47"/>
      <c r="DPP47"/>
      <c r="DPQ47"/>
      <c r="DPR47"/>
      <c r="DPS47"/>
      <c r="DPT47"/>
      <c r="DPU47"/>
      <c r="DPV47"/>
      <c r="DPW47"/>
      <c r="DPX47"/>
      <c r="DPY47"/>
      <c r="DPZ47"/>
      <c r="DQA47"/>
      <c r="DQB47"/>
      <c r="DQC47"/>
      <c r="DQD47"/>
      <c r="DQE47"/>
      <c r="DQF47"/>
      <c r="DQG47"/>
      <c r="DQH47"/>
      <c r="DQI47"/>
      <c r="DQJ47"/>
      <c r="DQK47"/>
      <c r="DQL47"/>
      <c r="DQM47"/>
      <c r="DQN47"/>
      <c r="DQO47"/>
      <c r="DQP47"/>
      <c r="DQQ47"/>
      <c r="DQR47"/>
      <c r="DQS47"/>
      <c r="DQT47"/>
      <c r="DQU47"/>
      <c r="DQV47"/>
      <c r="DQW47"/>
      <c r="DQX47"/>
      <c r="DQY47"/>
      <c r="DQZ47"/>
      <c r="DRA47"/>
      <c r="DRB47"/>
      <c r="DRC47"/>
      <c r="DRD47"/>
      <c r="DRE47"/>
      <c r="DRF47"/>
      <c r="DRG47"/>
      <c r="DRH47"/>
      <c r="DRI47"/>
      <c r="DRJ47"/>
      <c r="DRK47"/>
      <c r="DRL47"/>
      <c r="DRM47"/>
      <c r="DRN47"/>
      <c r="DRO47"/>
      <c r="DRP47"/>
      <c r="DRQ47"/>
      <c r="DRR47"/>
      <c r="DRS47"/>
      <c r="DRT47"/>
      <c r="DRU47"/>
      <c r="DRV47"/>
      <c r="DRW47"/>
      <c r="DRX47"/>
      <c r="DRY47"/>
      <c r="DRZ47"/>
      <c r="DSA47"/>
      <c r="DSB47"/>
      <c r="DSC47"/>
      <c r="DSD47"/>
      <c r="DSE47"/>
      <c r="DSF47"/>
      <c r="DSG47"/>
      <c r="DSH47"/>
      <c r="DSI47"/>
      <c r="DSJ47"/>
      <c r="DSK47"/>
      <c r="DSL47"/>
      <c r="DSM47"/>
      <c r="DSN47"/>
      <c r="DSO47"/>
      <c r="DSP47"/>
      <c r="DSQ47"/>
      <c r="DSR47"/>
      <c r="DSS47"/>
      <c r="DST47"/>
      <c r="DSU47"/>
      <c r="DSV47"/>
      <c r="DSW47"/>
      <c r="DSX47"/>
      <c r="DSY47"/>
      <c r="DSZ47"/>
      <c r="DTA47"/>
      <c r="DTB47"/>
      <c r="DTC47"/>
      <c r="DTD47"/>
      <c r="DTE47"/>
      <c r="DTF47"/>
      <c r="DTG47"/>
      <c r="DTH47"/>
      <c r="DTI47"/>
      <c r="DTJ47"/>
      <c r="DTK47"/>
      <c r="DTL47"/>
      <c r="DTM47"/>
      <c r="DTN47"/>
      <c r="DTO47"/>
      <c r="DTP47"/>
      <c r="DTQ47"/>
      <c r="DTR47"/>
      <c r="DTS47"/>
      <c r="DTT47"/>
      <c r="DTU47"/>
      <c r="DTV47"/>
      <c r="DTW47"/>
      <c r="DTX47"/>
      <c r="DTY47"/>
      <c r="DTZ47"/>
      <c r="DUA47"/>
      <c r="DUB47"/>
      <c r="DUC47"/>
      <c r="DUD47"/>
      <c r="DUE47"/>
      <c r="DUF47"/>
      <c r="DUG47"/>
      <c r="DUH47"/>
      <c r="DUI47"/>
      <c r="DUJ47"/>
      <c r="DUK47"/>
      <c r="DUL47"/>
      <c r="DUM47"/>
      <c r="DUN47"/>
      <c r="DUO47"/>
      <c r="DUP47"/>
      <c r="DUQ47"/>
      <c r="DUR47"/>
      <c r="DUS47"/>
      <c r="DUT47"/>
      <c r="DUU47"/>
      <c r="DUV47"/>
      <c r="DUW47"/>
      <c r="DUX47"/>
      <c r="DUY47"/>
      <c r="DUZ47"/>
      <c r="DVA47"/>
      <c r="DVB47"/>
      <c r="DVC47"/>
      <c r="DVD47"/>
      <c r="DVE47"/>
      <c r="DVF47"/>
      <c r="DVG47"/>
      <c r="DVH47"/>
      <c r="DVI47"/>
      <c r="DVJ47"/>
      <c r="DVK47"/>
      <c r="DVL47"/>
      <c r="DVM47"/>
      <c r="DVN47"/>
      <c r="DVO47"/>
      <c r="DVP47"/>
      <c r="DVQ47"/>
      <c r="DVR47"/>
      <c r="DVS47"/>
      <c r="DVT47"/>
      <c r="DVU47"/>
      <c r="DVV47"/>
      <c r="DVW47"/>
      <c r="DVX47"/>
      <c r="DVY47"/>
      <c r="DVZ47"/>
      <c r="DWA47"/>
      <c r="DWB47"/>
      <c r="DWC47"/>
      <c r="DWD47"/>
      <c r="DWE47"/>
      <c r="DWF47"/>
      <c r="DWG47"/>
      <c r="DWH47"/>
      <c r="DWI47"/>
      <c r="DWJ47"/>
      <c r="DWK47"/>
      <c r="DWL47"/>
      <c r="DWM47"/>
      <c r="DWN47"/>
      <c r="DWO47"/>
      <c r="DWP47"/>
      <c r="DWQ47"/>
      <c r="DWR47"/>
      <c r="DWS47"/>
      <c r="DWT47"/>
      <c r="DWU47"/>
      <c r="DWV47"/>
      <c r="DWW47"/>
      <c r="DWX47"/>
      <c r="DWY47"/>
      <c r="DWZ47"/>
      <c r="DXA47"/>
      <c r="DXB47"/>
      <c r="DXC47"/>
      <c r="DXD47"/>
      <c r="DXE47"/>
      <c r="DXF47"/>
      <c r="DXG47"/>
      <c r="DXH47"/>
      <c r="DXI47"/>
      <c r="DXJ47"/>
      <c r="DXK47"/>
      <c r="DXL47"/>
      <c r="DXM47"/>
      <c r="DXN47"/>
      <c r="DXO47"/>
      <c r="DXP47"/>
      <c r="DXQ47"/>
      <c r="DXR47"/>
      <c r="DXS47"/>
      <c r="DXT47"/>
      <c r="DXU47"/>
      <c r="DXV47"/>
      <c r="DXW47"/>
      <c r="DXX47"/>
      <c r="DXY47"/>
      <c r="DXZ47"/>
      <c r="DYA47"/>
      <c r="DYB47"/>
      <c r="DYC47"/>
      <c r="DYD47"/>
      <c r="DYE47"/>
      <c r="DYF47"/>
      <c r="DYG47"/>
      <c r="DYH47"/>
      <c r="DYI47"/>
      <c r="DYJ47"/>
      <c r="DYK47"/>
      <c r="DYL47"/>
      <c r="DYM47"/>
      <c r="DYN47"/>
      <c r="DYO47"/>
      <c r="DYP47"/>
      <c r="DYQ47"/>
      <c r="DYR47"/>
      <c r="DYS47"/>
      <c r="DYT47"/>
      <c r="DYU47"/>
      <c r="DYV47"/>
      <c r="DYW47"/>
      <c r="DYX47"/>
      <c r="DYY47"/>
      <c r="DYZ47"/>
      <c r="DZA47"/>
      <c r="DZB47"/>
      <c r="DZC47"/>
      <c r="DZD47"/>
      <c r="DZE47"/>
      <c r="DZF47"/>
      <c r="DZG47"/>
      <c r="DZH47"/>
      <c r="DZI47"/>
      <c r="DZJ47"/>
      <c r="DZK47"/>
      <c r="DZL47"/>
      <c r="DZM47"/>
      <c r="DZN47"/>
      <c r="DZO47"/>
      <c r="DZP47"/>
      <c r="DZQ47"/>
      <c r="DZR47"/>
      <c r="DZS47"/>
      <c r="DZT47"/>
      <c r="DZU47"/>
      <c r="DZV47"/>
      <c r="DZW47"/>
      <c r="DZX47"/>
      <c r="DZY47"/>
      <c r="DZZ47"/>
      <c r="EAA47"/>
      <c r="EAB47"/>
      <c r="EAC47"/>
      <c r="EAD47"/>
      <c r="EAE47"/>
      <c r="EAF47"/>
      <c r="EAG47"/>
      <c r="EAH47"/>
      <c r="EAI47"/>
      <c r="EAJ47"/>
      <c r="EAK47"/>
      <c r="EAL47"/>
      <c r="EAM47"/>
      <c r="EAN47"/>
      <c r="EAO47"/>
      <c r="EAP47"/>
      <c r="EAQ47"/>
      <c r="EAR47"/>
      <c r="EAS47"/>
      <c r="EAT47"/>
      <c r="EAU47"/>
      <c r="EAV47"/>
      <c r="EAW47"/>
      <c r="EAX47"/>
      <c r="EAY47"/>
      <c r="EAZ47"/>
      <c r="EBA47"/>
      <c r="EBB47"/>
      <c r="EBC47"/>
      <c r="EBD47"/>
      <c r="EBE47"/>
      <c r="EBF47"/>
      <c r="EBG47"/>
      <c r="EBH47"/>
      <c r="EBI47"/>
      <c r="EBJ47"/>
      <c r="EBK47"/>
      <c r="EBL47"/>
      <c r="EBM47"/>
      <c r="EBN47"/>
      <c r="EBO47"/>
      <c r="EBP47"/>
      <c r="EBQ47"/>
      <c r="EBR47"/>
      <c r="EBS47"/>
      <c r="EBT47"/>
      <c r="EBU47"/>
      <c r="EBV47"/>
      <c r="EBW47"/>
      <c r="EBX47"/>
      <c r="EBY47"/>
      <c r="EBZ47"/>
      <c r="ECA47"/>
      <c r="ECB47"/>
      <c r="ECC47"/>
      <c r="ECD47"/>
      <c r="ECE47"/>
      <c r="ECF47"/>
      <c r="ECG47"/>
      <c r="ECH47"/>
      <c r="ECI47"/>
      <c r="ECJ47"/>
      <c r="ECK47"/>
      <c r="ECL47"/>
      <c r="ECM47"/>
      <c r="ECN47"/>
      <c r="ECO47"/>
      <c r="ECP47"/>
      <c r="ECQ47"/>
      <c r="ECR47"/>
      <c r="ECS47"/>
      <c r="ECT47"/>
      <c r="ECU47"/>
      <c r="ECV47"/>
      <c r="ECW47"/>
      <c r="ECX47"/>
      <c r="ECY47"/>
      <c r="ECZ47"/>
      <c r="EDA47"/>
      <c r="EDB47"/>
      <c r="EDC47"/>
      <c r="EDD47"/>
      <c r="EDE47"/>
      <c r="EDF47"/>
      <c r="EDG47"/>
      <c r="EDH47"/>
      <c r="EDI47"/>
      <c r="EDJ47"/>
      <c r="EDK47"/>
      <c r="EDL47"/>
      <c r="EDM47"/>
      <c r="EDN47"/>
      <c r="EDO47"/>
      <c r="EDP47"/>
      <c r="EDQ47"/>
      <c r="EDR47"/>
      <c r="EDS47"/>
      <c r="EDT47"/>
      <c r="EDU47"/>
      <c r="EDV47"/>
      <c r="EDW47"/>
      <c r="EDX47"/>
      <c r="EDY47"/>
      <c r="EDZ47"/>
      <c r="EEA47"/>
      <c r="EEB47"/>
      <c r="EEC47"/>
      <c r="EED47"/>
      <c r="EEE47"/>
      <c r="EEF47"/>
      <c r="EEG47"/>
      <c r="EEH47"/>
      <c r="EEI47"/>
      <c r="EEJ47"/>
      <c r="EEK47"/>
      <c r="EEL47"/>
      <c r="EEM47"/>
      <c r="EEN47"/>
      <c r="EEO47"/>
      <c r="EEP47"/>
      <c r="EEQ47"/>
      <c r="EER47"/>
      <c r="EES47"/>
      <c r="EET47"/>
      <c r="EEU47"/>
      <c r="EEV47"/>
      <c r="EEW47"/>
      <c r="EEX47"/>
      <c r="EEY47"/>
      <c r="EEZ47"/>
      <c r="EFA47"/>
      <c r="EFB47"/>
      <c r="EFC47"/>
      <c r="EFD47"/>
      <c r="EFE47"/>
      <c r="EFF47"/>
      <c r="EFG47"/>
      <c r="EFH47"/>
      <c r="EFI47"/>
      <c r="EFJ47"/>
      <c r="EFK47"/>
      <c r="EFL47"/>
      <c r="EFM47"/>
      <c r="EFN47"/>
      <c r="EFO47"/>
      <c r="EFP47"/>
      <c r="EFQ47"/>
      <c r="EFR47"/>
      <c r="EFS47"/>
      <c r="EFT47"/>
      <c r="EFU47"/>
      <c r="EFV47"/>
      <c r="EFW47"/>
      <c r="EFX47"/>
      <c r="EFY47"/>
      <c r="EFZ47"/>
      <c r="EGA47"/>
      <c r="EGB47"/>
      <c r="EGC47"/>
      <c r="EGD47"/>
      <c r="EGE47"/>
      <c r="EGF47"/>
      <c r="EGG47"/>
      <c r="EGH47"/>
      <c r="EGI47"/>
      <c r="EGJ47"/>
      <c r="EGK47"/>
      <c r="EGL47"/>
      <c r="EGM47"/>
      <c r="EGN47"/>
      <c r="EGO47"/>
      <c r="EGP47"/>
      <c r="EGQ47"/>
      <c r="EGR47"/>
      <c r="EGS47"/>
      <c r="EGT47"/>
      <c r="EGU47"/>
      <c r="EGV47"/>
      <c r="EGW47"/>
      <c r="EGX47"/>
      <c r="EGY47"/>
      <c r="EGZ47"/>
      <c r="EHA47"/>
      <c r="EHB47"/>
      <c r="EHC47"/>
      <c r="EHD47"/>
      <c r="EHE47"/>
      <c r="EHF47"/>
      <c r="EHG47"/>
      <c r="EHH47"/>
      <c r="EHI47"/>
      <c r="EHJ47"/>
      <c r="EHK47"/>
      <c r="EHL47"/>
      <c r="EHM47"/>
      <c r="EHN47"/>
      <c r="EHO47"/>
      <c r="EHP47"/>
      <c r="EHQ47"/>
      <c r="EHR47"/>
      <c r="EHS47"/>
      <c r="EHT47"/>
      <c r="EHU47"/>
      <c r="EHV47"/>
      <c r="EHW47"/>
      <c r="EHX47"/>
      <c r="EHY47"/>
      <c r="EHZ47"/>
      <c r="EIA47"/>
      <c r="EIB47"/>
      <c r="EIC47"/>
      <c r="EID47"/>
      <c r="EIE47"/>
      <c r="EIF47"/>
      <c r="EIG47"/>
      <c r="EIH47"/>
      <c r="EII47"/>
      <c r="EIJ47"/>
      <c r="EIK47"/>
      <c r="EIL47"/>
      <c r="EIM47"/>
      <c r="EIN47"/>
      <c r="EIO47"/>
      <c r="EIP47"/>
      <c r="EIQ47"/>
      <c r="EIR47"/>
      <c r="EIS47"/>
      <c r="EIT47"/>
      <c r="EIU47"/>
      <c r="EIV47"/>
      <c r="EIW47"/>
      <c r="EIX47"/>
      <c r="EIY47"/>
      <c r="EIZ47"/>
      <c r="EJA47"/>
      <c r="EJB47"/>
      <c r="EJC47"/>
      <c r="EJD47"/>
      <c r="EJE47"/>
      <c r="EJF47"/>
      <c r="EJG47"/>
      <c r="EJH47"/>
      <c r="EJI47"/>
      <c r="EJJ47"/>
      <c r="EJK47"/>
      <c r="EJL47"/>
      <c r="EJM47"/>
      <c r="EJN47"/>
      <c r="EJO47"/>
      <c r="EJP47"/>
      <c r="EJQ47"/>
      <c r="EJR47"/>
      <c r="EJS47"/>
      <c r="EJT47"/>
      <c r="EJU47"/>
      <c r="EJV47"/>
      <c r="EJW47"/>
      <c r="EJX47"/>
      <c r="EJY47"/>
      <c r="EJZ47"/>
      <c r="EKA47"/>
      <c r="EKB47"/>
      <c r="EKC47"/>
      <c r="EKD47"/>
      <c r="EKE47"/>
      <c r="EKF47"/>
      <c r="EKG47"/>
      <c r="EKH47"/>
      <c r="EKI47"/>
      <c r="EKJ47"/>
      <c r="EKK47"/>
      <c r="EKL47"/>
      <c r="EKM47"/>
      <c r="EKN47"/>
      <c r="EKO47"/>
      <c r="EKP47"/>
      <c r="EKQ47"/>
      <c r="EKR47"/>
      <c r="EKS47"/>
      <c r="EKT47"/>
      <c r="EKU47"/>
      <c r="EKV47"/>
      <c r="EKW47"/>
      <c r="EKX47"/>
      <c r="EKY47"/>
      <c r="EKZ47"/>
      <c r="ELA47"/>
      <c r="ELB47"/>
      <c r="ELC47"/>
      <c r="ELD47"/>
      <c r="ELE47"/>
      <c r="ELF47"/>
      <c r="ELG47"/>
      <c r="ELH47"/>
      <c r="ELI47"/>
      <c r="ELJ47"/>
      <c r="ELK47"/>
      <c r="ELL47"/>
      <c r="ELM47"/>
      <c r="ELN47"/>
      <c r="ELO47"/>
      <c r="ELP47"/>
      <c r="ELQ47"/>
      <c r="ELR47"/>
      <c r="ELS47"/>
      <c r="ELT47"/>
      <c r="ELU47"/>
      <c r="ELV47"/>
      <c r="ELW47"/>
      <c r="ELX47"/>
      <c r="ELY47"/>
      <c r="ELZ47"/>
      <c r="EMA47"/>
      <c r="EMB47"/>
      <c r="EMC47"/>
      <c r="EMD47"/>
      <c r="EME47"/>
      <c r="EMF47"/>
      <c r="EMG47"/>
      <c r="EMH47"/>
      <c r="EMI47"/>
      <c r="EMJ47"/>
      <c r="EMK47"/>
      <c r="EML47"/>
      <c r="EMM47"/>
      <c r="EMN47"/>
      <c r="EMO47"/>
      <c r="EMP47"/>
      <c r="EMQ47"/>
      <c r="EMR47"/>
      <c r="EMS47"/>
      <c r="EMT47"/>
      <c r="EMU47"/>
      <c r="EMV47"/>
      <c r="EMW47"/>
      <c r="EMX47"/>
      <c r="EMY47"/>
      <c r="EMZ47"/>
      <c r="ENA47"/>
      <c r="ENB47"/>
      <c r="ENC47"/>
      <c r="END47"/>
      <c r="ENE47"/>
      <c r="ENF47"/>
      <c r="ENG47"/>
      <c r="ENH47"/>
      <c r="ENI47"/>
      <c r="ENJ47"/>
      <c r="ENK47"/>
      <c r="ENL47"/>
      <c r="ENM47"/>
      <c r="ENN47"/>
      <c r="ENO47"/>
      <c r="ENP47"/>
      <c r="ENQ47"/>
      <c r="ENR47"/>
      <c r="ENS47"/>
      <c r="ENT47"/>
      <c r="ENU47"/>
      <c r="ENV47"/>
      <c r="ENW47"/>
      <c r="ENX47"/>
      <c r="ENY47"/>
      <c r="ENZ47"/>
      <c r="EOA47"/>
      <c r="EOB47"/>
      <c r="EOC47"/>
      <c r="EOD47"/>
      <c r="EOE47"/>
      <c r="EOF47"/>
      <c r="EOG47"/>
      <c r="EOH47"/>
      <c r="EOI47"/>
      <c r="EOJ47"/>
      <c r="EOK47"/>
      <c r="EOL47"/>
      <c r="EOM47"/>
      <c r="EON47"/>
      <c r="EOO47"/>
      <c r="EOP47"/>
      <c r="EOQ47"/>
      <c r="EOR47"/>
      <c r="EOS47"/>
      <c r="EOT47"/>
      <c r="EOU47"/>
      <c r="EOV47"/>
      <c r="EOW47"/>
      <c r="EOX47"/>
      <c r="EOY47"/>
      <c r="EOZ47"/>
      <c r="EPA47"/>
      <c r="EPB47"/>
      <c r="EPC47"/>
      <c r="EPD47"/>
      <c r="EPE47"/>
      <c r="EPF47"/>
      <c r="EPG47"/>
      <c r="EPH47"/>
      <c r="EPI47"/>
      <c r="EPJ47"/>
      <c r="EPK47"/>
      <c r="EPL47"/>
      <c r="EPM47"/>
      <c r="EPN47"/>
      <c r="EPO47"/>
      <c r="EPP47"/>
      <c r="EPQ47"/>
      <c r="EPR47"/>
      <c r="EPS47"/>
      <c r="EPT47"/>
      <c r="EPU47"/>
      <c r="EPV47"/>
      <c r="EPW47"/>
      <c r="EPX47"/>
      <c r="EPY47"/>
      <c r="EPZ47"/>
      <c r="EQA47"/>
      <c r="EQB47"/>
      <c r="EQC47"/>
      <c r="EQD47"/>
      <c r="EQE47"/>
      <c r="EQF47"/>
      <c r="EQG47"/>
      <c r="EQH47"/>
      <c r="EQI47"/>
      <c r="EQJ47"/>
      <c r="EQK47"/>
      <c r="EQL47"/>
      <c r="EQM47"/>
      <c r="EQN47"/>
      <c r="EQO47"/>
      <c r="EQP47"/>
      <c r="EQQ47"/>
      <c r="EQR47"/>
      <c r="EQS47"/>
      <c r="EQT47"/>
      <c r="EQU47"/>
      <c r="EQV47"/>
      <c r="EQW47"/>
      <c r="EQX47"/>
      <c r="EQY47"/>
      <c r="EQZ47"/>
      <c r="ERA47"/>
      <c r="ERB47"/>
      <c r="ERC47"/>
      <c r="ERD47"/>
      <c r="ERE47"/>
      <c r="ERF47"/>
      <c r="ERG47"/>
      <c r="ERH47"/>
      <c r="ERI47"/>
      <c r="ERJ47"/>
      <c r="ERK47"/>
      <c r="ERL47"/>
      <c r="ERM47"/>
      <c r="ERN47"/>
      <c r="ERO47"/>
      <c r="ERP47"/>
      <c r="ERQ47"/>
      <c r="ERR47"/>
      <c r="ERS47"/>
      <c r="ERT47"/>
      <c r="ERU47"/>
      <c r="ERV47"/>
      <c r="ERW47"/>
      <c r="ERX47"/>
      <c r="ERY47"/>
      <c r="ERZ47"/>
      <c r="ESA47"/>
      <c r="ESB47"/>
      <c r="ESC47"/>
      <c r="ESD47"/>
      <c r="ESE47"/>
      <c r="ESF47"/>
      <c r="ESG47"/>
      <c r="ESH47"/>
      <c r="ESI47"/>
      <c r="ESJ47"/>
      <c r="ESK47"/>
      <c r="ESL47"/>
      <c r="ESM47"/>
      <c r="ESN47"/>
      <c r="ESO47"/>
      <c r="ESP47"/>
      <c r="ESQ47"/>
      <c r="ESR47"/>
      <c r="ESS47"/>
      <c r="EST47"/>
      <c r="ESU47"/>
      <c r="ESV47"/>
      <c r="ESW47"/>
      <c r="ESX47"/>
      <c r="ESY47"/>
      <c r="ESZ47"/>
      <c r="ETA47"/>
      <c r="ETB47"/>
      <c r="ETC47"/>
      <c r="ETD47"/>
      <c r="ETE47"/>
      <c r="ETF47"/>
      <c r="ETG47"/>
      <c r="ETH47"/>
      <c r="ETI47"/>
      <c r="ETJ47"/>
      <c r="ETK47"/>
      <c r="ETL47"/>
      <c r="ETM47"/>
      <c r="ETN47"/>
      <c r="ETO47"/>
      <c r="ETP47"/>
      <c r="ETQ47"/>
      <c r="ETR47"/>
      <c r="ETS47"/>
      <c r="ETT47"/>
      <c r="ETU47"/>
      <c r="ETV47"/>
      <c r="ETW47"/>
      <c r="ETX47"/>
      <c r="ETY47"/>
      <c r="ETZ47"/>
      <c r="EUA47"/>
      <c r="EUB47"/>
      <c r="EUC47"/>
      <c r="EUD47"/>
      <c r="EUE47"/>
      <c r="EUF47"/>
      <c r="EUG47"/>
      <c r="EUH47"/>
      <c r="EUI47"/>
      <c r="EUJ47"/>
      <c r="EUK47"/>
      <c r="EUL47"/>
      <c r="EUM47"/>
      <c r="EUN47"/>
      <c r="EUO47"/>
      <c r="EUP47"/>
      <c r="EUQ47"/>
      <c r="EUR47"/>
      <c r="EUS47"/>
      <c r="EUT47"/>
      <c r="EUU47"/>
      <c r="EUV47"/>
      <c r="EUW47"/>
      <c r="EUX47"/>
      <c r="EUY47"/>
      <c r="EUZ47"/>
      <c r="EVA47"/>
      <c r="EVB47"/>
      <c r="EVC47"/>
      <c r="EVD47"/>
      <c r="EVE47"/>
      <c r="EVF47"/>
      <c r="EVG47"/>
      <c r="EVH47"/>
      <c r="EVI47"/>
      <c r="EVJ47"/>
      <c r="EVK47"/>
      <c r="EVL47"/>
      <c r="EVM47"/>
      <c r="EVN47"/>
      <c r="EVO47"/>
      <c r="EVP47"/>
      <c r="EVQ47"/>
      <c r="EVR47"/>
      <c r="EVS47"/>
      <c r="EVT47"/>
      <c r="EVU47"/>
      <c r="EVV47"/>
      <c r="EVW47"/>
      <c r="EVX47"/>
      <c r="EVY47"/>
      <c r="EVZ47"/>
      <c r="EWA47"/>
      <c r="EWB47"/>
      <c r="EWC47"/>
      <c r="EWD47"/>
      <c r="EWE47"/>
      <c r="EWF47"/>
      <c r="EWG47"/>
      <c r="EWH47"/>
      <c r="EWI47"/>
      <c r="EWJ47"/>
      <c r="EWK47"/>
      <c r="EWL47"/>
      <c r="EWM47"/>
      <c r="EWN47"/>
      <c r="EWO47"/>
      <c r="EWP47"/>
      <c r="EWQ47"/>
      <c r="EWR47"/>
      <c r="EWS47"/>
      <c r="EWT47"/>
      <c r="EWU47"/>
      <c r="EWV47"/>
      <c r="EWW47"/>
      <c r="EWX47"/>
      <c r="EWY47"/>
      <c r="EWZ47"/>
      <c r="EXA47"/>
      <c r="EXB47"/>
      <c r="EXC47"/>
      <c r="EXD47"/>
      <c r="EXE47"/>
      <c r="EXF47"/>
      <c r="EXG47"/>
      <c r="EXH47"/>
      <c r="EXI47"/>
      <c r="EXJ47"/>
      <c r="EXK47"/>
      <c r="EXL47"/>
      <c r="EXM47"/>
      <c r="EXN47"/>
      <c r="EXO47"/>
      <c r="EXP47"/>
      <c r="EXQ47"/>
      <c r="EXR47"/>
      <c r="EXS47"/>
      <c r="EXT47"/>
      <c r="EXU47"/>
      <c r="EXV47"/>
      <c r="EXW47"/>
      <c r="EXX47"/>
      <c r="EXY47"/>
      <c r="EXZ47"/>
      <c r="EYA47"/>
      <c r="EYB47"/>
      <c r="EYC47"/>
      <c r="EYD47"/>
      <c r="EYE47"/>
      <c r="EYF47"/>
      <c r="EYG47"/>
      <c r="EYH47"/>
      <c r="EYI47"/>
      <c r="EYJ47"/>
      <c r="EYK47"/>
      <c r="EYL47"/>
      <c r="EYM47"/>
      <c r="EYN47"/>
      <c r="EYO47"/>
      <c r="EYP47"/>
      <c r="EYQ47"/>
      <c r="EYR47"/>
      <c r="EYS47"/>
      <c r="EYT47"/>
      <c r="EYU47"/>
      <c r="EYV47"/>
      <c r="EYW47"/>
      <c r="EYX47"/>
      <c r="EYY47"/>
      <c r="EYZ47"/>
      <c r="EZA47"/>
      <c r="EZB47"/>
      <c r="EZC47"/>
      <c r="EZD47"/>
      <c r="EZE47"/>
      <c r="EZF47"/>
      <c r="EZG47"/>
      <c r="EZH47"/>
      <c r="EZI47"/>
      <c r="EZJ47"/>
      <c r="EZK47"/>
      <c r="EZL47"/>
      <c r="EZM47"/>
      <c r="EZN47"/>
      <c r="EZO47"/>
      <c r="EZP47"/>
      <c r="EZQ47"/>
      <c r="EZR47"/>
      <c r="EZS47"/>
      <c r="EZT47"/>
      <c r="EZU47"/>
      <c r="EZV47"/>
      <c r="EZW47"/>
      <c r="EZX47"/>
      <c r="EZY47"/>
      <c r="EZZ47"/>
      <c r="FAA47"/>
      <c r="FAB47"/>
      <c r="FAC47"/>
      <c r="FAD47"/>
      <c r="FAE47"/>
      <c r="FAF47"/>
      <c r="FAG47"/>
      <c r="FAH47"/>
      <c r="FAI47"/>
      <c r="FAJ47"/>
      <c r="FAK47"/>
      <c r="FAL47"/>
      <c r="FAM47"/>
      <c r="FAN47"/>
      <c r="FAO47"/>
      <c r="FAP47"/>
      <c r="FAQ47"/>
      <c r="FAR47"/>
      <c r="FAS47"/>
      <c r="FAT47"/>
      <c r="FAU47"/>
      <c r="FAV47"/>
      <c r="FAW47"/>
      <c r="FAX47"/>
      <c r="FAY47"/>
      <c r="FAZ47"/>
      <c r="FBA47"/>
      <c r="FBB47"/>
      <c r="FBC47"/>
      <c r="FBD47"/>
      <c r="FBE47"/>
      <c r="FBF47"/>
      <c r="FBG47"/>
      <c r="FBH47"/>
      <c r="FBI47"/>
      <c r="FBJ47"/>
      <c r="FBK47"/>
      <c r="FBL47"/>
      <c r="FBM47"/>
      <c r="FBN47"/>
      <c r="FBO47"/>
      <c r="FBP47"/>
      <c r="FBQ47"/>
      <c r="FBR47"/>
      <c r="FBS47"/>
      <c r="FBT47"/>
      <c r="FBU47"/>
      <c r="FBV47"/>
      <c r="FBW47"/>
      <c r="FBX47"/>
      <c r="FBY47"/>
      <c r="FBZ47"/>
      <c r="FCA47"/>
      <c r="FCB47"/>
      <c r="FCC47"/>
      <c r="FCD47"/>
      <c r="FCE47"/>
      <c r="FCF47"/>
      <c r="FCG47"/>
      <c r="FCH47"/>
      <c r="FCI47"/>
      <c r="FCJ47"/>
      <c r="FCK47"/>
      <c r="FCL47"/>
      <c r="FCM47"/>
      <c r="FCN47"/>
      <c r="FCO47"/>
      <c r="FCP47"/>
      <c r="FCQ47"/>
      <c r="FCR47"/>
      <c r="FCS47"/>
      <c r="FCT47"/>
      <c r="FCU47"/>
      <c r="FCV47"/>
      <c r="FCW47"/>
      <c r="FCX47"/>
      <c r="FCY47"/>
      <c r="FCZ47"/>
      <c r="FDA47"/>
      <c r="FDB47"/>
      <c r="FDC47"/>
      <c r="FDD47"/>
      <c r="FDE47"/>
      <c r="FDF47"/>
      <c r="FDG47"/>
      <c r="FDH47"/>
      <c r="FDI47"/>
      <c r="FDJ47"/>
      <c r="FDK47"/>
      <c r="FDL47"/>
      <c r="FDM47"/>
      <c r="FDN47"/>
      <c r="FDO47"/>
      <c r="FDP47"/>
      <c r="FDQ47"/>
      <c r="FDR47"/>
      <c r="FDS47"/>
      <c r="FDT47"/>
      <c r="FDU47"/>
      <c r="FDV47"/>
      <c r="FDW47"/>
      <c r="FDX47"/>
      <c r="FDY47"/>
      <c r="FDZ47"/>
      <c r="FEA47"/>
      <c r="FEB47"/>
      <c r="FEC47"/>
      <c r="FED47"/>
      <c r="FEE47"/>
      <c r="FEF47"/>
      <c r="FEG47"/>
      <c r="FEH47"/>
      <c r="FEI47"/>
      <c r="FEJ47"/>
      <c r="FEK47"/>
      <c r="FEL47"/>
      <c r="FEM47"/>
      <c r="FEN47"/>
      <c r="FEO47"/>
      <c r="FEP47"/>
      <c r="FEQ47"/>
      <c r="FER47"/>
      <c r="FES47"/>
      <c r="FET47"/>
      <c r="FEU47"/>
      <c r="FEV47"/>
      <c r="FEW47"/>
      <c r="FEX47"/>
      <c r="FEY47"/>
      <c r="FEZ47"/>
      <c r="FFA47"/>
      <c r="FFB47"/>
      <c r="FFC47"/>
      <c r="FFD47"/>
      <c r="FFE47"/>
      <c r="FFF47"/>
      <c r="FFG47"/>
      <c r="FFH47"/>
      <c r="FFI47"/>
      <c r="FFJ47"/>
      <c r="FFK47"/>
      <c r="FFL47"/>
      <c r="FFM47"/>
      <c r="FFN47"/>
      <c r="FFO47"/>
      <c r="FFP47"/>
      <c r="FFQ47"/>
      <c r="FFR47"/>
      <c r="FFS47"/>
      <c r="FFT47"/>
      <c r="FFU47"/>
      <c r="FFV47"/>
      <c r="FFW47"/>
      <c r="FFX47"/>
      <c r="FFY47"/>
      <c r="FFZ47"/>
      <c r="FGA47"/>
      <c r="FGB47"/>
      <c r="FGC47"/>
      <c r="FGD47"/>
      <c r="FGE47"/>
      <c r="FGF47"/>
      <c r="FGG47"/>
      <c r="FGH47"/>
      <c r="FGI47"/>
      <c r="FGJ47"/>
      <c r="FGK47"/>
      <c r="FGL47"/>
      <c r="FGM47"/>
      <c r="FGN47"/>
      <c r="FGO47"/>
      <c r="FGP47"/>
      <c r="FGQ47"/>
      <c r="FGR47"/>
      <c r="FGS47"/>
      <c r="FGT47"/>
      <c r="FGU47"/>
      <c r="FGV47"/>
      <c r="FGW47"/>
      <c r="FGX47"/>
      <c r="FGY47"/>
      <c r="FGZ47"/>
      <c r="FHA47"/>
      <c r="FHB47"/>
      <c r="FHC47"/>
      <c r="FHD47"/>
      <c r="FHE47"/>
      <c r="FHF47"/>
      <c r="FHG47"/>
      <c r="FHH47"/>
      <c r="FHI47"/>
      <c r="FHJ47"/>
      <c r="FHK47"/>
      <c r="FHL47"/>
      <c r="FHM47"/>
      <c r="FHN47"/>
      <c r="FHO47"/>
      <c r="FHP47"/>
      <c r="FHQ47"/>
      <c r="FHR47"/>
      <c r="FHS47"/>
      <c r="FHT47"/>
      <c r="FHU47"/>
      <c r="FHV47"/>
      <c r="FHW47"/>
      <c r="FHX47"/>
      <c r="FHY47"/>
      <c r="FHZ47"/>
      <c r="FIA47"/>
      <c r="FIB47"/>
      <c r="FIC47"/>
      <c r="FID47"/>
      <c r="FIE47"/>
      <c r="FIF47"/>
      <c r="FIG47"/>
      <c r="FIH47"/>
      <c r="FII47"/>
      <c r="FIJ47"/>
      <c r="FIK47"/>
      <c r="FIL47"/>
      <c r="FIM47"/>
      <c r="FIN47"/>
      <c r="FIO47"/>
      <c r="FIP47"/>
      <c r="FIQ47"/>
      <c r="FIR47"/>
      <c r="FIS47"/>
      <c r="FIT47"/>
      <c r="FIU47"/>
      <c r="FIV47"/>
      <c r="FIW47"/>
      <c r="FIX47"/>
      <c r="FIY47"/>
      <c r="FIZ47"/>
      <c r="FJA47"/>
      <c r="FJB47"/>
      <c r="FJC47"/>
      <c r="FJD47"/>
      <c r="FJE47"/>
      <c r="FJF47"/>
      <c r="FJG47"/>
      <c r="FJH47"/>
      <c r="FJI47"/>
      <c r="FJJ47"/>
      <c r="FJK47"/>
      <c r="FJL47"/>
      <c r="FJM47"/>
      <c r="FJN47"/>
      <c r="FJO47"/>
      <c r="FJP47"/>
      <c r="FJQ47"/>
      <c r="FJR47"/>
      <c r="FJS47"/>
      <c r="FJT47"/>
      <c r="FJU47"/>
      <c r="FJV47"/>
      <c r="FJW47"/>
      <c r="FJX47"/>
      <c r="FJY47"/>
      <c r="FJZ47"/>
      <c r="FKA47"/>
      <c r="FKB47"/>
      <c r="FKC47"/>
      <c r="FKD47"/>
      <c r="FKE47"/>
      <c r="FKF47"/>
      <c r="FKG47"/>
      <c r="FKH47"/>
      <c r="FKI47"/>
      <c r="FKJ47"/>
      <c r="FKK47"/>
      <c r="FKL47"/>
      <c r="FKM47"/>
      <c r="FKN47"/>
      <c r="FKO47"/>
      <c r="FKP47"/>
      <c r="FKQ47"/>
      <c r="FKR47"/>
      <c r="FKS47"/>
      <c r="FKT47"/>
      <c r="FKU47"/>
      <c r="FKV47"/>
      <c r="FKW47"/>
      <c r="FKX47"/>
      <c r="FKY47"/>
      <c r="FKZ47"/>
      <c r="FLA47"/>
      <c r="FLB47"/>
      <c r="FLC47"/>
      <c r="FLD47"/>
      <c r="FLE47"/>
      <c r="FLF47"/>
      <c r="FLG47"/>
      <c r="FLH47"/>
      <c r="FLI47"/>
      <c r="FLJ47"/>
      <c r="FLK47"/>
      <c r="FLL47"/>
      <c r="FLM47"/>
      <c r="FLN47"/>
      <c r="FLO47"/>
      <c r="FLP47"/>
      <c r="FLQ47"/>
      <c r="FLR47"/>
      <c r="FLS47"/>
      <c r="FLT47"/>
      <c r="FLU47"/>
      <c r="FLV47"/>
      <c r="FLW47"/>
      <c r="FLX47"/>
      <c r="FLY47"/>
      <c r="FLZ47"/>
      <c r="FMA47"/>
      <c r="FMB47"/>
      <c r="FMC47"/>
      <c r="FMD47"/>
      <c r="FME47"/>
      <c r="FMF47"/>
      <c r="FMG47"/>
      <c r="FMH47"/>
      <c r="FMI47"/>
      <c r="FMJ47"/>
      <c r="FMK47"/>
      <c r="FML47"/>
      <c r="FMM47"/>
      <c r="FMN47"/>
      <c r="FMO47"/>
      <c r="FMP47"/>
      <c r="FMQ47"/>
      <c r="FMR47"/>
      <c r="FMS47"/>
      <c r="FMT47"/>
      <c r="FMU47"/>
      <c r="FMV47"/>
      <c r="FMW47"/>
      <c r="FMX47"/>
      <c r="FMY47"/>
      <c r="FMZ47"/>
      <c r="FNA47"/>
      <c r="FNB47"/>
      <c r="FNC47"/>
      <c r="FND47"/>
      <c r="FNE47"/>
      <c r="FNF47"/>
      <c r="FNG47"/>
      <c r="FNH47"/>
      <c r="FNI47"/>
      <c r="FNJ47"/>
      <c r="FNK47"/>
      <c r="FNL47"/>
      <c r="FNM47"/>
      <c r="FNN47"/>
      <c r="FNO47"/>
      <c r="FNP47"/>
      <c r="FNQ47"/>
      <c r="FNR47"/>
      <c r="FNS47"/>
      <c r="FNT47"/>
      <c r="FNU47"/>
      <c r="FNV47"/>
      <c r="FNW47"/>
      <c r="FNX47"/>
      <c r="FNY47"/>
      <c r="FNZ47"/>
      <c r="FOA47"/>
      <c r="FOB47"/>
      <c r="FOC47"/>
      <c r="FOD47"/>
      <c r="FOE47"/>
      <c r="FOF47"/>
      <c r="FOG47"/>
      <c r="FOH47"/>
      <c r="FOI47"/>
      <c r="FOJ47"/>
      <c r="FOK47"/>
      <c r="FOL47"/>
      <c r="FOM47"/>
      <c r="FON47"/>
      <c r="FOO47"/>
      <c r="FOP47"/>
      <c r="FOQ47"/>
      <c r="FOR47"/>
      <c r="FOS47"/>
      <c r="FOT47"/>
      <c r="FOU47"/>
      <c r="FOV47"/>
      <c r="FOW47"/>
      <c r="FOX47"/>
      <c r="FOY47"/>
      <c r="FOZ47"/>
      <c r="FPA47"/>
      <c r="FPB47"/>
      <c r="FPC47"/>
      <c r="FPD47"/>
      <c r="FPE47"/>
      <c r="FPF47"/>
      <c r="FPG47"/>
      <c r="FPH47"/>
      <c r="FPI47"/>
      <c r="FPJ47"/>
      <c r="FPK47"/>
      <c r="FPL47"/>
      <c r="FPM47"/>
      <c r="FPN47"/>
      <c r="FPO47"/>
      <c r="FPP47"/>
      <c r="FPQ47"/>
      <c r="FPR47"/>
      <c r="FPS47"/>
      <c r="FPT47"/>
      <c r="FPU47"/>
      <c r="FPV47"/>
      <c r="FPW47"/>
      <c r="FPX47"/>
      <c r="FPY47"/>
      <c r="FPZ47"/>
      <c r="FQA47"/>
      <c r="FQB47"/>
      <c r="FQC47"/>
      <c r="FQD47"/>
      <c r="FQE47"/>
      <c r="FQF47"/>
      <c r="FQG47"/>
      <c r="FQH47"/>
      <c r="FQI47"/>
      <c r="FQJ47"/>
      <c r="FQK47"/>
      <c r="FQL47"/>
      <c r="FQM47"/>
      <c r="FQN47"/>
      <c r="FQO47"/>
      <c r="FQP47"/>
      <c r="FQQ47"/>
      <c r="FQR47"/>
      <c r="FQS47"/>
      <c r="FQT47"/>
      <c r="FQU47"/>
      <c r="FQV47"/>
      <c r="FQW47"/>
      <c r="FQX47"/>
      <c r="FQY47"/>
      <c r="FQZ47"/>
      <c r="FRA47"/>
      <c r="FRB47"/>
      <c r="FRC47"/>
      <c r="FRD47"/>
      <c r="FRE47"/>
      <c r="FRF47"/>
      <c r="FRG47"/>
      <c r="FRH47"/>
      <c r="FRI47"/>
      <c r="FRJ47"/>
      <c r="FRK47"/>
      <c r="FRL47"/>
      <c r="FRM47"/>
      <c r="FRN47"/>
      <c r="FRO47"/>
      <c r="FRP47"/>
      <c r="FRQ47"/>
      <c r="FRR47"/>
      <c r="FRS47"/>
      <c r="FRT47"/>
      <c r="FRU47"/>
      <c r="FRV47"/>
      <c r="FRW47"/>
      <c r="FRX47"/>
      <c r="FRY47"/>
      <c r="FRZ47"/>
      <c r="FSA47"/>
      <c r="FSB47"/>
      <c r="FSC47"/>
      <c r="FSD47"/>
      <c r="FSE47"/>
      <c r="FSF47"/>
      <c r="FSG47"/>
      <c r="FSH47"/>
      <c r="FSI47"/>
      <c r="FSJ47"/>
      <c r="FSK47"/>
      <c r="FSL47"/>
      <c r="FSM47"/>
      <c r="FSN47"/>
      <c r="FSO47"/>
      <c r="FSP47"/>
      <c r="FSQ47"/>
      <c r="FSR47"/>
      <c r="FSS47"/>
      <c r="FST47"/>
      <c r="FSU47"/>
      <c r="FSV47"/>
      <c r="FSW47"/>
      <c r="FSX47"/>
      <c r="FSY47"/>
      <c r="FSZ47"/>
      <c r="FTA47"/>
      <c r="FTB47"/>
      <c r="FTC47"/>
      <c r="FTD47"/>
      <c r="FTE47"/>
      <c r="FTF47"/>
      <c r="FTG47"/>
      <c r="FTH47"/>
      <c r="FTI47"/>
      <c r="FTJ47"/>
      <c r="FTK47"/>
      <c r="FTL47"/>
      <c r="FTM47"/>
      <c r="FTN47"/>
      <c r="FTO47"/>
      <c r="FTP47"/>
      <c r="FTQ47"/>
      <c r="FTR47"/>
      <c r="FTS47"/>
      <c r="FTT47"/>
      <c r="FTU47"/>
      <c r="FTV47"/>
      <c r="FTW47"/>
      <c r="FTX47"/>
      <c r="FTY47"/>
      <c r="FTZ47"/>
      <c r="FUA47"/>
      <c r="FUB47"/>
      <c r="FUC47"/>
      <c r="FUD47"/>
      <c r="FUE47"/>
      <c r="FUF47"/>
      <c r="FUG47"/>
      <c r="FUH47"/>
      <c r="FUI47"/>
      <c r="FUJ47"/>
      <c r="FUK47"/>
      <c r="FUL47"/>
      <c r="FUM47"/>
      <c r="FUN47"/>
      <c r="FUO47"/>
      <c r="FUP47"/>
      <c r="FUQ47"/>
      <c r="FUR47"/>
      <c r="FUS47"/>
      <c r="FUT47"/>
      <c r="FUU47"/>
      <c r="FUV47"/>
      <c r="FUW47"/>
      <c r="FUX47"/>
      <c r="FUY47"/>
      <c r="FUZ47"/>
      <c r="FVA47"/>
      <c r="FVB47"/>
      <c r="FVC47"/>
      <c r="FVD47"/>
      <c r="FVE47"/>
      <c r="FVF47"/>
      <c r="FVG47"/>
      <c r="FVH47"/>
      <c r="FVI47"/>
      <c r="FVJ47"/>
      <c r="FVK47"/>
      <c r="FVL47"/>
      <c r="FVM47"/>
      <c r="FVN47"/>
      <c r="FVO47"/>
      <c r="FVP47"/>
      <c r="FVQ47"/>
      <c r="FVR47"/>
      <c r="FVS47"/>
      <c r="FVT47"/>
      <c r="FVU47"/>
      <c r="FVV47"/>
      <c r="FVW47"/>
      <c r="FVX47"/>
      <c r="FVY47"/>
      <c r="FVZ47"/>
      <c r="FWA47"/>
      <c r="FWB47"/>
      <c r="FWC47"/>
      <c r="FWD47"/>
      <c r="FWE47"/>
      <c r="FWF47"/>
      <c r="FWG47"/>
      <c r="FWH47"/>
      <c r="FWI47"/>
      <c r="FWJ47"/>
      <c r="FWK47"/>
      <c r="FWL47"/>
      <c r="FWM47"/>
      <c r="FWN47"/>
      <c r="FWO47"/>
      <c r="FWP47"/>
      <c r="FWQ47"/>
      <c r="FWR47"/>
      <c r="FWS47"/>
      <c r="FWT47"/>
      <c r="FWU47"/>
      <c r="FWV47"/>
      <c r="FWW47"/>
      <c r="FWX47"/>
      <c r="FWY47"/>
      <c r="FWZ47"/>
      <c r="FXA47"/>
      <c r="FXB47"/>
      <c r="FXC47"/>
      <c r="FXD47"/>
      <c r="FXE47"/>
      <c r="FXF47"/>
      <c r="FXG47"/>
      <c r="FXH47"/>
      <c r="FXI47"/>
      <c r="FXJ47"/>
      <c r="FXK47"/>
      <c r="FXL47"/>
      <c r="FXM47"/>
      <c r="FXN47"/>
      <c r="FXO47"/>
      <c r="FXP47"/>
      <c r="FXQ47"/>
      <c r="FXR47"/>
      <c r="FXS47"/>
      <c r="FXT47"/>
      <c r="FXU47"/>
      <c r="FXV47"/>
      <c r="FXW47"/>
      <c r="FXX47"/>
      <c r="FXY47"/>
      <c r="FXZ47"/>
      <c r="FYA47"/>
      <c r="FYB47"/>
      <c r="FYC47"/>
      <c r="FYD47"/>
      <c r="FYE47"/>
      <c r="FYF47"/>
      <c r="FYG47"/>
      <c r="FYH47"/>
      <c r="FYI47"/>
      <c r="FYJ47"/>
      <c r="FYK47"/>
      <c r="FYL47"/>
      <c r="FYM47"/>
      <c r="FYN47"/>
      <c r="FYO47"/>
      <c r="FYP47"/>
      <c r="FYQ47"/>
      <c r="FYR47"/>
      <c r="FYS47"/>
      <c r="FYT47"/>
      <c r="FYU47"/>
      <c r="FYV47"/>
      <c r="FYW47"/>
      <c r="FYX47"/>
      <c r="FYY47"/>
      <c r="FYZ47"/>
      <c r="FZA47"/>
      <c r="FZB47"/>
      <c r="FZC47"/>
      <c r="FZD47"/>
      <c r="FZE47"/>
      <c r="FZF47"/>
      <c r="FZG47"/>
      <c r="FZH47"/>
      <c r="FZI47"/>
      <c r="FZJ47"/>
      <c r="FZK47"/>
      <c r="FZL47"/>
      <c r="FZM47"/>
      <c r="FZN47"/>
      <c r="FZO47"/>
      <c r="FZP47"/>
      <c r="FZQ47"/>
      <c r="FZR47"/>
      <c r="FZS47"/>
      <c r="FZT47"/>
      <c r="FZU47"/>
      <c r="FZV47"/>
      <c r="FZW47"/>
      <c r="FZX47"/>
      <c r="FZY47"/>
      <c r="FZZ47"/>
      <c r="GAA47"/>
      <c r="GAB47"/>
      <c r="GAC47"/>
      <c r="GAD47"/>
      <c r="GAE47"/>
      <c r="GAF47"/>
      <c r="GAG47"/>
      <c r="GAH47"/>
      <c r="GAI47"/>
      <c r="GAJ47"/>
      <c r="GAK47"/>
      <c r="GAL47"/>
      <c r="GAM47"/>
      <c r="GAN47"/>
      <c r="GAO47"/>
      <c r="GAP47"/>
      <c r="GAQ47"/>
      <c r="GAR47"/>
      <c r="GAS47"/>
      <c r="GAT47"/>
      <c r="GAU47"/>
      <c r="GAV47"/>
      <c r="GAW47"/>
      <c r="GAX47"/>
      <c r="GAY47"/>
      <c r="GAZ47"/>
      <c r="GBA47"/>
      <c r="GBB47"/>
      <c r="GBC47"/>
      <c r="GBD47"/>
      <c r="GBE47"/>
      <c r="GBF47"/>
      <c r="GBG47"/>
      <c r="GBH47"/>
      <c r="GBI47"/>
      <c r="GBJ47"/>
      <c r="GBK47"/>
      <c r="GBL47"/>
      <c r="GBM47"/>
      <c r="GBN47"/>
      <c r="GBO47"/>
      <c r="GBP47"/>
      <c r="GBQ47"/>
      <c r="GBR47"/>
      <c r="GBS47"/>
      <c r="GBT47"/>
      <c r="GBU47"/>
      <c r="GBV47"/>
      <c r="GBW47"/>
      <c r="GBX47"/>
      <c r="GBY47"/>
      <c r="GBZ47"/>
      <c r="GCA47"/>
      <c r="GCB47"/>
      <c r="GCC47"/>
      <c r="GCD47"/>
      <c r="GCE47"/>
      <c r="GCF47"/>
      <c r="GCG47"/>
      <c r="GCH47"/>
      <c r="GCI47"/>
      <c r="GCJ47"/>
      <c r="GCK47"/>
      <c r="GCL47"/>
      <c r="GCM47"/>
      <c r="GCN47"/>
      <c r="GCO47"/>
      <c r="GCP47"/>
      <c r="GCQ47"/>
      <c r="GCR47"/>
      <c r="GCS47"/>
      <c r="GCT47"/>
      <c r="GCU47"/>
      <c r="GCV47"/>
      <c r="GCW47"/>
      <c r="GCX47"/>
      <c r="GCY47"/>
      <c r="GCZ47"/>
      <c r="GDA47"/>
      <c r="GDB47"/>
      <c r="GDC47"/>
      <c r="GDD47"/>
      <c r="GDE47"/>
      <c r="GDF47"/>
      <c r="GDG47"/>
      <c r="GDH47"/>
      <c r="GDI47"/>
      <c r="GDJ47"/>
      <c r="GDK47"/>
      <c r="GDL47"/>
      <c r="GDM47"/>
      <c r="GDN47"/>
      <c r="GDO47"/>
      <c r="GDP47"/>
      <c r="GDQ47"/>
      <c r="GDR47"/>
      <c r="GDS47"/>
      <c r="GDT47"/>
      <c r="GDU47"/>
      <c r="GDV47"/>
      <c r="GDW47"/>
      <c r="GDX47"/>
      <c r="GDY47"/>
      <c r="GDZ47"/>
      <c r="GEA47"/>
      <c r="GEB47"/>
      <c r="GEC47"/>
      <c r="GED47"/>
      <c r="GEE47"/>
      <c r="GEF47"/>
      <c r="GEG47"/>
      <c r="GEH47"/>
      <c r="GEI47"/>
      <c r="GEJ47"/>
      <c r="GEK47"/>
      <c r="GEL47"/>
      <c r="GEM47"/>
      <c r="GEN47"/>
      <c r="GEO47"/>
      <c r="GEP47"/>
      <c r="GEQ47"/>
      <c r="GER47"/>
      <c r="GES47"/>
      <c r="GET47"/>
      <c r="GEU47"/>
      <c r="GEV47"/>
      <c r="GEW47"/>
      <c r="GEX47"/>
      <c r="GEY47"/>
      <c r="GEZ47"/>
      <c r="GFA47"/>
      <c r="GFB47"/>
      <c r="GFC47"/>
      <c r="GFD47"/>
      <c r="GFE47"/>
      <c r="GFF47"/>
      <c r="GFG47"/>
      <c r="GFH47"/>
      <c r="GFI47"/>
      <c r="GFJ47"/>
      <c r="GFK47"/>
      <c r="GFL47"/>
      <c r="GFM47"/>
      <c r="GFN47"/>
      <c r="GFO47"/>
      <c r="GFP47"/>
      <c r="GFQ47"/>
      <c r="GFR47"/>
      <c r="GFS47"/>
      <c r="GFT47"/>
      <c r="GFU47"/>
      <c r="GFV47"/>
      <c r="GFW47"/>
      <c r="GFX47"/>
      <c r="GFY47"/>
      <c r="GFZ47"/>
      <c r="GGA47"/>
      <c r="GGB47"/>
      <c r="GGC47"/>
      <c r="GGD47"/>
      <c r="GGE47"/>
      <c r="GGF47"/>
      <c r="GGG47"/>
      <c r="GGH47"/>
      <c r="GGI47"/>
      <c r="GGJ47"/>
      <c r="GGK47"/>
      <c r="GGL47"/>
      <c r="GGM47"/>
      <c r="GGN47"/>
      <c r="GGO47"/>
      <c r="GGP47"/>
      <c r="GGQ47"/>
      <c r="GGR47"/>
      <c r="GGS47"/>
      <c r="GGT47"/>
      <c r="GGU47"/>
      <c r="GGV47"/>
      <c r="GGW47"/>
      <c r="GGX47"/>
      <c r="GGY47"/>
      <c r="GGZ47"/>
      <c r="GHA47"/>
      <c r="GHB47"/>
      <c r="GHC47"/>
      <c r="GHD47"/>
      <c r="GHE47"/>
      <c r="GHF47"/>
      <c r="GHG47"/>
      <c r="GHH47"/>
      <c r="GHI47"/>
      <c r="GHJ47"/>
      <c r="GHK47"/>
      <c r="GHL47"/>
      <c r="GHM47"/>
      <c r="GHN47"/>
      <c r="GHO47"/>
      <c r="GHP47"/>
      <c r="GHQ47"/>
      <c r="GHR47"/>
      <c r="GHS47"/>
      <c r="GHT47"/>
      <c r="GHU47"/>
      <c r="GHV47"/>
      <c r="GHW47"/>
      <c r="GHX47"/>
      <c r="GHY47"/>
      <c r="GHZ47"/>
      <c r="GIA47"/>
      <c r="GIB47"/>
      <c r="GIC47"/>
      <c r="GID47"/>
      <c r="GIE47"/>
      <c r="GIF47"/>
      <c r="GIG47"/>
      <c r="GIH47"/>
      <c r="GII47"/>
      <c r="GIJ47"/>
      <c r="GIK47"/>
      <c r="GIL47"/>
      <c r="GIM47"/>
      <c r="GIN47"/>
      <c r="GIO47"/>
      <c r="GIP47"/>
      <c r="GIQ47"/>
      <c r="GIR47"/>
      <c r="GIS47"/>
      <c r="GIT47"/>
      <c r="GIU47"/>
      <c r="GIV47"/>
      <c r="GIW47"/>
      <c r="GIX47"/>
      <c r="GIY47"/>
      <c r="GIZ47"/>
      <c r="GJA47"/>
      <c r="GJB47"/>
      <c r="GJC47"/>
      <c r="GJD47"/>
      <c r="GJE47"/>
      <c r="GJF47"/>
      <c r="GJG47"/>
      <c r="GJH47"/>
      <c r="GJI47"/>
      <c r="GJJ47"/>
      <c r="GJK47"/>
      <c r="GJL47"/>
      <c r="GJM47"/>
      <c r="GJN47"/>
      <c r="GJO47"/>
      <c r="GJP47"/>
      <c r="GJQ47"/>
      <c r="GJR47"/>
      <c r="GJS47"/>
      <c r="GJT47"/>
      <c r="GJU47"/>
      <c r="GJV47"/>
      <c r="GJW47"/>
      <c r="GJX47"/>
      <c r="GJY47"/>
      <c r="GJZ47"/>
      <c r="GKA47"/>
      <c r="GKB47"/>
      <c r="GKC47"/>
      <c r="GKD47"/>
      <c r="GKE47"/>
      <c r="GKF47"/>
      <c r="GKG47"/>
      <c r="GKH47"/>
      <c r="GKI47"/>
      <c r="GKJ47"/>
      <c r="GKK47"/>
      <c r="GKL47"/>
      <c r="GKM47"/>
      <c r="GKN47"/>
      <c r="GKO47"/>
      <c r="GKP47"/>
      <c r="GKQ47"/>
      <c r="GKR47"/>
      <c r="GKS47"/>
      <c r="GKT47"/>
      <c r="GKU47"/>
      <c r="GKV47"/>
      <c r="GKW47"/>
      <c r="GKX47"/>
      <c r="GKY47"/>
      <c r="GKZ47"/>
      <c r="GLA47"/>
      <c r="GLB47"/>
      <c r="GLC47"/>
      <c r="GLD47"/>
      <c r="GLE47"/>
      <c r="GLF47"/>
      <c r="GLG47"/>
      <c r="GLH47"/>
      <c r="GLI47"/>
      <c r="GLJ47"/>
      <c r="GLK47"/>
      <c r="GLL47"/>
      <c r="GLM47"/>
      <c r="GLN47"/>
      <c r="GLO47"/>
      <c r="GLP47"/>
      <c r="GLQ47"/>
      <c r="GLR47"/>
      <c r="GLS47"/>
      <c r="GLT47"/>
      <c r="GLU47"/>
      <c r="GLV47"/>
      <c r="GLW47"/>
      <c r="GLX47"/>
      <c r="GLY47"/>
      <c r="GLZ47"/>
      <c r="GMA47"/>
      <c r="GMB47"/>
      <c r="GMC47"/>
      <c r="GMD47"/>
      <c r="GME47"/>
      <c r="GMF47"/>
      <c r="GMG47"/>
      <c r="GMH47"/>
      <c r="GMI47"/>
      <c r="GMJ47"/>
      <c r="GMK47"/>
      <c r="GML47"/>
      <c r="GMM47"/>
      <c r="GMN47"/>
      <c r="GMO47"/>
      <c r="GMP47"/>
      <c r="GMQ47"/>
      <c r="GMR47"/>
      <c r="GMS47"/>
      <c r="GMT47"/>
      <c r="GMU47"/>
      <c r="GMV47"/>
      <c r="GMW47"/>
      <c r="GMX47"/>
      <c r="GMY47"/>
      <c r="GMZ47"/>
      <c r="GNA47"/>
      <c r="GNB47"/>
      <c r="GNC47"/>
      <c r="GND47"/>
      <c r="GNE47"/>
      <c r="GNF47"/>
      <c r="GNG47"/>
      <c r="GNH47"/>
      <c r="GNI47"/>
      <c r="GNJ47"/>
      <c r="GNK47"/>
      <c r="GNL47"/>
      <c r="GNM47"/>
      <c r="GNN47"/>
      <c r="GNO47"/>
      <c r="GNP47"/>
      <c r="GNQ47"/>
      <c r="GNR47"/>
      <c r="GNS47"/>
      <c r="GNT47"/>
      <c r="GNU47"/>
      <c r="GNV47"/>
      <c r="GNW47"/>
      <c r="GNX47"/>
      <c r="GNY47"/>
      <c r="GNZ47"/>
      <c r="GOA47"/>
      <c r="GOB47"/>
      <c r="GOC47"/>
      <c r="GOD47"/>
      <c r="GOE47"/>
      <c r="GOF47"/>
      <c r="GOG47"/>
      <c r="GOH47"/>
      <c r="GOI47"/>
      <c r="GOJ47"/>
      <c r="GOK47"/>
      <c r="GOL47"/>
      <c r="GOM47"/>
      <c r="GON47"/>
      <c r="GOO47"/>
      <c r="GOP47"/>
      <c r="GOQ47"/>
      <c r="GOR47"/>
      <c r="GOS47"/>
      <c r="GOT47"/>
      <c r="GOU47"/>
      <c r="GOV47"/>
      <c r="GOW47"/>
      <c r="GOX47"/>
      <c r="GOY47"/>
      <c r="GOZ47"/>
      <c r="GPA47"/>
      <c r="GPB47"/>
      <c r="GPC47"/>
      <c r="GPD47"/>
      <c r="GPE47"/>
      <c r="GPF47"/>
      <c r="GPG47"/>
      <c r="GPH47"/>
      <c r="GPI47"/>
      <c r="GPJ47"/>
      <c r="GPK47"/>
      <c r="GPL47"/>
      <c r="GPM47"/>
      <c r="GPN47"/>
      <c r="GPO47"/>
      <c r="GPP47"/>
      <c r="GPQ47"/>
      <c r="GPR47"/>
      <c r="GPS47"/>
      <c r="GPT47"/>
      <c r="GPU47"/>
      <c r="GPV47"/>
      <c r="GPW47"/>
      <c r="GPX47"/>
      <c r="GPY47"/>
      <c r="GPZ47"/>
      <c r="GQA47"/>
      <c r="GQB47"/>
      <c r="GQC47"/>
      <c r="GQD47"/>
      <c r="GQE47"/>
      <c r="GQF47"/>
      <c r="GQG47"/>
      <c r="GQH47"/>
      <c r="GQI47"/>
      <c r="GQJ47"/>
      <c r="GQK47"/>
      <c r="GQL47"/>
      <c r="GQM47"/>
      <c r="GQN47"/>
      <c r="GQO47"/>
      <c r="GQP47"/>
      <c r="GQQ47"/>
      <c r="GQR47"/>
      <c r="GQS47"/>
      <c r="GQT47"/>
      <c r="GQU47"/>
      <c r="GQV47"/>
      <c r="GQW47"/>
      <c r="GQX47"/>
      <c r="GQY47"/>
      <c r="GQZ47"/>
      <c r="GRA47"/>
      <c r="GRB47"/>
      <c r="GRC47"/>
      <c r="GRD47"/>
      <c r="GRE47"/>
      <c r="GRF47"/>
      <c r="GRG47"/>
      <c r="GRH47"/>
      <c r="GRI47"/>
      <c r="GRJ47"/>
      <c r="GRK47"/>
      <c r="GRL47"/>
      <c r="GRM47"/>
      <c r="GRN47"/>
      <c r="GRO47"/>
      <c r="GRP47"/>
      <c r="GRQ47"/>
      <c r="GRR47"/>
      <c r="GRS47"/>
      <c r="GRT47"/>
      <c r="GRU47"/>
      <c r="GRV47"/>
      <c r="GRW47"/>
      <c r="GRX47"/>
      <c r="GRY47"/>
      <c r="GRZ47"/>
      <c r="GSA47"/>
      <c r="GSB47"/>
      <c r="GSC47"/>
      <c r="GSD47"/>
      <c r="GSE47"/>
      <c r="GSF47"/>
      <c r="GSG47"/>
      <c r="GSH47"/>
      <c r="GSI47"/>
      <c r="GSJ47"/>
      <c r="GSK47"/>
      <c r="GSL47"/>
      <c r="GSM47"/>
      <c r="GSN47"/>
      <c r="GSO47"/>
      <c r="GSP47"/>
      <c r="GSQ47"/>
      <c r="GSR47"/>
      <c r="GSS47"/>
      <c r="GST47"/>
      <c r="GSU47"/>
      <c r="GSV47"/>
      <c r="GSW47"/>
      <c r="GSX47"/>
      <c r="GSY47"/>
      <c r="GSZ47"/>
      <c r="GTA47"/>
      <c r="GTB47"/>
      <c r="GTC47"/>
      <c r="GTD47"/>
      <c r="GTE47"/>
      <c r="GTF47"/>
      <c r="GTG47"/>
      <c r="GTH47"/>
      <c r="GTI47"/>
      <c r="GTJ47"/>
      <c r="GTK47"/>
      <c r="GTL47"/>
      <c r="GTM47"/>
      <c r="GTN47"/>
      <c r="GTO47"/>
      <c r="GTP47"/>
      <c r="GTQ47"/>
      <c r="GTR47"/>
      <c r="GTS47"/>
      <c r="GTT47"/>
      <c r="GTU47"/>
      <c r="GTV47"/>
      <c r="GTW47"/>
      <c r="GTX47"/>
      <c r="GTY47"/>
      <c r="GTZ47"/>
      <c r="GUA47"/>
      <c r="GUB47"/>
      <c r="GUC47"/>
      <c r="GUD47"/>
      <c r="GUE47"/>
      <c r="GUF47"/>
      <c r="GUG47"/>
      <c r="GUH47"/>
      <c r="GUI47"/>
      <c r="GUJ47"/>
      <c r="GUK47"/>
      <c r="GUL47"/>
      <c r="GUM47"/>
      <c r="GUN47"/>
      <c r="GUO47"/>
      <c r="GUP47"/>
      <c r="GUQ47"/>
      <c r="GUR47"/>
      <c r="GUS47"/>
      <c r="GUT47"/>
      <c r="GUU47"/>
      <c r="GUV47"/>
      <c r="GUW47"/>
      <c r="GUX47"/>
      <c r="GUY47"/>
      <c r="GUZ47"/>
      <c r="GVA47"/>
      <c r="GVB47"/>
      <c r="GVC47"/>
      <c r="GVD47"/>
      <c r="GVE47"/>
      <c r="GVF47"/>
      <c r="GVG47"/>
      <c r="GVH47"/>
      <c r="GVI47"/>
      <c r="GVJ47"/>
      <c r="GVK47"/>
      <c r="GVL47"/>
      <c r="GVM47"/>
      <c r="GVN47"/>
      <c r="GVO47"/>
      <c r="GVP47"/>
      <c r="GVQ47"/>
      <c r="GVR47"/>
      <c r="GVS47"/>
      <c r="GVT47"/>
      <c r="GVU47"/>
      <c r="GVV47"/>
      <c r="GVW47"/>
      <c r="GVX47"/>
      <c r="GVY47"/>
      <c r="GVZ47"/>
      <c r="GWA47"/>
      <c r="GWB47"/>
      <c r="GWC47"/>
      <c r="GWD47"/>
      <c r="GWE47"/>
      <c r="GWF47"/>
      <c r="GWG47"/>
      <c r="GWH47"/>
      <c r="GWI47"/>
      <c r="GWJ47"/>
      <c r="GWK47"/>
      <c r="GWL47"/>
      <c r="GWM47"/>
      <c r="GWN47"/>
      <c r="GWO47"/>
      <c r="GWP47"/>
      <c r="GWQ47"/>
      <c r="GWR47"/>
      <c r="GWS47"/>
      <c r="GWT47"/>
      <c r="GWU47"/>
      <c r="GWV47"/>
      <c r="GWW47"/>
      <c r="GWX47"/>
      <c r="GWY47"/>
      <c r="GWZ47"/>
      <c r="GXA47"/>
      <c r="GXB47"/>
      <c r="GXC47"/>
      <c r="GXD47"/>
      <c r="GXE47"/>
      <c r="GXF47"/>
      <c r="GXG47"/>
      <c r="GXH47"/>
      <c r="GXI47"/>
      <c r="GXJ47"/>
      <c r="GXK47"/>
      <c r="GXL47"/>
      <c r="GXM47"/>
      <c r="GXN47"/>
      <c r="GXO47"/>
      <c r="GXP47"/>
      <c r="GXQ47"/>
      <c r="GXR47"/>
      <c r="GXS47"/>
      <c r="GXT47"/>
      <c r="GXU47"/>
      <c r="GXV47"/>
      <c r="GXW47"/>
      <c r="GXX47"/>
      <c r="GXY47"/>
      <c r="GXZ47"/>
      <c r="GYA47"/>
      <c r="GYB47"/>
      <c r="GYC47"/>
      <c r="GYD47"/>
      <c r="GYE47"/>
      <c r="GYF47"/>
      <c r="GYG47"/>
      <c r="GYH47"/>
      <c r="GYI47"/>
      <c r="GYJ47"/>
      <c r="GYK47"/>
      <c r="GYL47"/>
      <c r="GYM47"/>
      <c r="GYN47"/>
      <c r="GYO47"/>
      <c r="GYP47"/>
      <c r="GYQ47"/>
      <c r="GYR47"/>
      <c r="GYS47"/>
      <c r="GYT47"/>
      <c r="GYU47"/>
      <c r="GYV47"/>
      <c r="GYW47"/>
      <c r="GYX47"/>
      <c r="GYY47"/>
      <c r="GYZ47"/>
      <c r="GZA47"/>
      <c r="GZB47"/>
      <c r="GZC47"/>
      <c r="GZD47"/>
      <c r="GZE47"/>
      <c r="GZF47"/>
      <c r="GZG47"/>
      <c r="GZH47"/>
      <c r="GZI47"/>
      <c r="GZJ47"/>
      <c r="GZK47"/>
      <c r="GZL47"/>
      <c r="GZM47"/>
      <c r="GZN47"/>
      <c r="GZO47"/>
      <c r="GZP47"/>
      <c r="GZQ47"/>
      <c r="GZR47"/>
      <c r="GZS47"/>
      <c r="GZT47"/>
      <c r="GZU47"/>
      <c r="GZV47"/>
      <c r="GZW47"/>
      <c r="GZX47"/>
      <c r="GZY47"/>
      <c r="GZZ47"/>
      <c r="HAA47"/>
      <c r="HAB47"/>
      <c r="HAC47"/>
      <c r="HAD47"/>
      <c r="HAE47"/>
      <c r="HAF47"/>
      <c r="HAG47"/>
      <c r="HAH47"/>
      <c r="HAI47"/>
      <c r="HAJ47"/>
      <c r="HAK47"/>
      <c r="HAL47"/>
      <c r="HAM47"/>
      <c r="HAN47"/>
      <c r="HAO47"/>
      <c r="HAP47"/>
      <c r="HAQ47"/>
      <c r="HAR47"/>
      <c r="HAS47"/>
      <c r="HAT47"/>
      <c r="HAU47"/>
      <c r="HAV47"/>
      <c r="HAW47"/>
      <c r="HAX47"/>
      <c r="HAY47"/>
      <c r="HAZ47"/>
      <c r="HBA47"/>
      <c r="HBB47"/>
      <c r="HBC47"/>
      <c r="HBD47"/>
      <c r="HBE47"/>
      <c r="HBF47"/>
      <c r="HBG47"/>
      <c r="HBH47"/>
      <c r="HBI47"/>
      <c r="HBJ47"/>
      <c r="HBK47"/>
      <c r="HBL47"/>
      <c r="HBM47"/>
      <c r="HBN47"/>
      <c r="HBO47"/>
      <c r="HBP47"/>
      <c r="HBQ47"/>
      <c r="HBR47"/>
      <c r="HBS47"/>
      <c r="HBT47"/>
      <c r="HBU47"/>
      <c r="HBV47"/>
      <c r="HBW47"/>
      <c r="HBX47"/>
      <c r="HBY47"/>
      <c r="HBZ47"/>
      <c r="HCA47"/>
      <c r="HCB47"/>
      <c r="HCC47"/>
      <c r="HCD47"/>
      <c r="HCE47"/>
      <c r="HCF47"/>
      <c r="HCG47"/>
      <c r="HCH47"/>
      <c r="HCI47"/>
      <c r="HCJ47"/>
      <c r="HCK47"/>
      <c r="HCL47"/>
      <c r="HCM47"/>
      <c r="HCN47"/>
      <c r="HCO47"/>
      <c r="HCP47"/>
      <c r="HCQ47"/>
      <c r="HCR47"/>
      <c r="HCS47"/>
      <c r="HCT47"/>
      <c r="HCU47"/>
      <c r="HCV47"/>
      <c r="HCW47"/>
      <c r="HCX47"/>
      <c r="HCY47"/>
      <c r="HCZ47"/>
      <c r="HDA47"/>
      <c r="HDB47"/>
      <c r="HDC47"/>
      <c r="HDD47"/>
      <c r="HDE47"/>
      <c r="HDF47"/>
      <c r="HDG47"/>
      <c r="HDH47"/>
      <c r="HDI47"/>
      <c r="HDJ47"/>
      <c r="HDK47"/>
      <c r="HDL47"/>
      <c r="HDM47"/>
      <c r="HDN47"/>
      <c r="HDO47"/>
      <c r="HDP47"/>
      <c r="HDQ47"/>
      <c r="HDR47"/>
      <c r="HDS47"/>
      <c r="HDT47"/>
      <c r="HDU47"/>
      <c r="HDV47"/>
      <c r="HDW47"/>
      <c r="HDX47"/>
      <c r="HDY47"/>
      <c r="HDZ47"/>
      <c r="HEA47"/>
      <c r="HEB47"/>
      <c r="HEC47"/>
      <c r="HED47"/>
      <c r="HEE47"/>
      <c r="HEF47"/>
      <c r="HEG47"/>
      <c r="HEH47"/>
      <c r="HEI47"/>
      <c r="HEJ47"/>
      <c r="HEK47"/>
      <c r="HEL47"/>
      <c r="HEM47"/>
      <c r="HEN47"/>
      <c r="HEO47"/>
      <c r="HEP47"/>
      <c r="HEQ47"/>
      <c r="HER47"/>
      <c r="HES47"/>
      <c r="HET47"/>
      <c r="HEU47"/>
      <c r="HEV47"/>
      <c r="HEW47"/>
      <c r="HEX47"/>
      <c r="HEY47"/>
      <c r="HEZ47"/>
      <c r="HFA47"/>
      <c r="HFB47"/>
      <c r="HFC47"/>
      <c r="HFD47"/>
      <c r="HFE47"/>
      <c r="HFF47"/>
      <c r="HFG47"/>
      <c r="HFH47"/>
      <c r="HFI47"/>
      <c r="HFJ47"/>
      <c r="HFK47"/>
      <c r="HFL47"/>
      <c r="HFM47"/>
      <c r="HFN47"/>
      <c r="HFO47"/>
      <c r="HFP47"/>
      <c r="HFQ47"/>
      <c r="HFR47"/>
      <c r="HFS47"/>
      <c r="HFT47"/>
      <c r="HFU47"/>
      <c r="HFV47"/>
      <c r="HFW47"/>
      <c r="HFX47"/>
      <c r="HFY47"/>
      <c r="HFZ47"/>
      <c r="HGA47"/>
      <c r="HGB47"/>
      <c r="HGC47"/>
      <c r="HGD47"/>
      <c r="HGE47"/>
      <c r="HGF47"/>
      <c r="HGG47"/>
      <c r="HGH47"/>
      <c r="HGI47"/>
      <c r="HGJ47"/>
      <c r="HGK47"/>
      <c r="HGL47"/>
      <c r="HGM47"/>
      <c r="HGN47"/>
      <c r="HGO47"/>
      <c r="HGP47"/>
      <c r="HGQ47"/>
      <c r="HGR47"/>
      <c r="HGS47"/>
      <c r="HGT47"/>
      <c r="HGU47"/>
      <c r="HGV47"/>
      <c r="HGW47"/>
      <c r="HGX47"/>
      <c r="HGY47"/>
      <c r="HGZ47"/>
      <c r="HHA47"/>
      <c r="HHB47"/>
      <c r="HHC47"/>
      <c r="HHD47"/>
      <c r="HHE47"/>
      <c r="HHF47"/>
      <c r="HHG47"/>
      <c r="HHH47"/>
      <c r="HHI47"/>
      <c r="HHJ47"/>
      <c r="HHK47"/>
      <c r="HHL47"/>
      <c r="HHM47"/>
      <c r="HHN47"/>
      <c r="HHO47"/>
      <c r="HHP47"/>
      <c r="HHQ47"/>
      <c r="HHR47"/>
      <c r="HHS47"/>
      <c r="HHT47"/>
      <c r="HHU47"/>
      <c r="HHV47"/>
      <c r="HHW47"/>
      <c r="HHX47"/>
      <c r="HHY47"/>
      <c r="HHZ47"/>
      <c r="HIA47"/>
      <c r="HIB47"/>
      <c r="HIC47"/>
      <c r="HID47"/>
      <c r="HIE47"/>
      <c r="HIF47"/>
      <c r="HIG47"/>
      <c r="HIH47"/>
      <c r="HII47"/>
      <c r="HIJ47"/>
      <c r="HIK47"/>
      <c r="HIL47"/>
      <c r="HIM47"/>
      <c r="HIN47"/>
      <c r="HIO47"/>
      <c r="HIP47"/>
      <c r="HIQ47"/>
      <c r="HIR47"/>
      <c r="HIS47"/>
      <c r="HIT47"/>
      <c r="HIU47"/>
      <c r="HIV47"/>
      <c r="HIW47"/>
      <c r="HIX47"/>
      <c r="HIY47"/>
      <c r="HIZ47"/>
      <c r="HJA47"/>
      <c r="HJB47"/>
      <c r="HJC47"/>
      <c r="HJD47"/>
      <c r="HJE47"/>
      <c r="HJF47"/>
      <c r="HJG47"/>
      <c r="HJH47"/>
      <c r="HJI47"/>
      <c r="HJJ47"/>
      <c r="HJK47"/>
      <c r="HJL47"/>
      <c r="HJM47"/>
      <c r="HJN47"/>
      <c r="HJO47"/>
      <c r="HJP47"/>
      <c r="HJQ47"/>
      <c r="HJR47"/>
      <c r="HJS47"/>
      <c r="HJT47"/>
      <c r="HJU47"/>
      <c r="HJV47"/>
      <c r="HJW47"/>
      <c r="HJX47"/>
      <c r="HJY47"/>
      <c r="HJZ47"/>
      <c r="HKA47"/>
      <c r="HKB47"/>
      <c r="HKC47"/>
      <c r="HKD47"/>
      <c r="HKE47"/>
      <c r="HKF47"/>
      <c r="HKG47"/>
      <c r="HKH47"/>
      <c r="HKI47"/>
      <c r="HKJ47"/>
      <c r="HKK47"/>
      <c r="HKL47"/>
      <c r="HKM47"/>
      <c r="HKN47"/>
      <c r="HKO47"/>
      <c r="HKP47"/>
      <c r="HKQ47"/>
      <c r="HKR47"/>
      <c r="HKS47"/>
      <c r="HKT47"/>
      <c r="HKU47"/>
      <c r="HKV47"/>
      <c r="HKW47"/>
      <c r="HKX47"/>
      <c r="HKY47"/>
      <c r="HKZ47"/>
      <c r="HLA47"/>
      <c r="HLB47"/>
      <c r="HLC47"/>
      <c r="HLD47"/>
      <c r="HLE47"/>
      <c r="HLF47"/>
      <c r="HLG47"/>
      <c r="HLH47"/>
      <c r="HLI47"/>
      <c r="HLJ47"/>
      <c r="HLK47"/>
      <c r="HLL47"/>
      <c r="HLM47"/>
      <c r="HLN47"/>
      <c r="HLO47"/>
      <c r="HLP47"/>
      <c r="HLQ47"/>
      <c r="HLR47"/>
      <c r="HLS47"/>
      <c r="HLT47"/>
      <c r="HLU47"/>
      <c r="HLV47"/>
      <c r="HLW47"/>
      <c r="HLX47"/>
      <c r="HLY47"/>
      <c r="HLZ47"/>
      <c r="HMA47"/>
      <c r="HMB47"/>
      <c r="HMC47"/>
      <c r="HMD47"/>
      <c r="HME47"/>
      <c r="HMF47"/>
      <c r="HMG47"/>
      <c r="HMH47"/>
      <c r="HMI47"/>
      <c r="HMJ47"/>
      <c r="HMK47"/>
      <c r="HML47"/>
      <c r="HMM47"/>
      <c r="HMN47"/>
      <c r="HMO47"/>
      <c r="HMP47"/>
      <c r="HMQ47"/>
      <c r="HMR47"/>
      <c r="HMS47"/>
      <c r="HMT47"/>
      <c r="HMU47"/>
      <c r="HMV47"/>
      <c r="HMW47"/>
      <c r="HMX47"/>
      <c r="HMY47"/>
      <c r="HMZ47"/>
      <c r="HNA47"/>
      <c r="HNB47"/>
      <c r="HNC47"/>
      <c r="HND47"/>
      <c r="HNE47"/>
      <c r="HNF47"/>
      <c r="HNG47"/>
      <c r="HNH47"/>
      <c r="HNI47"/>
      <c r="HNJ47"/>
      <c r="HNK47"/>
      <c r="HNL47"/>
      <c r="HNM47"/>
      <c r="HNN47"/>
      <c r="HNO47"/>
      <c r="HNP47"/>
      <c r="HNQ47"/>
      <c r="HNR47"/>
      <c r="HNS47"/>
      <c r="HNT47"/>
      <c r="HNU47"/>
      <c r="HNV47"/>
      <c r="HNW47"/>
      <c r="HNX47"/>
      <c r="HNY47"/>
      <c r="HNZ47"/>
      <c r="HOA47"/>
      <c r="HOB47"/>
      <c r="HOC47"/>
      <c r="HOD47"/>
      <c r="HOE47"/>
      <c r="HOF47"/>
      <c r="HOG47"/>
      <c r="HOH47"/>
      <c r="HOI47"/>
      <c r="HOJ47"/>
      <c r="HOK47"/>
      <c r="HOL47"/>
      <c r="HOM47"/>
      <c r="HON47"/>
      <c r="HOO47"/>
      <c r="HOP47"/>
      <c r="HOQ47"/>
      <c r="HOR47"/>
      <c r="HOS47"/>
      <c r="HOT47"/>
      <c r="HOU47"/>
      <c r="HOV47"/>
      <c r="HOW47"/>
      <c r="HOX47"/>
      <c r="HOY47"/>
      <c r="HOZ47"/>
      <c r="HPA47"/>
      <c r="HPB47"/>
      <c r="HPC47"/>
      <c r="HPD47"/>
      <c r="HPE47"/>
      <c r="HPF47"/>
      <c r="HPG47"/>
      <c r="HPH47"/>
      <c r="HPI47"/>
      <c r="HPJ47"/>
      <c r="HPK47"/>
      <c r="HPL47"/>
      <c r="HPM47"/>
      <c r="HPN47"/>
      <c r="HPO47"/>
      <c r="HPP47"/>
      <c r="HPQ47"/>
      <c r="HPR47"/>
      <c r="HPS47"/>
      <c r="HPT47"/>
      <c r="HPU47"/>
      <c r="HPV47"/>
      <c r="HPW47"/>
      <c r="HPX47"/>
      <c r="HPY47"/>
      <c r="HPZ47"/>
      <c r="HQA47"/>
      <c r="HQB47"/>
      <c r="HQC47"/>
      <c r="HQD47"/>
      <c r="HQE47"/>
      <c r="HQF47"/>
      <c r="HQG47"/>
      <c r="HQH47"/>
      <c r="HQI47"/>
      <c r="HQJ47"/>
      <c r="HQK47"/>
      <c r="HQL47"/>
      <c r="HQM47"/>
      <c r="HQN47"/>
      <c r="HQO47"/>
      <c r="HQP47"/>
      <c r="HQQ47"/>
      <c r="HQR47"/>
      <c r="HQS47"/>
      <c r="HQT47"/>
      <c r="HQU47"/>
      <c r="HQV47"/>
      <c r="HQW47"/>
      <c r="HQX47"/>
      <c r="HQY47"/>
      <c r="HQZ47"/>
      <c r="HRA47"/>
      <c r="HRB47"/>
      <c r="HRC47"/>
      <c r="HRD47"/>
      <c r="HRE47"/>
      <c r="HRF47"/>
      <c r="HRG47"/>
      <c r="HRH47"/>
      <c r="HRI47"/>
      <c r="HRJ47"/>
      <c r="HRK47"/>
      <c r="HRL47"/>
      <c r="HRM47"/>
      <c r="HRN47"/>
      <c r="HRO47"/>
      <c r="HRP47"/>
      <c r="HRQ47"/>
      <c r="HRR47"/>
      <c r="HRS47"/>
      <c r="HRT47"/>
      <c r="HRU47"/>
      <c r="HRV47"/>
      <c r="HRW47"/>
      <c r="HRX47"/>
      <c r="HRY47"/>
      <c r="HRZ47"/>
      <c r="HSA47"/>
      <c r="HSB47"/>
      <c r="HSC47"/>
      <c r="HSD47"/>
      <c r="HSE47"/>
      <c r="HSF47"/>
      <c r="HSG47"/>
      <c r="HSH47"/>
      <c r="HSI47"/>
      <c r="HSJ47"/>
      <c r="HSK47"/>
      <c r="HSL47"/>
      <c r="HSM47"/>
      <c r="HSN47"/>
      <c r="HSO47"/>
      <c r="HSP47"/>
      <c r="HSQ47"/>
      <c r="HSR47"/>
      <c r="HSS47"/>
      <c r="HST47"/>
      <c r="HSU47"/>
      <c r="HSV47"/>
      <c r="HSW47"/>
      <c r="HSX47"/>
      <c r="HSY47"/>
      <c r="HSZ47"/>
      <c r="HTA47"/>
      <c r="HTB47"/>
      <c r="HTC47"/>
      <c r="HTD47"/>
      <c r="HTE47"/>
      <c r="HTF47"/>
      <c r="HTG47"/>
      <c r="HTH47"/>
      <c r="HTI47"/>
      <c r="HTJ47"/>
      <c r="HTK47"/>
      <c r="HTL47"/>
      <c r="HTM47"/>
      <c r="HTN47"/>
      <c r="HTO47"/>
      <c r="HTP47"/>
      <c r="HTQ47"/>
      <c r="HTR47"/>
      <c r="HTS47"/>
      <c r="HTT47"/>
      <c r="HTU47"/>
      <c r="HTV47"/>
      <c r="HTW47"/>
      <c r="HTX47"/>
      <c r="HTY47"/>
      <c r="HTZ47"/>
      <c r="HUA47"/>
      <c r="HUB47"/>
      <c r="HUC47"/>
      <c r="HUD47"/>
      <c r="HUE47"/>
      <c r="HUF47"/>
      <c r="HUG47"/>
      <c r="HUH47"/>
      <c r="HUI47"/>
      <c r="HUJ47"/>
      <c r="HUK47"/>
      <c r="HUL47"/>
      <c r="HUM47"/>
      <c r="HUN47"/>
      <c r="HUO47"/>
      <c r="HUP47"/>
      <c r="HUQ47"/>
      <c r="HUR47"/>
      <c r="HUS47"/>
      <c r="HUT47"/>
      <c r="HUU47"/>
      <c r="HUV47"/>
      <c r="HUW47"/>
      <c r="HUX47"/>
      <c r="HUY47"/>
      <c r="HUZ47"/>
      <c r="HVA47"/>
      <c r="HVB47"/>
      <c r="HVC47"/>
      <c r="HVD47"/>
      <c r="HVE47"/>
      <c r="HVF47"/>
      <c r="HVG47"/>
      <c r="HVH47"/>
      <c r="HVI47"/>
      <c r="HVJ47"/>
      <c r="HVK47"/>
      <c r="HVL47"/>
      <c r="HVM47"/>
      <c r="HVN47"/>
      <c r="HVO47"/>
      <c r="HVP47"/>
      <c r="HVQ47"/>
      <c r="HVR47"/>
      <c r="HVS47"/>
      <c r="HVT47"/>
      <c r="HVU47"/>
      <c r="HVV47"/>
      <c r="HVW47"/>
      <c r="HVX47"/>
      <c r="HVY47"/>
      <c r="HVZ47"/>
      <c r="HWA47"/>
      <c r="HWB47"/>
      <c r="HWC47"/>
      <c r="HWD47"/>
      <c r="HWE47"/>
      <c r="HWF47"/>
      <c r="HWG47"/>
      <c r="HWH47"/>
      <c r="HWI47"/>
      <c r="HWJ47"/>
      <c r="HWK47"/>
      <c r="HWL47"/>
      <c r="HWM47"/>
      <c r="HWN47"/>
      <c r="HWO47"/>
      <c r="HWP47"/>
      <c r="HWQ47"/>
      <c r="HWR47"/>
      <c r="HWS47"/>
      <c r="HWT47"/>
      <c r="HWU47"/>
      <c r="HWV47"/>
      <c r="HWW47"/>
      <c r="HWX47"/>
      <c r="HWY47"/>
      <c r="HWZ47"/>
      <c r="HXA47"/>
      <c r="HXB47"/>
      <c r="HXC47"/>
      <c r="HXD47"/>
      <c r="HXE47"/>
      <c r="HXF47"/>
      <c r="HXG47"/>
      <c r="HXH47"/>
      <c r="HXI47"/>
      <c r="HXJ47"/>
      <c r="HXK47"/>
      <c r="HXL47"/>
      <c r="HXM47"/>
      <c r="HXN47"/>
      <c r="HXO47"/>
      <c r="HXP47"/>
      <c r="HXQ47"/>
      <c r="HXR47"/>
      <c r="HXS47"/>
      <c r="HXT47"/>
      <c r="HXU47"/>
      <c r="HXV47"/>
      <c r="HXW47"/>
      <c r="HXX47"/>
      <c r="HXY47"/>
      <c r="HXZ47"/>
      <c r="HYA47"/>
      <c r="HYB47"/>
      <c r="HYC47"/>
      <c r="HYD47"/>
      <c r="HYE47"/>
      <c r="HYF47"/>
      <c r="HYG47"/>
      <c r="HYH47"/>
      <c r="HYI47"/>
      <c r="HYJ47"/>
      <c r="HYK47"/>
      <c r="HYL47"/>
      <c r="HYM47"/>
      <c r="HYN47"/>
      <c r="HYO47"/>
      <c r="HYP47"/>
      <c r="HYQ47"/>
      <c r="HYR47"/>
      <c r="HYS47"/>
      <c r="HYT47"/>
      <c r="HYU47"/>
      <c r="HYV47"/>
      <c r="HYW47"/>
      <c r="HYX47"/>
      <c r="HYY47"/>
      <c r="HYZ47"/>
      <c r="HZA47"/>
      <c r="HZB47"/>
      <c r="HZC47"/>
      <c r="HZD47"/>
      <c r="HZE47"/>
      <c r="HZF47"/>
      <c r="HZG47"/>
      <c r="HZH47"/>
      <c r="HZI47"/>
      <c r="HZJ47"/>
      <c r="HZK47"/>
      <c r="HZL47"/>
      <c r="HZM47"/>
      <c r="HZN47"/>
      <c r="HZO47"/>
      <c r="HZP47"/>
      <c r="HZQ47"/>
      <c r="HZR47"/>
      <c r="HZS47"/>
      <c r="HZT47"/>
      <c r="HZU47"/>
      <c r="HZV47"/>
      <c r="HZW47"/>
      <c r="HZX47"/>
      <c r="HZY47"/>
      <c r="HZZ47"/>
      <c r="IAA47"/>
      <c r="IAB47"/>
      <c r="IAC47"/>
      <c r="IAD47"/>
      <c r="IAE47"/>
      <c r="IAF47"/>
      <c r="IAG47"/>
      <c r="IAH47"/>
      <c r="IAI47"/>
      <c r="IAJ47"/>
      <c r="IAK47"/>
      <c r="IAL47"/>
      <c r="IAM47"/>
      <c r="IAN47"/>
      <c r="IAO47"/>
      <c r="IAP47"/>
      <c r="IAQ47"/>
      <c r="IAR47"/>
      <c r="IAS47"/>
      <c r="IAT47"/>
      <c r="IAU47"/>
      <c r="IAV47"/>
      <c r="IAW47"/>
      <c r="IAX47"/>
      <c r="IAY47"/>
      <c r="IAZ47"/>
      <c r="IBA47"/>
      <c r="IBB47"/>
      <c r="IBC47"/>
      <c r="IBD47"/>
      <c r="IBE47"/>
      <c r="IBF47"/>
      <c r="IBG47"/>
      <c r="IBH47"/>
      <c r="IBI47"/>
      <c r="IBJ47"/>
      <c r="IBK47"/>
      <c r="IBL47"/>
      <c r="IBM47"/>
      <c r="IBN47"/>
      <c r="IBO47"/>
      <c r="IBP47"/>
      <c r="IBQ47"/>
      <c r="IBR47"/>
      <c r="IBS47"/>
      <c r="IBT47"/>
      <c r="IBU47"/>
      <c r="IBV47"/>
      <c r="IBW47"/>
      <c r="IBX47"/>
      <c r="IBY47"/>
      <c r="IBZ47"/>
      <c r="ICA47"/>
      <c r="ICB47"/>
      <c r="ICC47"/>
      <c r="ICD47"/>
      <c r="ICE47"/>
      <c r="ICF47"/>
      <c r="ICG47"/>
      <c r="ICH47"/>
      <c r="ICI47"/>
      <c r="ICJ47"/>
      <c r="ICK47"/>
      <c r="ICL47"/>
      <c r="ICM47"/>
      <c r="ICN47"/>
      <c r="ICO47"/>
      <c r="ICP47"/>
      <c r="ICQ47"/>
      <c r="ICR47"/>
      <c r="ICS47"/>
      <c r="ICT47"/>
      <c r="ICU47"/>
      <c r="ICV47"/>
      <c r="ICW47"/>
      <c r="ICX47"/>
      <c r="ICY47"/>
      <c r="ICZ47"/>
      <c r="IDA47"/>
      <c r="IDB47"/>
      <c r="IDC47"/>
      <c r="IDD47"/>
      <c r="IDE47"/>
      <c r="IDF47"/>
      <c r="IDG47"/>
      <c r="IDH47"/>
      <c r="IDI47"/>
      <c r="IDJ47"/>
      <c r="IDK47"/>
      <c r="IDL47"/>
      <c r="IDM47"/>
      <c r="IDN47"/>
      <c r="IDO47"/>
      <c r="IDP47"/>
      <c r="IDQ47"/>
      <c r="IDR47"/>
      <c r="IDS47"/>
      <c r="IDT47"/>
      <c r="IDU47"/>
      <c r="IDV47"/>
      <c r="IDW47"/>
      <c r="IDX47"/>
      <c r="IDY47"/>
      <c r="IDZ47"/>
      <c r="IEA47"/>
      <c r="IEB47"/>
      <c r="IEC47"/>
      <c r="IED47"/>
      <c r="IEE47"/>
      <c r="IEF47"/>
      <c r="IEG47"/>
      <c r="IEH47"/>
      <c r="IEI47"/>
      <c r="IEJ47"/>
      <c r="IEK47"/>
      <c r="IEL47"/>
      <c r="IEM47"/>
      <c r="IEN47"/>
      <c r="IEO47"/>
      <c r="IEP47"/>
      <c r="IEQ47"/>
      <c r="IER47"/>
      <c r="IES47"/>
      <c r="IET47"/>
      <c r="IEU47"/>
      <c r="IEV47"/>
      <c r="IEW47"/>
      <c r="IEX47"/>
      <c r="IEY47"/>
      <c r="IEZ47"/>
      <c r="IFA47"/>
      <c r="IFB47"/>
      <c r="IFC47"/>
      <c r="IFD47"/>
      <c r="IFE47"/>
      <c r="IFF47"/>
      <c r="IFG47"/>
      <c r="IFH47"/>
      <c r="IFI47"/>
      <c r="IFJ47"/>
      <c r="IFK47"/>
      <c r="IFL47"/>
      <c r="IFM47"/>
      <c r="IFN47"/>
      <c r="IFO47"/>
      <c r="IFP47"/>
      <c r="IFQ47"/>
      <c r="IFR47"/>
      <c r="IFS47"/>
      <c r="IFT47"/>
      <c r="IFU47"/>
      <c r="IFV47"/>
      <c r="IFW47"/>
      <c r="IFX47"/>
      <c r="IFY47"/>
      <c r="IFZ47"/>
      <c r="IGA47"/>
      <c r="IGB47"/>
      <c r="IGC47"/>
      <c r="IGD47"/>
      <c r="IGE47"/>
      <c r="IGF47"/>
      <c r="IGG47"/>
      <c r="IGH47"/>
      <c r="IGI47"/>
      <c r="IGJ47"/>
      <c r="IGK47"/>
      <c r="IGL47"/>
      <c r="IGM47"/>
      <c r="IGN47"/>
      <c r="IGO47"/>
      <c r="IGP47"/>
      <c r="IGQ47"/>
      <c r="IGR47"/>
      <c r="IGS47"/>
      <c r="IGT47"/>
      <c r="IGU47"/>
      <c r="IGV47"/>
      <c r="IGW47"/>
      <c r="IGX47"/>
      <c r="IGY47"/>
      <c r="IGZ47"/>
      <c r="IHA47"/>
      <c r="IHB47"/>
      <c r="IHC47"/>
      <c r="IHD47"/>
      <c r="IHE47"/>
      <c r="IHF47"/>
      <c r="IHG47"/>
      <c r="IHH47"/>
      <c r="IHI47"/>
      <c r="IHJ47"/>
      <c r="IHK47"/>
      <c r="IHL47"/>
      <c r="IHM47"/>
      <c r="IHN47"/>
      <c r="IHO47"/>
      <c r="IHP47"/>
      <c r="IHQ47"/>
      <c r="IHR47"/>
      <c r="IHS47"/>
      <c r="IHT47"/>
      <c r="IHU47"/>
      <c r="IHV47"/>
      <c r="IHW47"/>
      <c r="IHX47"/>
      <c r="IHY47"/>
      <c r="IHZ47"/>
      <c r="IIA47"/>
      <c r="IIB47"/>
      <c r="IIC47"/>
      <c r="IID47"/>
      <c r="IIE47"/>
      <c r="IIF47"/>
      <c r="IIG47"/>
      <c r="IIH47"/>
      <c r="III47"/>
      <c r="IIJ47"/>
      <c r="IIK47"/>
      <c r="IIL47"/>
      <c r="IIM47"/>
      <c r="IIN47"/>
      <c r="IIO47"/>
      <c r="IIP47"/>
      <c r="IIQ47"/>
      <c r="IIR47"/>
      <c r="IIS47"/>
      <c r="IIT47"/>
      <c r="IIU47"/>
      <c r="IIV47"/>
      <c r="IIW47"/>
      <c r="IIX47"/>
      <c r="IIY47"/>
      <c r="IIZ47"/>
      <c r="IJA47"/>
      <c r="IJB47"/>
      <c r="IJC47"/>
      <c r="IJD47"/>
      <c r="IJE47"/>
      <c r="IJF47"/>
      <c r="IJG47"/>
      <c r="IJH47"/>
      <c r="IJI47"/>
      <c r="IJJ47"/>
      <c r="IJK47"/>
      <c r="IJL47"/>
      <c r="IJM47"/>
      <c r="IJN47"/>
      <c r="IJO47"/>
      <c r="IJP47"/>
      <c r="IJQ47"/>
      <c r="IJR47"/>
      <c r="IJS47"/>
      <c r="IJT47"/>
      <c r="IJU47"/>
      <c r="IJV47"/>
      <c r="IJW47"/>
      <c r="IJX47"/>
      <c r="IJY47"/>
      <c r="IJZ47"/>
      <c r="IKA47"/>
      <c r="IKB47"/>
      <c r="IKC47"/>
      <c r="IKD47"/>
      <c r="IKE47"/>
      <c r="IKF47"/>
      <c r="IKG47"/>
      <c r="IKH47"/>
      <c r="IKI47"/>
      <c r="IKJ47"/>
      <c r="IKK47"/>
      <c r="IKL47"/>
      <c r="IKM47"/>
      <c r="IKN47"/>
      <c r="IKO47"/>
      <c r="IKP47"/>
      <c r="IKQ47"/>
      <c r="IKR47"/>
      <c r="IKS47"/>
      <c r="IKT47"/>
      <c r="IKU47"/>
      <c r="IKV47"/>
      <c r="IKW47"/>
      <c r="IKX47"/>
      <c r="IKY47"/>
      <c r="IKZ47"/>
      <c r="ILA47"/>
      <c r="ILB47"/>
      <c r="ILC47"/>
      <c r="ILD47"/>
      <c r="ILE47"/>
      <c r="ILF47"/>
      <c r="ILG47"/>
      <c r="ILH47"/>
      <c r="ILI47"/>
      <c r="ILJ47"/>
      <c r="ILK47"/>
      <c r="ILL47"/>
      <c r="ILM47"/>
      <c r="ILN47"/>
      <c r="ILO47"/>
      <c r="ILP47"/>
      <c r="ILQ47"/>
      <c r="ILR47"/>
      <c r="ILS47"/>
      <c r="ILT47"/>
      <c r="ILU47"/>
      <c r="ILV47"/>
      <c r="ILW47"/>
      <c r="ILX47"/>
      <c r="ILY47"/>
      <c r="ILZ47"/>
      <c r="IMA47"/>
      <c r="IMB47"/>
      <c r="IMC47"/>
      <c r="IMD47"/>
      <c r="IME47"/>
      <c r="IMF47"/>
      <c r="IMG47"/>
      <c r="IMH47"/>
      <c r="IMI47"/>
      <c r="IMJ47"/>
      <c r="IMK47"/>
      <c r="IML47"/>
      <c r="IMM47"/>
      <c r="IMN47"/>
      <c r="IMO47"/>
      <c r="IMP47"/>
      <c r="IMQ47"/>
      <c r="IMR47"/>
      <c r="IMS47"/>
      <c r="IMT47"/>
      <c r="IMU47"/>
      <c r="IMV47"/>
      <c r="IMW47"/>
      <c r="IMX47"/>
      <c r="IMY47"/>
      <c r="IMZ47"/>
      <c r="INA47"/>
      <c r="INB47"/>
      <c r="INC47"/>
      <c r="IND47"/>
      <c r="INE47"/>
      <c r="INF47"/>
      <c r="ING47"/>
      <c r="INH47"/>
      <c r="INI47"/>
      <c r="INJ47"/>
      <c r="INK47"/>
      <c r="INL47"/>
      <c r="INM47"/>
      <c r="INN47"/>
      <c r="INO47"/>
      <c r="INP47"/>
      <c r="INQ47"/>
      <c r="INR47"/>
      <c r="INS47"/>
      <c r="INT47"/>
      <c r="INU47"/>
      <c r="INV47"/>
      <c r="INW47"/>
      <c r="INX47"/>
      <c r="INY47"/>
      <c r="INZ47"/>
      <c r="IOA47"/>
      <c r="IOB47"/>
      <c r="IOC47"/>
      <c r="IOD47"/>
      <c r="IOE47"/>
      <c r="IOF47"/>
      <c r="IOG47"/>
      <c r="IOH47"/>
      <c r="IOI47"/>
      <c r="IOJ47"/>
      <c r="IOK47"/>
      <c r="IOL47"/>
      <c r="IOM47"/>
      <c r="ION47"/>
      <c r="IOO47"/>
      <c r="IOP47"/>
      <c r="IOQ47"/>
      <c r="IOR47"/>
      <c r="IOS47"/>
      <c r="IOT47"/>
      <c r="IOU47"/>
      <c r="IOV47"/>
      <c r="IOW47"/>
      <c r="IOX47"/>
      <c r="IOY47"/>
      <c r="IOZ47"/>
      <c r="IPA47"/>
      <c r="IPB47"/>
      <c r="IPC47"/>
      <c r="IPD47"/>
      <c r="IPE47"/>
      <c r="IPF47"/>
      <c r="IPG47"/>
      <c r="IPH47"/>
      <c r="IPI47"/>
      <c r="IPJ47"/>
      <c r="IPK47"/>
      <c r="IPL47"/>
      <c r="IPM47"/>
      <c r="IPN47"/>
      <c r="IPO47"/>
      <c r="IPP47"/>
      <c r="IPQ47"/>
      <c r="IPR47"/>
      <c r="IPS47"/>
      <c r="IPT47"/>
      <c r="IPU47"/>
      <c r="IPV47"/>
      <c r="IPW47"/>
      <c r="IPX47"/>
      <c r="IPY47"/>
      <c r="IPZ47"/>
      <c r="IQA47"/>
      <c r="IQB47"/>
      <c r="IQC47"/>
      <c r="IQD47"/>
      <c r="IQE47"/>
      <c r="IQF47"/>
      <c r="IQG47"/>
      <c r="IQH47"/>
      <c r="IQI47"/>
      <c r="IQJ47"/>
      <c r="IQK47"/>
      <c r="IQL47"/>
      <c r="IQM47"/>
      <c r="IQN47"/>
      <c r="IQO47"/>
      <c r="IQP47"/>
      <c r="IQQ47"/>
      <c r="IQR47"/>
      <c r="IQS47"/>
      <c r="IQT47"/>
      <c r="IQU47"/>
      <c r="IQV47"/>
      <c r="IQW47"/>
      <c r="IQX47"/>
      <c r="IQY47"/>
      <c r="IQZ47"/>
      <c r="IRA47"/>
      <c r="IRB47"/>
      <c r="IRC47"/>
      <c r="IRD47"/>
      <c r="IRE47"/>
      <c r="IRF47"/>
      <c r="IRG47"/>
      <c r="IRH47"/>
      <c r="IRI47"/>
      <c r="IRJ47"/>
      <c r="IRK47"/>
      <c r="IRL47"/>
      <c r="IRM47"/>
      <c r="IRN47"/>
      <c r="IRO47"/>
      <c r="IRP47"/>
      <c r="IRQ47"/>
      <c r="IRR47"/>
      <c r="IRS47"/>
      <c r="IRT47"/>
      <c r="IRU47"/>
      <c r="IRV47"/>
      <c r="IRW47"/>
      <c r="IRX47"/>
      <c r="IRY47"/>
      <c r="IRZ47"/>
      <c r="ISA47"/>
      <c r="ISB47"/>
      <c r="ISC47"/>
      <c r="ISD47"/>
      <c r="ISE47"/>
      <c r="ISF47"/>
      <c r="ISG47"/>
      <c r="ISH47"/>
      <c r="ISI47"/>
      <c r="ISJ47"/>
      <c r="ISK47"/>
      <c r="ISL47"/>
      <c r="ISM47"/>
      <c r="ISN47"/>
      <c r="ISO47"/>
      <c r="ISP47"/>
      <c r="ISQ47"/>
      <c r="ISR47"/>
      <c r="ISS47"/>
      <c r="IST47"/>
      <c r="ISU47"/>
      <c r="ISV47"/>
      <c r="ISW47"/>
      <c r="ISX47"/>
      <c r="ISY47"/>
      <c r="ISZ47"/>
      <c r="ITA47"/>
      <c r="ITB47"/>
      <c r="ITC47"/>
      <c r="ITD47"/>
      <c r="ITE47"/>
      <c r="ITF47"/>
      <c r="ITG47"/>
      <c r="ITH47"/>
      <c r="ITI47"/>
      <c r="ITJ47"/>
      <c r="ITK47"/>
      <c r="ITL47"/>
      <c r="ITM47"/>
      <c r="ITN47"/>
      <c r="ITO47"/>
      <c r="ITP47"/>
      <c r="ITQ47"/>
      <c r="ITR47"/>
      <c r="ITS47"/>
      <c r="ITT47"/>
      <c r="ITU47"/>
      <c r="ITV47"/>
      <c r="ITW47"/>
      <c r="ITX47"/>
      <c r="ITY47"/>
      <c r="ITZ47"/>
      <c r="IUA47"/>
      <c r="IUB47"/>
      <c r="IUC47"/>
      <c r="IUD47"/>
      <c r="IUE47"/>
      <c r="IUF47"/>
      <c r="IUG47"/>
      <c r="IUH47"/>
      <c r="IUI47"/>
      <c r="IUJ47"/>
      <c r="IUK47"/>
      <c r="IUL47"/>
      <c r="IUM47"/>
      <c r="IUN47"/>
      <c r="IUO47"/>
      <c r="IUP47"/>
      <c r="IUQ47"/>
      <c r="IUR47"/>
      <c r="IUS47"/>
      <c r="IUT47"/>
      <c r="IUU47"/>
      <c r="IUV47"/>
      <c r="IUW47"/>
      <c r="IUX47"/>
      <c r="IUY47"/>
      <c r="IUZ47"/>
      <c r="IVA47"/>
      <c r="IVB47"/>
      <c r="IVC47"/>
      <c r="IVD47"/>
      <c r="IVE47"/>
      <c r="IVF47"/>
      <c r="IVG47"/>
      <c r="IVH47"/>
      <c r="IVI47"/>
      <c r="IVJ47"/>
      <c r="IVK47"/>
      <c r="IVL47"/>
      <c r="IVM47"/>
      <c r="IVN47"/>
      <c r="IVO47"/>
      <c r="IVP47"/>
      <c r="IVQ47"/>
      <c r="IVR47"/>
      <c r="IVS47"/>
      <c r="IVT47"/>
      <c r="IVU47"/>
      <c r="IVV47"/>
      <c r="IVW47"/>
      <c r="IVX47"/>
      <c r="IVY47"/>
      <c r="IVZ47"/>
      <c r="IWA47"/>
      <c r="IWB47"/>
      <c r="IWC47"/>
      <c r="IWD47"/>
      <c r="IWE47"/>
      <c r="IWF47"/>
      <c r="IWG47"/>
      <c r="IWH47"/>
      <c r="IWI47"/>
      <c r="IWJ47"/>
      <c r="IWK47"/>
      <c r="IWL47"/>
      <c r="IWM47"/>
      <c r="IWN47"/>
      <c r="IWO47"/>
      <c r="IWP47"/>
      <c r="IWQ47"/>
      <c r="IWR47"/>
      <c r="IWS47"/>
      <c r="IWT47"/>
      <c r="IWU47"/>
      <c r="IWV47"/>
      <c r="IWW47"/>
      <c r="IWX47"/>
      <c r="IWY47"/>
      <c r="IWZ47"/>
      <c r="IXA47"/>
      <c r="IXB47"/>
      <c r="IXC47"/>
      <c r="IXD47"/>
      <c r="IXE47"/>
      <c r="IXF47"/>
      <c r="IXG47"/>
      <c r="IXH47"/>
      <c r="IXI47"/>
      <c r="IXJ47"/>
      <c r="IXK47"/>
      <c r="IXL47"/>
      <c r="IXM47"/>
      <c r="IXN47"/>
      <c r="IXO47"/>
      <c r="IXP47"/>
      <c r="IXQ47"/>
      <c r="IXR47"/>
      <c r="IXS47"/>
      <c r="IXT47"/>
      <c r="IXU47"/>
      <c r="IXV47"/>
      <c r="IXW47"/>
      <c r="IXX47"/>
      <c r="IXY47"/>
      <c r="IXZ47"/>
      <c r="IYA47"/>
      <c r="IYB47"/>
      <c r="IYC47"/>
      <c r="IYD47"/>
      <c r="IYE47"/>
      <c r="IYF47"/>
      <c r="IYG47"/>
      <c r="IYH47"/>
      <c r="IYI47"/>
      <c r="IYJ47"/>
      <c r="IYK47"/>
      <c r="IYL47"/>
      <c r="IYM47"/>
      <c r="IYN47"/>
      <c r="IYO47"/>
      <c r="IYP47"/>
      <c r="IYQ47"/>
      <c r="IYR47"/>
      <c r="IYS47"/>
      <c r="IYT47"/>
      <c r="IYU47"/>
      <c r="IYV47"/>
      <c r="IYW47"/>
      <c r="IYX47"/>
      <c r="IYY47"/>
      <c r="IYZ47"/>
      <c r="IZA47"/>
      <c r="IZB47"/>
      <c r="IZC47"/>
      <c r="IZD47"/>
      <c r="IZE47"/>
      <c r="IZF47"/>
      <c r="IZG47"/>
      <c r="IZH47"/>
      <c r="IZI47"/>
      <c r="IZJ47"/>
      <c r="IZK47"/>
      <c r="IZL47"/>
      <c r="IZM47"/>
      <c r="IZN47"/>
      <c r="IZO47"/>
      <c r="IZP47"/>
      <c r="IZQ47"/>
      <c r="IZR47"/>
      <c r="IZS47"/>
      <c r="IZT47"/>
      <c r="IZU47"/>
      <c r="IZV47"/>
      <c r="IZW47"/>
      <c r="IZX47"/>
      <c r="IZY47"/>
      <c r="IZZ47"/>
      <c r="JAA47"/>
      <c r="JAB47"/>
      <c r="JAC47"/>
      <c r="JAD47"/>
      <c r="JAE47"/>
      <c r="JAF47"/>
      <c r="JAG47"/>
      <c r="JAH47"/>
      <c r="JAI47"/>
      <c r="JAJ47"/>
      <c r="JAK47"/>
      <c r="JAL47"/>
      <c r="JAM47"/>
      <c r="JAN47"/>
      <c r="JAO47"/>
      <c r="JAP47"/>
      <c r="JAQ47"/>
      <c r="JAR47"/>
      <c r="JAS47"/>
      <c r="JAT47"/>
      <c r="JAU47"/>
      <c r="JAV47"/>
      <c r="JAW47"/>
      <c r="JAX47"/>
      <c r="JAY47"/>
      <c r="JAZ47"/>
      <c r="JBA47"/>
      <c r="JBB47"/>
      <c r="JBC47"/>
      <c r="JBD47"/>
      <c r="JBE47"/>
      <c r="JBF47"/>
      <c r="JBG47"/>
      <c r="JBH47"/>
      <c r="JBI47"/>
      <c r="JBJ47"/>
      <c r="JBK47"/>
      <c r="JBL47"/>
      <c r="JBM47"/>
      <c r="JBN47"/>
      <c r="JBO47"/>
      <c r="JBP47"/>
      <c r="JBQ47"/>
      <c r="JBR47"/>
      <c r="JBS47"/>
      <c r="JBT47"/>
      <c r="JBU47"/>
      <c r="JBV47"/>
      <c r="JBW47"/>
      <c r="JBX47"/>
      <c r="JBY47"/>
      <c r="JBZ47"/>
      <c r="JCA47"/>
      <c r="JCB47"/>
      <c r="JCC47"/>
      <c r="JCD47"/>
      <c r="JCE47"/>
      <c r="JCF47"/>
      <c r="JCG47"/>
      <c r="JCH47"/>
      <c r="JCI47"/>
      <c r="JCJ47"/>
      <c r="JCK47"/>
      <c r="JCL47"/>
      <c r="JCM47"/>
      <c r="JCN47"/>
      <c r="JCO47"/>
      <c r="JCP47"/>
      <c r="JCQ47"/>
      <c r="JCR47"/>
      <c r="JCS47"/>
      <c r="JCT47"/>
      <c r="JCU47"/>
      <c r="JCV47"/>
      <c r="JCW47"/>
      <c r="JCX47"/>
      <c r="JCY47"/>
      <c r="JCZ47"/>
      <c r="JDA47"/>
      <c r="JDB47"/>
      <c r="JDC47"/>
      <c r="JDD47"/>
      <c r="JDE47"/>
      <c r="JDF47"/>
      <c r="JDG47"/>
      <c r="JDH47"/>
      <c r="JDI47"/>
      <c r="JDJ47"/>
      <c r="JDK47"/>
      <c r="JDL47"/>
      <c r="JDM47"/>
      <c r="JDN47"/>
      <c r="JDO47"/>
      <c r="JDP47"/>
      <c r="JDQ47"/>
      <c r="JDR47"/>
      <c r="JDS47"/>
      <c r="JDT47"/>
      <c r="JDU47"/>
      <c r="JDV47"/>
      <c r="JDW47"/>
      <c r="JDX47"/>
      <c r="JDY47"/>
      <c r="JDZ47"/>
      <c r="JEA47"/>
      <c r="JEB47"/>
      <c r="JEC47"/>
      <c r="JED47"/>
      <c r="JEE47"/>
      <c r="JEF47"/>
      <c r="JEG47"/>
      <c r="JEH47"/>
      <c r="JEI47"/>
      <c r="JEJ47"/>
      <c r="JEK47"/>
      <c r="JEL47"/>
      <c r="JEM47"/>
      <c r="JEN47"/>
      <c r="JEO47"/>
      <c r="JEP47"/>
      <c r="JEQ47"/>
      <c r="JER47"/>
      <c r="JES47"/>
      <c r="JET47"/>
      <c r="JEU47"/>
      <c r="JEV47"/>
      <c r="JEW47"/>
      <c r="JEX47"/>
      <c r="JEY47"/>
      <c r="JEZ47"/>
      <c r="JFA47"/>
      <c r="JFB47"/>
      <c r="JFC47"/>
      <c r="JFD47"/>
      <c r="JFE47"/>
      <c r="JFF47"/>
      <c r="JFG47"/>
      <c r="JFH47"/>
      <c r="JFI47"/>
      <c r="JFJ47"/>
      <c r="JFK47"/>
      <c r="JFL47"/>
      <c r="JFM47"/>
      <c r="JFN47"/>
      <c r="JFO47"/>
      <c r="JFP47"/>
      <c r="JFQ47"/>
      <c r="JFR47"/>
      <c r="JFS47"/>
      <c r="JFT47"/>
      <c r="JFU47"/>
      <c r="JFV47"/>
      <c r="JFW47"/>
      <c r="JFX47"/>
      <c r="JFY47"/>
      <c r="JFZ47"/>
      <c r="JGA47"/>
      <c r="JGB47"/>
      <c r="JGC47"/>
      <c r="JGD47"/>
      <c r="JGE47"/>
      <c r="JGF47"/>
      <c r="JGG47"/>
      <c r="JGH47"/>
      <c r="JGI47"/>
      <c r="JGJ47"/>
      <c r="JGK47"/>
      <c r="JGL47"/>
      <c r="JGM47"/>
      <c r="JGN47"/>
      <c r="JGO47"/>
      <c r="JGP47"/>
      <c r="JGQ47"/>
      <c r="JGR47"/>
      <c r="JGS47"/>
      <c r="JGT47"/>
      <c r="JGU47"/>
      <c r="JGV47"/>
      <c r="JGW47"/>
      <c r="JGX47"/>
      <c r="JGY47"/>
      <c r="JGZ47"/>
      <c r="JHA47"/>
      <c r="JHB47"/>
      <c r="JHC47"/>
      <c r="JHD47"/>
      <c r="JHE47"/>
      <c r="JHF47"/>
      <c r="JHG47"/>
      <c r="JHH47"/>
      <c r="JHI47"/>
      <c r="JHJ47"/>
      <c r="JHK47"/>
      <c r="JHL47"/>
      <c r="JHM47"/>
      <c r="JHN47"/>
      <c r="JHO47"/>
      <c r="JHP47"/>
      <c r="JHQ47"/>
      <c r="JHR47"/>
      <c r="JHS47"/>
      <c r="JHT47"/>
      <c r="JHU47"/>
      <c r="JHV47"/>
      <c r="JHW47"/>
      <c r="JHX47"/>
      <c r="JHY47"/>
      <c r="JHZ47"/>
      <c r="JIA47"/>
      <c r="JIB47"/>
      <c r="JIC47"/>
      <c r="JID47"/>
      <c r="JIE47"/>
      <c r="JIF47"/>
      <c r="JIG47"/>
      <c r="JIH47"/>
      <c r="JII47"/>
      <c r="JIJ47"/>
      <c r="JIK47"/>
      <c r="JIL47"/>
      <c r="JIM47"/>
      <c r="JIN47"/>
      <c r="JIO47"/>
      <c r="JIP47"/>
      <c r="JIQ47"/>
      <c r="JIR47"/>
      <c r="JIS47"/>
      <c r="JIT47"/>
      <c r="JIU47"/>
      <c r="JIV47"/>
      <c r="JIW47"/>
      <c r="JIX47"/>
      <c r="JIY47"/>
      <c r="JIZ47"/>
      <c r="JJA47"/>
      <c r="JJB47"/>
      <c r="JJC47"/>
      <c r="JJD47"/>
      <c r="JJE47"/>
      <c r="JJF47"/>
      <c r="JJG47"/>
      <c r="JJH47"/>
      <c r="JJI47"/>
      <c r="JJJ47"/>
      <c r="JJK47"/>
      <c r="JJL47"/>
      <c r="JJM47"/>
      <c r="JJN47"/>
      <c r="JJO47"/>
      <c r="JJP47"/>
      <c r="JJQ47"/>
      <c r="JJR47"/>
      <c r="JJS47"/>
      <c r="JJT47"/>
      <c r="JJU47"/>
      <c r="JJV47"/>
      <c r="JJW47"/>
      <c r="JJX47"/>
      <c r="JJY47"/>
      <c r="JJZ47"/>
      <c r="JKA47"/>
      <c r="JKB47"/>
      <c r="JKC47"/>
      <c r="JKD47"/>
      <c r="JKE47"/>
      <c r="JKF47"/>
      <c r="JKG47"/>
      <c r="JKH47"/>
      <c r="JKI47"/>
      <c r="JKJ47"/>
      <c r="JKK47"/>
      <c r="JKL47"/>
      <c r="JKM47"/>
      <c r="JKN47"/>
      <c r="JKO47"/>
      <c r="JKP47"/>
      <c r="JKQ47"/>
      <c r="JKR47"/>
      <c r="JKS47"/>
      <c r="JKT47"/>
      <c r="JKU47"/>
      <c r="JKV47"/>
      <c r="JKW47"/>
      <c r="JKX47"/>
      <c r="JKY47"/>
      <c r="JKZ47"/>
      <c r="JLA47"/>
      <c r="JLB47"/>
      <c r="JLC47"/>
      <c r="JLD47"/>
      <c r="JLE47"/>
      <c r="JLF47"/>
      <c r="JLG47"/>
      <c r="JLH47"/>
      <c r="JLI47"/>
      <c r="JLJ47"/>
      <c r="JLK47"/>
      <c r="JLL47"/>
      <c r="JLM47"/>
      <c r="JLN47"/>
      <c r="JLO47"/>
      <c r="JLP47"/>
      <c r="JLQ47"/>
      <c r="JLR47"/>
      <c r="JLS47"/>
      <c r="JLT47"/>
      <c r="JLU47"/>
      <c r="JLV47"/>
      <c r="JLW47"/>
      <c r="JLX47"/>
      <c r="JLY47"/>
      <c r="JLZ47"/>
      <c r="JMA47"/>
      <c r="JMB47"/>
      <c r="JMC47"/>
      <c r="JMD47"/>
      <c r="JME47"/>
      <c r="JMF47"/>
      <c r="JMG47"/>
      <c r="JMH47"/>
      <c r="JMI47"/>
      <c r="JMJ47"/>
      <c r="JMK47"/>
      <c r="JML47"/>
      <c r="JMM47"/>
      <c r="JMN47"/>
      <c r="JMO47"/>
      <c r="JMP47"/>
      <c r="JMQ47"/>
      <c r="JMR47"/>
      <c r="JMS47"/>
      <c r="JMT47"/>
      <c r="JMU47"/>
      <c r="JMV47"/>
      <c r="JMW47"/>
      <c r="JMX47"/>
      <c r="JMY47"/>
      <c r="JMZ47"/>
      <c r="JNA47"/>
      <c r="JNB47"/>
      <c r="JNC47"/>
      <c r="JND47"/>
      <c r="JNE47"/>
      <c r="JNF47"/>
      <c r="JNG47"/>
      <c r="JNH47"/>
      <c r="JNI47"/>
      <c r="JNJ47"/>
      <c r="JNK47"/>
      <c r="JNL47"/>
      <c r="JNM47"/>
      <c r="JNN47"/>
      <c r="JNO47"/>
      <c r="JNP47"/>
      <c r="JNQ47"/>
      <c r="JNR47"/>
      <c r="JNS47"/>
      <c r="JNT47"/>
      <c r="JNU47"/>
      <c r="JNV47"/>
      <c r="JNW47"/>
      <c r="JNX47"/>
      <c r="JNY47"/>
      <c r="JNZ47"/>
      <c r="JOA47"/>
      <c r="JOB47"/>
      <c r="JOC47"/>
      <c r="JOD47"/>
      <c r="JOE47"/>
      <c r="JOF47"/>
      <c r="JOG47"/>
      <c r="JOH47"/>
      <c r="JOI47"/>
      <c r="JOJ47"/>
      <c r="JOK47"/>
      <c r="JOL47"/>
      <c r="JOM47"/>
      <c r="JON47"/>
      <c r="JOO47"/>
      <c r="JOP47"/>
      <c r="JOQ47"/>
      <c r="JOR47"/>
      <c r="JOS47"/>
      <c r="JOT47"/>
      <c r="JOU47"/>
      <c r="JOV47"/>
      <c r="JOW47"/>
      <c r="JOX47"/>
      <c r="JOY47"/>
      <c r="JOZ47"/>
      <c r="JPA47"/>
      <c r="JPB47"/>
      <c r="JPC47"/>
      <c r="JPD47"/>
      <c r="JPE47"/>
      <c r="JPF47"/>
      <c r="JPG47"/>
      <c r="JPH47"/>
      <c r="JPI47"/>
      <c r="JPJ47"/>
      <c r="JPK47"/>
      <c r="JPL47"/>
      <c r="JPM47"/>
      <c r="JPN47"/>
      <c r="JPO47"/>
      <c r="JPP47"/>
      <c r="JPQ47"/>
      <c r="JPR47"/>
      <c r="JPS47"/>
      <c r="JPT47"/>
      <c r="JPU47"/>
      <c r="JPV47"/>
      <c r="JPW47"/>
      <c r="JPX47"/>
      <c r="JPY47"/>
      <c r="JPZ47"/>
      <c r="JQA47"/>
      <c r="JQB47"/>
      <c r="JQC47"/>
      <c r="JQD47"/>
      <c r="JQE47"/>
      <c r="JQF47"/>
      <c r="JQG47"/>
      <c r="JQH47"/>
      <c r="JQI47"/>
      <c r="JQJ47"/>
      <c r="JQK47"/>
      <c r="JQL47"/>
      <c r="JQM47"/>
      <c r="JQN47"/>
      <c r="JQO47"/>
      <c r="JQP47"/>
      <c r="JQQ47"/>
      <c r="JQR47"/>
      <c r="JQS47"/>
      <c r="JQT47"/>
      <c r="JQU47"/>
      <c r="JQV47"/>
      <c r="JQW47"/>
      <c r="JQX47"/>
      <c r="JQY47"/>
      <c r="JQZ47"/>
      <c r="JRA47"/>
      <c r="JRB47"/>
      <c r="JRC47"/>
      <c r="JRD47"/>
      <c r="JRE47"/>
      <c r="JRF47"/>
      <c r="JRG47"/>
      <c r="JRH47"/>
      <c r="JRI47"/>
      <c r="JRJ47"/>
      <c r="JRK47"/>
      <c r="JRL47"/>
      <c r="JRM47"/>
      <c r="JRN47"/>
      <c r="JRO47"/>
      <c r="JRP47"/>
      <c r="JRQ47"/>
      <c r="JRR47"/>
      <c r="JRS47"/>
      <c r="JRT47"/>
      <c r="JRU47"/>
      <c r="JRV47"/>
      <c r="JRW47"/>
      <c r="JRX47"/>
      <c r="JRY47"/>
      <c r="JRZ47"/>
      <c r="JSA47"/>
      <c r="JSB47"/>
      <c r="JSC47"/>
      <c r="JSD47"/>
      <c r="JSE47"/>
      <c r="JSF47"/>
      <c r="JSG47"/>
      <c r="JSH47"/>
      <c r="JSI47"/>
      <c r="JSJ47"/>
      <c r="JSK47"/>
      <c r="JSL47"/>
      <c r="JSM47"/>
      <c r="JSN47"/>
      <c r="JSO47"/>
      <c r="JSP47"/>
      <c r="JSQ47"/>
      <c r="JSR47"/>
      <c r="JSS47"/>
      <c r="JST47"/>
      <c r="JSU47"/>
      <c r="JSV47"/>
      <c r="JSW47"/>
      <c r="JSX47"/>
      <c r="JSY47"/>
      <c r="JSZ47"/>
      <c r="JTA47"/>
      <c r="JTB47"/>
      <c r="JTC47"/>
      <c r="JTD47"/>
      <c r="JTE47"/>
      <c r="JTF47"/>
      <c r="JTG47"/>
      <c r="JTH47"/>
      <c r="JTI47"/>
      <c r="JTJ47"/>
      <c r="JTK47"/>
      <c r="JTL47"/>
      <c r="JTM47"/>
      <c r="JTN47"/>
      <c r="JTO47"/>
      <c r="JTP47"/>
      <c r="JTQ47"/>
      <c r="JTR47"/>
      <c r="JTS47"/>
      <c r="JTT47"/>
      <c r="JTU47"/>
      <c r="JTV47"/>
      <c r="JTW47"/>
      <c r="JTX47"/>
      <c r="JTY47"/>
      <c r="JTZ47"/>
      <c r="JUA47"/>
      <c r="JUB47"/>
      <c r="JUC47"/>
      <c r="JUD47"/>
      <c r="JUE47"/>
      <c r="JUF47"/>
      <c r="JUG47"/>
      <c r="JUH47"/>
      <c r="JUI47"/>
      <c r="JUJ47"/>
      <c r="JUK47"/>
      <c r="JUL47"/>
      <c r="JUM47"/>
      <c r="JUN47"/>
      <c r="JUO47"/>
      <c r="JUP47"/>
      <c r="JUQ47"/>
      <c r="JUR47"/>
      <c r="JUS47"/>
      <c r="JUT47"/>
      <c r="JUU47"/>
      <c r="JUV47"/>
      <c r="JUW47"/>
      <c r="JUX47"/>
      <c r="JUY47"/>
      <c r="JUZ47"/>
      <c r="JVA47"/>
      <c r="JVB47"/>
      <c r="JVC47"/>
      <c r="JVD47"/>
      <c r="JVE47"/>
      <c r="JVF47"/>
      <c r="JVG47"/>
      <c r="JVH47"/>
      <c r="JVI47"/>
      <c r="JVJ47"/>
      <c r="JVK47"/>
      <c r="JVL47"/>
      <c r="JVM47"/>
      <c r="JVN47"/>
      <c r="JVO47"/>
      <c r="JVP47"/>
      <c r="JVQ47"/>
      <c r="JVR47"/>
      <c r="JVS47"/>
      <c r="JVT47"/>
      <c r="JVU47"/>
      <c r="JVV47"/>
      <c r="JVW47"/>
      <c r="JVX47"/>
      <c r="JVY47"/>
      <c r="JVZ47"/>
      <c r="JWA47"/>
      <c r="JWB47"/>
      <c r="JWC47"/>
      <c r="JWD47"/>
      <c r="JWE47"/>
      <c r="JWF47"/>
      <c r="JWG47"/>
      <c r="JWH47"/>
      <c r="JWI47"/>
      <c r="JWJ47"/>
      <c r="JWK47"/>
      <c r="JWL47"/>
      <c r="JWM47"/>
      <c r="JWN47"/>
      <c r="JWO47"/>
      <c r="JWP47"/>
      <c r="JWQ47"/>
      <c r="JWR47"/>
      <c r="JWS47"/>
      <c r="JWT47"/>
      <c r="JWU47"/>
      <c r="JWV47"/>
      <c r="JWW47"/>
      <c r="JWX47"/>
      <c r="JWY47"/>
      <c r="JWZ47"/>
      <c r="JXA47"/>
      <c r="JXB47"/>
      <c r="JXC47"/>
      <c r="JXD47"/>
      <c r="JXE47"/>
      <c r="JXF47"/>
      <c r="JXG47"/>
      <c r="JXH47"/>
      <c r="JXI47"/>
      <c r="JXJ47"/>
      <c r="JXK47"/>
      <c r="JXL47"/>
      <c r="JXM47"/>
      <c r="JXN47"/>
      <c r="JXO47"/>
      <c r="JXP47"/>
      <c r="JXQ47"/>
      <c r="JXR47"/>
      <c r="JXS47"/>
      <c r="JXT47"/>
      <c r="JXU47"/>
      <c r="JXV47"/>
      <c r="JXW47"/>
      <c r="JXX47"/>
      <c r="JXY47"/>
      <c r="JXZ47"/>
      <c r="JYA47"/>
      <c r="JYB47"/>
      <c r="JYC47"/>
      <c r="JYD47"/>
      <c r="JYE47"/>
      <c r="JYF47"/>
      <c r="JYG47"/>
      <c r="JYH47"/>
      <c r="JYI47"/>
      <c r="JYJ47"/>
      <c r="JYK47"/>
      <c r="JYL47"/>
      <c r="JYM47"/>
      <c r="JYN47"/>
      <c r="JYO47"/>
      <c r="JYP47"/>
      <c r="JYQ47"/>
      <c r="JYR47"/>
      <c r="JYS47"/>
      <c r="JYT47"/>
      <c r="JYU47"/>
      <c r="JYV47"/>
      <c r="JYW47"/>
      <c r="JYX47"/>
      <c r="JYY47"/>
      <c r="JYZ47"/>
      <c r="JZA47"/>
      <c r="JZB47"/>
      <c r="JZC47"/>
      <c r="JZD47"/>
      <c r="JZE47"/>
      <c r="JZF47"/>
      <c r="JZG47"/>
      <c r="JZH47"/>
      <c r="JZI47"/>
      <c r="JZJ47"/>
      <c r="JZK47"/>
      <c r="JZL47"/>
      <c r="JZM47"/>
      <c r="JZN47"/>
      <c r="JZO47"/>
      <c r="JZP47"/>
      <c r="JZQ47"/>
      <c r="JZR47"/>
      <c r="JZS47"/>
      <c r="JZT47"/>
      <c r="JZU47"/>
      <c r="JZV47"/>
      <c r="JZW47"/>
      <c r="JZX47"/>
      <c r="JZY47"/>
      <c r="JZZ47"/>
      <c r="KAA47"/>
      <c r="KAB47"/>
      <c r="KAC47"/>
      <c r="KAD47"/>
      <c r="KAE47"/>
      <c r="KAF47"/>
      <c r="KAG47"/>
      <c r="KAH47"/>
      <c r="KAI47"/>
      <c r="KAJ47"/>
      <c r="KAK47"/>
      <c r="KAL47"/>
      <c r="KAM47"/>
      <c r="KAN47"/>
      <c r="KAO47"/>
      <c r="KAP47"/>
      <c r="KAQ47"/>
      <c r="KAR47"/>
      <c r="KAS47"/>
      <c r="KAT47"/>
      <c r="KAU47"/>
      <c r="KAV47"/>
      <c r="KAW47"/>
      <c r="KAX47"/>
      <c r="KAY47"/>
      <c r="KAZ47"/>
      <c r="KBA47"/>
      <c r="KBB47"/>
      <c r="KBC47"/>
      <c r="KBD47"/>
      <c r="KBE47"/>
      <c r="KBF47"/>
      <c r="KBG47"/>
      <c r="KBH47"/>
      <c r="KBI47"/>
      <c r="KBJ47"/>
      <c r="KBK47"/>
      <c r="KBL47"/>
      <c r="KBM47"/>
      <c r="KBN47"/>
      <c r="KBO47"/>
      <c r="KBP47"/>
      <c r="KBQ47"/>
      <c r="KBR47"/>
      <c r="KBS47"/>
      <c r="KBT47"/>
      <c r="KBU47"/>
      <c r="KBV47"/>
      <c r="KBW47"/>
      <c r="KBX47"/>
      <c r="KBY47"/>
      <c r="KBZ47"/>
      <c r="KCA47"/>
      <c r="KCB47"/>
      <c r="KCC47"/>
      <c r="KCD47"/>
      <c r="KCE47"/>
      <c r="KCF47"/>
      <c r="KCG47"/>
      <c r="KCH47"/>
      <c r="KCI47"/>
      <c r="KCJ47"/>
      <c r="KCK47"/>
      <c r="KCL47"/>
      <c r="KCM47"/>
      <c r="KCN47"/>
      <c r="KCO47"/>
      <c r="KCP47"/>
      <c r="KCQ47"/>
      <c r="KCR47"/>
      <c r="KCS47"/>
      <c r="KCT47"/>
      <c r="KCU47"/>
      <c r="KCV47"/>
      <c r="KCW47"/>
      <c r="KCX47"/>
      <c r="KCY47"/>
      <c r="KCZ47"/>
      <c r="KDA47"/>
      <c r="KDB47"/>
      <c r="KDC47"/>
      <c r="KDD47"/>
      <c r="KDE47"/>
      <c r="KDF47"/>
      <c r="KDG47"/>
      <c r="KDH47"/>
      <c r="KDI47"/>
      <c r="KDJ47"/>
      <c r="KDK47"/>
      <c r="KDL47"/>
      <c r="KDM47"/>
      <c r="KDN47"/>
      <c r="KDO47"/>
      <c r="KDP47"/>
      <c r="KDQ47"/>
      <c r="KDR47"/>
      <c r="KDS47"/>
      <c r="KDT47"/>
      <c r="KDU47"/>
      <c r="KDV47"/>
      <c r="KDW47"/>
      <c r="KDX47"/>
      <c r="KDY47"/>
      <c r="KDZ47"/>
      <c r="KEA47"/>
      <c r="KEB47"/>
      <c r="KEC47"/>
      <c r="KED47"/>
      <c r="KEE47"/>
      <c r="KEF47"/>
      <c r="KEG47"/>
      <c r="KEH47"/>
      <c r="KEI47"/>
      <c r="KEJ47"/>
      <c r="KEK47"/>
      <c r="KEL47"/>
      <c r="KEM47"/>
      <c r="KEN47"/>
      <c r="KEO47"/>
      <c r="KEP47"/>
      <c r="KEQ47"/>
      <c r="KER47"/>
      <c r="KES47"/>
      <c r="KET47"/>
      <c r="KEU47"/>
      <c r="KEV47"/>
      <c r="KEW47"/>
      <c r="KEX47"/>
      <c r="KEY47"/>
      <c r="KEZ47"/>
      <c r="KFA47"/>
      <c r="KFB47"/>
      <c r="KFC47"/>
      <c r="KFD47"/>
      <c r="KFE47"/>
      <c r="KFF47"/>
      <c r="KFG47"/>
      <c r="KFH47"/>
      <c r="KFI47"/>
      <c r="KFJ47"/>
      <c r="KFK47"/>
      <c r="KFL47"/>
      <c r="KFM47"/>
      <c r="KFN47"/>
      <c r="KFO47"/>
      <c r="KFP47"/>
      <c r="KFQ47"/>
      <c r="KFR47"/>
      <c r="KFS47"/>
      <c r="KFT47"/>
      <c r="KFU47"/>
      <c r="KFV47"/>
      <c r="KFW47"/>
      <c r="KFX47"/>
      <c r="KFY47"/>
      <c r="KFZ47"/>
      <c r="KGA47"/>
      <c r="KGB47"/>
      <c r="KGC47"/>
      <c r="KGD47"/>
      <c r="KGE47"/>
      <c r="KGF47"/>
      <c r="KGG47"/>
      <c r="KGH47"/>
      <c r="KGI47"/>
      <c r="KGJ47"/>
      <c r="KGK47"/>
      <c r="KGL47"/>
      <c r="KGM47"/>
      <c r="KGN47"/>
      <c r="KGO47"/>
      <c r="KGP47"/>
      <c r="KGQ47"/>
      <c r="KGR47"/>
      <c r="KGS47"/>
      <c r="KGT47"/>
      <c r="KGU47"/>
      <c r="KGV47"/>
      <c r="KGW47"/>
      <c r="KGX47"/>
      <c r="KGY47"/>
      <c r="KGZ47"/>
      <c r="KHA47"/>
      <c r="KHB47"/>
      <c r="KHC47"/>
      <c r="KHD47"/>
      <c r="KHE47"/>
      <c r="KHF47"/>
      <c r="KHG47"/>
      <c r="KHH47"/>
      <c r="KHI47"/>
      <c r="KHJ47"/>
      <c r="KHK47"/>
      <c r="KHL47"/>
      <c r="KHM47"/>
      <c r="KHN47"/>
      <c r="KHO47"/>
      <c r="KHP47"/>
      <c r="KHQ47"/>
      <c r="KHR47"/>
      <c r="KHS47"/>
      <c r="KHT47"/>
      <c r="KHU47"/>
      <c r="KHV47"/>
      <c r="KHW47"/>
      <c r="KHX47"/>
      <c r="KHY47"/>
      <c r="KHZ47"/>
      <c r="KIA47"/>
      <c r="KIB47"/>
      <c r="KIC47"/>
      <c r="KID47"/>
      <c r="KIE47"/>
      <c r="KIF47"/>
      <c r="KIG47"/>
      <c r="KIH47"/>
      <c r="KII47"/>
      <c r="KIJ47"/>
      <c r="KIK47"/>
      <c r="KIL47"/>
      <c r="KIM47"/>
      <c r="KIN47"/>
      <c r="KIO47"/>
      <c r="KIP47"/>
      <c r="KIQ47"/>
      <c r="KIR47"/>
      <c r="KIS47"/>
      <c r="KIT47"/>
      <c r="KIU47"/>
      <c r="KIV47"/>
      <c r="KIW47"/>
      <c r="KIX47"/>
      <c r="KIY47"/>
      <c r="KIZ47"/>
      <c r="KJA47"/>
      <c r="KJB47"/>
      <c r="KJC47"/>
      <c r="KJD47"/>
      <c r="KJE47"/>
      <c r="KJF47"/>
      <c r="KJG47"/>
      <c r="KJH47"/>
      <c r="KJI47"/>
      <c r="KJJ47"/>
      <c r="KJK47"/>
      <c r="KJL47"/>
      <c r="KJM47"/>
      <c r="KJN47"/>
      <c r="KJO47"/>
      <c r="KJP47"/>
      <c r="KJQ47"/>
      <c r="KJR47"/>
      <c r="KJS47"/>
      <c r="KJT47"/>
      <c r="KJU47"/>
      <c r="KJV47"/>
      <c r="KJW47"/>
      <c r="KJX47"/>
      <c r="KJY47"/>
      <c r="KJZ47"/>
      <c r="KKA47"/>
      <c r="KKB47"/>
      <c r="KKC47"/>
      <c r="KKD47"/>
      <c r="KKE47"/>
      <c r="KKF47"/>
      <c r="KKG47"/>
      <c r="KKH47"/>
      <c r="KKI47"/>
      <c r="KKJ47"/>
      <c r="KKK47"/>
      <c r="KKL47"/>
      <c r="KKM47"/>
      <c r="KKN47"/>
      <c r="KKO47"/>
      <c r="KKP47"/>
      <c r="KKQ47"/>
      <c r="KKR47"/>
      <c r="KKS47"/>
      <c r="KKT47"/>
      <c r="KKU47"/>
      <c r="KKV47"/>
      <c r="KKW47"/>
      <c r="KKX47"/>
      <c r="KKY47"/>
      <c r="KKZ47"/>
      <c r="KLA47"/>
      <c r="KLB47"/>
      <c r="KLC47"/>
      <c r="KLD47"/>
      <c r="KLE47"/>
      <c r="KLF47"/>
      <c r="KLG47"/>
      <c r="KLH47"/>
      <c r="KLI47"/>
      <c r="KLJ47"/>
      <c r="KLK47"/>
      <c r="KLL47"/>
      <c r="KLM47"/>
      <c r="KLN47"/>
      <c r="KLO47"/>
      <c r="KLP47"/>
      <c r="KLQ47"/>
      <c r="KLR47"/>
      <c r="KLS47"/>
      <c r="KLT47"/>
      <c r="KLU47"/>
      <c r="KLV47"/>
      <c r="KLW47"/>
      <c r="KLX47"/>
      <c r="KLY47"/>
      <c r="KLZ47"/>
      <c r="KMA47"/>
      <c r="KMB47"/>
      <c r="KMC47"/>
      <c r="KMD47"/>
      <c r="KME47"/>
      <c r="KMF47"/>
      <c r="KMG47"/>
      <c r="KMH47"/>
      <c r="KMI47"/>
      <c r="KMJ47"/>
      <c r="KMK47"/>
      <c r="KML47"/>
      <c r="KMM47"/>
      <c r="KMN47"/>
      <c r="KMO47"/>
      <c r="KMP47"/>
      <c r="KMQ47"/>
      <c r="KMR47"/>
      <c r="KMS47"/>
      <c r="KMT47"/>
      <c r="KMU47"/>
      <c r="KMV47"/>
      <c r="KMW47"/>
      <c r="KMX47"/>
      <c r="KMY47"/>
      <c r="KMZ47"/>
      <c r="KNA47"/>
      <c r="KNB47"/>
      <c r="KNC47"/>
      <c r="KND47"/>
      <c r="KNE47"/>
      <c r="KNF47"/>
      <c r="KNG47"/>
      <c r="KNH47"/>
      <c r="KNI47"/>
      <c r="KNJ47"/>
      <c r="KNK47"/>
      <c r="KNL47"/>
      <c r="KNM47"/>
      <c r="KNN47"/>
      <c r="KNO47"/>
      <c r="KNP47"/>
      <c r="KNQ47"/>
      <c r="KNR47"/>
      <c r="KNS47"/>
      <c r="KNT47"/>
      <c r="KNU47"/>
      <c r="KNV47"/>
      <c r="KNW47"/>
      <c r="KNX47"/>
      <c r="KNY47"/>
      <c r="KNZ47"/>
      <c r="KOA47"/>
      <c r="KOB47"/>
      <c r="KOC47"/>
      <c r="KOD47"/>
      <c r="KOE47"/>
      <c r="KOF47"/>
      <c r="KOG47"/>
      <c r="KOH47"/>
      <c r="KOI47"/>
      <c r="KOJ47"/>
      <c r="KOK47"/>
      <c r="KOL47"/>
      <c r="KOM47"/>
      <c r="KON47"/>
      <c r="KOO47"/>
      <c r="KOP47"/>
      <c r="KOQ47"/>
      <c r="KOR47"/>
      <c r="KOS47"/>
      <c r="KOT47"/>
      <c r="KOU47"/>
      <c r="KOV47"/>
      <c r="KOW47"/>
      <c r="KOX47"/>
      <c r="KOY47"/>
      <c r="KOZ47"/>
      <c r="KPA47"/>
      <c r="KPB47"/>
      <c r="KPC47"/>
      <c r="KPD47"/>
      <c r="KPE47"/>
      <c r="KPF47"/>
      <c r="KPG47"/>
      <c r="KPH47"/>
      <c r="KPI47"/>
      <c r="KPJ47"/>
      <c r="KPK47"/>
      <c r="KPL47"/>
      <c r="KPM47"/>
      <c r="KPN47"/>
      <c r="KPO47"/>
      <c r="KPP47"/>
      <c r="KPQ47"/>
      <c r="KPR47"/>
      <c r="KPS47"/>
      <c r="KPT47"/>
      <c r="KPU47"/>
      <c r="KPV47"/>
      <c r="KPW47"/>
      <c r="KPX47"/>
      <c r="KPY47"/>
      <c r="KPZ47"/>
      <c r="KQA47"/>
      <c r="KQB47"/>
      <c r="KQC47"/>
      <c r="KQD47"/>
      <c r="KQE47"/>
      <c r="KQF47"/>
      <c r="KQG47"/>
      <c r="KQH47"/>
      <c r="KQI47"/>
      <c r="KQJ47"/>
      <c r="KQK47"/>
      <c r="KQL47"/>
      <c r="KQM47"/>
      <c r="KQN47"/>
      <c r="KQO47"/>
      <c r="KQP47"/>
      <c r="KQQ47"/>
      <c r="KQR47"/>
      <c r="KQS47"/>
      <c r="KQT47"/>
      <c r="KQU47"/>
      <c r="KQV47"/>
      <c r="KQW47"/>
      <c r="KQX47"/>
      <c r="KQY47"/>
      <c r="KQZ47"/>
      <c r="KRA47"/>
      <c r="KRB47"/>
      <c r="KRC47"/>
      <c r="KRD47"/>
      <c r="KRE47"/>
      <c r="KRF47"/>
      <c r="KRG47"/>
      <c r="KRH47"/>
      <c r="KRI47"/>
      <c r="KRJ47"/>
      <c r="KRK47"/>
      <c r="KRL47"/>
      <c r="KRM47"/>
      <c r="KRN47"/>
      <c r="KRO47"/>
      <c r="KRP47"/>
      <c r="KRQ47"/>
      <c r="KRR47"/>
      <c r="KRS47"/>
      <c r="KRT47"/>
      <c r="KRU47"/>
      <c r="KRV47"/>
      <c r="KRW47"/>
      <c r="KRX47"/>
      <c r="KRY47"/>
      <c r="KRZ47"/>
      <c r="KSA47"/>
      <c r="KSB47"/>
      <c r="KSC47"/>
      <c r="KSD47"/>
      <c r="KSE47"/>
      <c r="KSF47"/>
      <c r="KSG47"/>
      <c r="KSH47"/>
      <c r="KSI47"/>
      <c r="KSJ47"/>
      <c r="KSK47"/>
      <c r="KSL47"/>
      <c r="KSM47"/>
      <c r="KSN47"/>
      <c r="KSO47"/>
      <c r="KSP47"/>
      <c r="KSQ47"/>
      <c r="KSR47"/>
      <c r="KSS47"/>
      <c r="KST47"/>
      <c r="KSU47"/>
      <c r="KSV47"/>
      <c r="KSW47"/>
      <c r="KSX47"/>
      <c r="KSY47"/>
      <c r="KSZ47"/>
      <c r="KTA47"/>
      <c r="KTB47"/>
      <c r="KTC47"/>
      <c r="KTD47"/>
      <c r="KTE47"/>
      <c r="KTF47"/>
      <c r="KTG47"/>
      <c r="KTH47"/>
      <c r="KTI47"/>
      <c r="KTJ47"/>
      <c r="KTK47"/>
      <c r="KTL47"/>
      <c r="KTM47"/>
      <c r="KTN47"/>
      <c r="KTO47"/>
      <c r="KTP47"/>
      <c r="KTQ47"/>
      <c r="KTR47"/>
      <c r="KTS47"/>
      <c r="KTT47"/>
      <c r="KTU47"/>
      <c r="KTV47"/>
      <c r="KTW47"/>
      <c r="KTX47"/>
      <c r="KTY47"/>
      <c r="KTZ47"/>
      <c r="KUA47"/>
      <c r="KUB47"/>
      <c r="KUC47"/>
      <c r="KUD47"/>
      <c r="KUE47"/>
      <c r="KUF47"/>
      <c r="KUG47"/>
      <c r="KUH47"/>
      <c r="KUI47"/>
      <c r="KUJ47"/>
      <c r="KUK47"/>
      <c r="KUL47"/>
      <c r="KUM47"/>
      <c r="KUN47"/>
      <c r="KUO47"/>
      <c r="KUP47"/>
      <c r="KUQ47"/>
      <c r="KUR47"/>
      <c r="KUS47"/>
      <c r="KUT47"/>
      <c r="KUU47"/>
      <c r="KUV47"/>
      <c r="KUW47"/>
      <c r="KUX47"/>
      <c r="KUY47"/>
      <c r="KUZ47"/>
      <c r="KVA47"/>
      <c r="KVB47"/>
      <c r="KVC47"/>
      <c r="KVD47"/>
      <c r="KVE47"/>
      <c r="KVF47"/>
      <c r="KVG47"/>
      <c r="KVH47"/>
      <c r="KVI47"/>
      <c r="KVJ47"/>
      <c r="KVK47"/>
      <c r="KVL47"/>
      <c r="KVM47"/>
      <c r="KVN47"/>
      <c r="KVO47"/>
      <c r="KVP47"/>
      <c r="KVQ47"/>
      <c r="KVR47"/>
      <c r="KVS47"/>
      <c r="KVT47"/>
      <c r="KVU47"/>
      <c r="KVV47"/>
      <c r="KVW47"/>
      <c r="KVX47"/>
      <c r="KVY47"/>
      <c r="KVZ47"/>
      <c r="KWA47"/>
      <c r="KWB47"/>
      <c r="KWC47"/>
      <c r="KWD47"/>
      <c r="KWE47"/>
      <c r="KWF47"/>
      <c r="KWG47"/>
      <c r="KWH47"/>
      <c r="KWI47"/>
      <c r="KWJ47"/>
      <c r="KWK47"/>
      <c r="KWL47"/>
      <c r="KWM47"/>
      <c r="KWN47"/>
      <c r="KWO47"/>
      <c r="KWP47"/>
      <c r="KWQ47"/>
      <c r="KWR47"/>
      <c r="KWS47"/>
      <c r="KWT47"/>
      <c r="KWU47"/>
      <c r="KWV47"/>
      <c r="KWW47"/>
      <c r="KWX47"/>
      <c r="KWY47"/>
      <c r="KWZ47"/>
      <c r="KXA47"/>
      <c r="KXB47"/>
      <c r="KXC47"/>
      <c r="KXD47"/>
      <c r="KXE47"/>
      <c r="KXF47"/>
      <c r="KXG47"/>
      <c r="KXH47"/>
      <c r="KXI47"/>
      <c r="KXJ47"/>
      <c r="KXK47"/>
      <c r="KXL47"/>
      <c r="KXM47"/>
      <c r="KXN47"/>
      <c r="KXO47"/>
      <c r="KXP47"/>
      <c r="KXQ47"/>
      <c r="KXR47"/>
      <c r="KXS47"/>
      <c r="KXT47"/>
      <c r="KXU47"/>
      <c r="KXV47"/>
      <c r="KXW47"/>
      <c r="KXX47"/>
      <c r="KXY47"/>
      <c r="KXZ47"/>
      <c r="KYA47"/>
      <c r="KYB47"/>
      <c r="KYC47"/>
      <c r="KYD47"/>
      <c r="KYE47"/>
      <c r="KYF47"/>
      <c r="KYG47"/>
      <c r="KYH47"/>
      <c r="KYI47"/>
      <c r="KYJ47"/>
      <c r="KYK47"/>
      <c r="KYL47"/>
      <c r="KYM47"/>
      <c r="KYN47"/>
      <c r="KYO47"/>
      <c r="KYP47"/>
      <c r="KYQ47"/>
      <c r="KYR47"/>
      <c r="KYS47"/>
      <c r="KYT47"/>
      <c r="KYU47"/>
      <c r="KYV47"/>
      <c r="KYW47"/>
      <c r="KYX47"/>
      <c r="KYY47"/>
      <c r="KYZ47"/>
      <c r="KZA47"/>
      <c r="KZB47"/>
      <c r="KZC47"/>
      <c r="KZD47"/>
      <c r="KZE47"/>
      <c r="KZF47"/>
      <c r="KZG47"/>
      <c r="KZH47"/>
      <c r="KZI47"/>
      <c r="KZJ47"/>
      <c r="KZK47"/>
      <c r="KZL47"/>
      <c r="KZM47"/>
      <c r="KZN47"/>
      <c r="KZO47"/>
      <c r="KZP47"/>
      <c r="KZQ47"/>
      <c r="KZR47"/>
      <c r="KZS47"/>
      <c r="KZT47"/>
      <c r="KZU47"/>
      <c r="KZV47"/>
      <c r="KZW47"/>
      <c r="KZX47"/>
      <c r="KZY47"/>
      <c r="KZZ47"/>
      <c r="LAA47"/>
      <c r="LAB47"/>
      <c r="LAC47"/>
      <c r="LAD47"/>
      <c r="LAE47"/>
      <c r="LAF47"/>
      <c r="LAG47"/>
      <c r="LAH47"/>
      <c r="LAI47"/>
      <c r="LAJ47"/>
      <c r="LAK47"/>
      <c r="LAL47"/>
      <c r="LAM47"/>
      <c r="LAN47"/>
      <c r="LAO47"/>
      <c r="LAP47"/>
      <c r="LAQ47"/>
      <c r="LAR47"/>
      <c r="LAS47"/>
      <c r="LAT47"/>
      <c r="LAU47"/>
      <c r="LAV47"/>
      <c r="LAW47"/>
      <c r="LAX47"/>
      <c r="LAY47"/>
      <c r="LAZ47"/>
      <c r="LBA47"/>
      <c r="LBB47"/>
      <c r="LBC47"/>
      <c r="LBD47"/>
      <c r="LBE47"/>
      <c r="LBF47"/>
      <c r="LBG47"/>
      <c r="LBH47"/>
      <c r="LBI47"/>
      <c r="LBJ47"/>
      <c r="LBK47"/>
      <c r="LBL47"/>
      <c r="LBM47"/>
      <c r="LBN47"/>
      <c r="LBO47"/>
      <c r="LBP47"/>
      <c r="LBQ47"/>
      <c r="LBR47"/>
      <c r="LBS47"/>
      <c r="LBT47"/>
      <c r="LBU47"/>
      <c r="LBV47"/>
      <c r="LBW47"/>
      <c r="LBX47"/>
      <c r="LBY47"/>
      <c r="LBZ47"/>
      <c r="LCA47"/>
      <c r="LCB47"/>
      <c r="LCC47"/>
      <c r="LCD47"/>
      <c r="LCE47"/>
      <c r="LCF47"/>
      <c r="LCG47"/>
      <c r="LCH47"/>
      <c r="LCI47"/>
      <c r="LCJ47"/>
      <c r="LCK47"/>
      <c r="LCL47"/>
      <c r="LCM47"/>
      <c r="LCN47"/>
      <c r="LCO47"/>
      <c r="LCP47"/>
      <c r="LCQ47"/>
      <c r="LCR47"/>
      <c r="LCS47"/>
      <c r="LCT47"/>
      <c r="LCU47"/>
      <c r="LCV47"/>
      <c r="LCW47"/>
      <c r="LCX47"/>
      <c r="LCY47"/>
      <c r="LCZ47"/>
      <c r="LDA47"/>
      <c r="LDB47"/>
      <c r="LDC47"/>
      <c r="LDD47"/>
      <c r="LDE47"/>
      <c r="LDF47"/>
      <c r="LDG47"/>
      <c r="LDH47"/>
      <c r="LDI47"/>
      <c r="LDJ47"/>
      <c r="LDK47"/>
      <c r="LDL47"/>
      <c r="LDM47"/>
      <c r="LDN47"/>
      <c r="LDO47"/>
      <c r="LDP47"/>
      <c r="LDQ47"/>
      <c r="LDR47"/>
      <c r="LDS47"/>
      <c r="LDT47"/>
      <c r="LDU47"/>
      <c r="LDV47"/>
      <c r="LDW47"/>
      <c r="LDX47"/>
      <c r="LDY47"/>
      <c r="LDZ47"/>
      <c r="LEA47"/>
      <c r="LEB47"/>
      <c r="LEC47"/>
      <c r="LED47"/>
      <c r="LEE47"/>
      <c r="LEF47"/>
      <c r="LEG47"/>
      <c r="LEH47"/>
      <c r="LEI47"/>
      <c r="LEJ47"/>
      <c r="LEK47"/>
      <c r="LEL47"/>
      <c r="LEM47"/>
      <c r="LEN47"/>
      <c r="LEO47"/>
      <c r="LEP47"/>
      <c r="LEQ47"/>
      <c r="LER47"/>
      <c r="LES47"/>
      <c r="LET47"/>
      <c r="LEU47"/>
      <c r="LEV47"/>
      <c r="LEW47"/>
      <c r="LEX47"/>
      <c r="LEY47"/>
      <c r="LEZ47"/>
      <c r="LFA47"/>
      <c r="LFB47"/>
      <c r="LFC47"/>
      <c r="LFD47"/>
      <c r="LFE47"/>
      <c r="LFF47"/>
      <c r="LFG47"/>
      <c r="LFH47"/>
      <c r="LFI47"/>
      <c r="LFJ47"/>
      <c r="LFK47"/>
      <c r="LFL47"/>
      <c r="LFM47"/>
      <c r="LFN47"/>
      <c r="LFO47"/>
      <c r="LFP47"/>
      <c r="LFQ47"/>
      <c r="LFR47"/>
      <c r="LFS47"/>
      <c r="LFT47"/>
      <c r="LFU47"/>
      <c r="LFV47"/>
      <c r="LFW47"/>
      <c r="LFX47"/>
      <c r="LFY47"/>
      <c r="LFZ47"/>
      <c r="LGA47"/>
      <c r="LGB47"/>
      <c r="LGC47"/>
      <c r="LGD47"/>
      <c r="LGE47"/>
      <c r="LGF47"/>
      <c r="LGG47"/>
      <c r="LGH47"/>
      <c r="LGI47"/>
      <c r="LGJ47"/>
      <c r="LGK47"/>
      <c r="LGL47"/>
      <c r="LGM47"/>
      <c r="LGN47"/>
      <c r="LGO47"/>
      <c r="LGP47"/>
      <c r="LGQ47"/>
      <c r="LGR47"/>
      <c r="LGS47"/>
      <c r="LGT47"/>
      <c r="LGU47"/>
      <c r="LGV47"/>
      <c r="LGW47"/>
      <c r="LGX47"/>
      <c r="LGY47"/>
      <c r="LGZ47"/>
      <c r="LHA47"/>
      <c r="LHB47"/>
      <c r="LHC47"/>
      <c r="LHD47"/>
      <c r="LHE47"/>
      <c r="LHF47"/>
      <c r="LHG47"/>
      <c r="LHH47"/>
      <c r="LHI47"/>
      <c r="LHJ47"/>
      <c r="LHK47"/>
      <c r="LHL47"/>
      <c r="LHM47"/>
      <c r="LHN47"/>
      <c r="LHO47"/>
      <c r="LHP47"/>
      <c r="LHQ47"/>
      <c r="LHR47"/>
      <c r="LHS47"/>
      <c r="LHT47"/>
      <c r="LHU47"/>
      <c r="LHV47"/>
      <c r="LHW47"/>
      <c r="LHX47"/>
      <c r="LHY47"/>
      <c r="LHZ47"/>
      <c r="LIA47"/>
      <c r="LIB47"/>
      <c r="LIC47"/>
      <c r="LID47"/>
      <c r="LIE47"/>
      <c r="LIF47"/>
      <c r="LIG47"/>
      <c r="LIH47"/>
      <c r="LII47"/>
      <c r="LIJ47"/>
      <c r="LIK47"/>
      <c r="LIL47"/>
      <c r="LIM47"/>
      <c r="LIN47"/>
      <c r="LIO47"/>
      <c r="LIP47"/>
      <c r="LIQ47"/>
      <c r="LIR47"/>
      <c r="LIS47"/>
      <c r="LIT47"/>
      <c r="LIU47"/>
      <c r="LIV47"/>
      <c r="LIW47"/>
      <c r="LIX47"/>
      <c r="LIY47"/>
      <c r="LIZ47"/>
      <c r="LJA47"/>
      <c r="LJB47"/>
      <c r="LJC47"/>
      <c r="LJD47"/>
      <c r="LJE47"/>
      <c r="LJF47"/>
      <c r="LJG47"/>
      <c r="LJH47"/>
      <c r="LJI47"/>
      <c r="LJJ47"/>
      <c r="LJK47"/>
      <c r="LJL47"/>
      <c r="LJM47"/>
      <c r="LJN47"/>
      <c r="LJO47"/>
      <c r="LJP47"/>
      <c r="LJQ47"/>
      <c r="LJR47"/>
      <c r="LJS47"/>
      <c r="LJT47"/>
      <c r="LJU47"/>
      <c r="LJV47"/>
      <c r="LJW47"/>
      <c r="LJX47"/>
      <c r="LJY47"/>
      <c r="LJZ47"/>
      <c r="LKA47"/>
      <c r="LKB47"/>
      <c r="LKC47"/>
      <c r="LKD47"/>
      <c r="LKE47"/>
      <c r="LKF47"/>
      <c r="LKG47"/>
      <c r="LKH47"/>
      <c r="LKI47"/>
      <c r="LKJ47"/>
      <c r="LKK47"/>
      <c r="LKL47"/>
      <c r="LKM47"/>
      <c r="LKN47"/>
      <c r="LKO47"/>
      <c r="LKP47"/>
      <c r="LKQ47"/>
      <c r="LKR47"/>
      <c r="LKS47"/>
      <c r="LKT47"/>
      <c r="LKU47"/>
      <c r="LKV47"/>
      <c r="LKW47"/>
      <c r="LKX47"/>
      <c r="LKY47"/>
      <c r="LKZ47"/>
      <c r="LLA47"/>
      <c r="LLB47"/>
      <c r="LLC47"/>
      <c r="LLD47"/>
      <c r="LLE47"/>
      <c r="LLF47"/>
      <c r="LLG47"/>
      <c r="LLH47"/>
      <c r="LLI47"/>
      <c r="LLJ47"/>
      <c r="LLK47"/>
      <c r="LLL47"/>
      <c r="LLM47"/>
      <c r="LLN47"/>
      <c r="LLO47"/>
      <c r="LLP47"/>
      <c r="LLQ47"/>
      <c r="LLR47"/>
      <c r="LLS47"/>
      <c r="LLT47"/>
      <c r="LLU47"/>
      <c r="LLV47"/>
      <c r="LLW47"/>
      <c r="LLX47"/>
      <c r="LLY47"/>
      <c r="LLZ47"/>
      <c r="LMA47"/>
      <c r="LMB47"/>
      <c r="LMC47"/>
      <c r="LMD47"/>
      <c r="LME47"/>
      <c r="LMF47"/>
      <c r="LMG47"/>
      <c r="LMH47"/>
      <c r="LMI47"/>
      <c r="LMJ47"/>
      <c r="LMK47"/>
      <c r="LML47"/>
      <c r="LMM47"/>
      <c r="LMN47"/>
      <c r="LMO47"/>
      <c r="LMP47"/>
      <c r="LMQ47"/>
      <c r="LMR47"/>
      <c r="LMS47"/>
      <c r="LMT47"/>
      <c r="LMU47"/>
      <c r="LMV47"/>
      <c r="LMW47"/>
      <c r="LMX47"/>
      <c r="LMY47"/>
      <c r="LMZ47"/>
      <c r="LNA47"/>
      <c r="LNB47"/>
      <c r="LNC47"/>
      <c r="LND47"/>
      <c r="LNE47"/>
      <c r="LNF47"/>
      <c r="LNG47"/>
      <c r="LNH47"/>
      <c r="LNI47"/>
      <c r="LNJ47"/>
      <c r="LNK47"/>
      <c r="LNL47"/>
      <c r="LNM47"/>
      <c r="LNN47"/>
      <c r="LNO47"/>
      <c r="LNP47"/>
      <c r="LNQ47"/>
      <c r="LNR47"/>
      <c r="LNS47"/>
      <c r="LNT47"/>
      <c r="LNU47"/>
      <c r="LNV47"/>
      <c r="LNW47"/>
      <c r="LNX47"/>
      <c r="LNY47"/>
      <c r="LNZ47"/>
      <c r="LOA47"/>
      <c r="LOB47"/>
      <c r="LOC47"/>
      <c r="LOD47"/>
      <c r="LOE47"/>
      <c r="LOF47"/>
      <c r="LOG47"/>
      <c r="LOH47"/>
      <c r="LOI47"/>
      <c r="LOJ47"/>
      <c r="LOK47"/>
      <c r="LOL47"/>
      <c r="LOM47"/>
      <c r="LON47"/>
      <c r="LOO47"/>
      <c r="LOP47"/>
      <c r="LOQ47"/>
      <c r="LOR47"/>
      <c r="LOS47"/>
      <c r="LOT47"/>
      <c r="LOU47"/>
      <c r="LOV47"/>
      <c r="LOW47"/>
      <c r="LOX47"/>
      <c r="LOY47"/>
      <c r="LOZ47"/>
      <c r="LPA47"/>
      <c r="LPB47"/>
      <c r="LPC47"/>
      <c r="LPD47"/>
      <c r="LPE47"/>
      <c r="LPF47"/>
      <c r="LPG47"/>
      <c r="LPH47"/>
      <c r="LPI47"/>
      <c r="LPJ47"/>
      <c r="LPK47"/>
      <c r="LPL47"/>
      <c r="LPM47"/>
      <c r="LPN47"/>
      <c r="LPO47"/>
      <c r="LPP47"/>
      <c r="LPQ47"/>
      <c r="LPR47"/>
      <c r="LPS47"/>
      <c r="LPT47"/>
      <c r="LPU47"/>
      <c r="LPV47"/>
      <c r="LPW47"/>
      <c r="LPX47"/>
      <c r="LPY47"/>
      <c r="LPZ47"/>
      <c r="LQA47"/>
      <c r="LQB47"/>
      <c r="LQC47"/>
      <c r="LQD47"/>
      <c r="LQE47"/>
      <c r="LQF47"/>
      <c r="LQG47"/>
      <c r="LQH47"/>
      <c r="LQI47"/>
      <c r="LQJ47"/>
      <c r="LQK47"/>
      <c r="LQL47"/>
      <c r="LQM47"/>
      <c r="LQN47"/>
      <c r="LQO47"/>
      <c r="LQP47"/>
      <c r="LQQ47"/>
      <c r="LQR47"/>
      <c r="LQS47"/>
      <c r="LQT47"/>
      <c r="LQU47"/>
      <c r="LQV47"/>
      <c r="LQW47"/>
      <c r="LQX47"/>
      <c r="LQY47"/>
      <c r="LQZ47"/>
      <c r="LRA47"/>
      <c r="LRB47"/>
      <c r="LRC47"/>
      <c r="LRD47"/>
      <c r="LRE47"/>
      <c r="LRF47"/>
      <c r="LRG47"/>
      <c r="LRH47"/>
      <c r="LRI47"/>
      <c r="LRJ47"/>
      <c r="LRK47"/>
      <c r="LRL47"/>
      <c r="LRM47"/>
      <c r="LRN47"/>
      <c r="LRO47"/>
      <c r="LRP47"/>
      <c r="LRQ47"/>
      <c r="LRR47"/>
      <c r="LRS47"/>
      <c r="LRT47"/>
      <c r="LRU47"/>
      <c r="LRV47"/>
      <c r="LRW47"/>
      <c r="LRX47"/>
      <c r="LRY47"/>
      <c r="LRZ47"/>
      <c r="LSA47"/>
      <c r="LSB47"/>
      <c r="LSC47"/>
      <c r="LSD47"/>
      <c r="LSE47"/>
      <c r="LSF47"/>
      <c r="LSG47"/>
      <c r="LSH47"/>
      <c r="LSI47"/>
      <c r="LSJ47"/>
      <c r="LSK47"/>
      <c r="LSL47"/>
      <c r="LSM47"/>
      <c r="LSN47"/>
      <c r="LSO47"/>
      <c r="LSP47"/>
      <c r="LSQ47"/>
      <c r="LSR47"/>
      <c r="LSS47"/>
      <c r="LST47"/>
      <c r="LSU47"/>
      <c r="LSV47"/>
      <c r="LSW47"/>
      <c r="LSX47"/>
      <c r="LSY47"/>
      <c r="LSZ47"/>
      <c r="LTA47"/>
      <c r="LTB47"/>
      <c r="LTC47"/>
      <c r="LTD47"/>
      <c r="LTE47"/>
      <c r="LTF47"/>
      <c r="LTG47"/>
      <c r="LTH47"/>
      <c r="LTI47"/>
      <c r="LTJ47"/>
      <c r="LTK47"/>
      <c r="LTL47"/>
      <c r="LTM47"/>
      <c r="LTN47"/>
      <c r="LTO47"/>
      <c r="LTP47"/>
      <c r="LTQ47"/>
      <c r="LTR47"/>
      <c r="LTS47"/>
      <c r="LTT47"/>
      <c r="LTU47"/>
      <c r="LTV47"/>
      <c r="LTW47"/>
      <c r="LTX47"/>
      <c r="LTY47"/>
      <c r="LTZ47"/>
      <c r="LUA47"/>
      <c r="LUB47"/>
      <c r="LUC47"/>
      <c r="LUD47"/>
      <c r="LUE47"/>
      <c r="LUF47"/>
      <c r="LUG47"/>
      <c r="LUH47"/>
      <c r="LUI47"/>
      <c r="LUJ47"/>
      <c r="LUK47"/>
      <c r="LUL47"/>
      <c r="LUM47"/>
      <c r="LUN47"/>
      <c r="LUO47"/>
      <c r="LUP47"/>
      <c r="LUQ47"/>
      <c r="LUR47"/>
      <c r="LUS47"/>
      <c r="LUT47"/>
      <c r="LUU47"/>
      <c r="LUV47"/>
      <c r="LUW47"/>
      <c r="LUX47"/>
      <c r="LUY47"/>
      <c r="LUZ47"/>
      <c r="LVA47"/>
      <c r="LVB47"/>
      <c r="LVC47"/>
      <c r="LVD47"/>
      <c r="LVE47"/>
      <c r="LVF47"/>
      <c r="LVG47"/>
      <c r="LVH47"/>
      <c r="LVI47"/>
      <c r="LVJ47"/>
      <c r="LVK47"/>
      <c r="LVL47"/>
      <c r="LVM47"/>
      <c r="LVN47"/>
      <c r="LVO47"/>
      <c r="LVP47"/>
      <c r="LVQ47"/>
      <c r="LVR47"/>
      <c r="LVS47"/>
      <c r="LVT47"/>
      <c r="LVU47"/>
      <c r="LVV47"/>
      <c r="LVW47"/>
      <c r="LVX47"/>
      <c r="LVY47"/>
      <c r="LVZ47"/>
      <c r="LWA47"/>
      <c r="LWB47"/>
      <c r="LWC47"/>
      <c r="LWD47"/>
      <c r="LWE47"/>
      <c r="LWF47"/>
      <c r="LWG47"/>
      <c r="LWH47"/>
      <c r="LWI47"/>
      <c r="LWJ47"/>
      <c r="LWK47"/>
      <c r="LWL47"/>
      <c r="LWM47"/>
      <c r="LWN47"/>
      <c r="LWO47"/>
      <c r="LWP47"/>
      <c r="LWQ47"/>
      <c r="LWR47"/>
      <c r="LWS47"/>
      <c r="LWT47"/>
      <c r="LWU47"/>
      <c r="LWV47"/>
      <c r="LWW47"/>
      <c r="LWX47"/>
      <c r="LWY47"/>
      <c r="LWZ47"/>
      <c r="LXA47"/>
      <c r="LXB47"/>
      <c r="LXC47"/>
      <c r="LXD47"/>
      <c r="LXE47"/>
      <c r="LXF47"/>
      <c r="LXG47"/>
      <c r="LXH47"/>
      <c r="LXI47"/>
      <c r="LXJ47"/>
      <c r="LXK47"/>
      <c r="LXL47"/>
      <c r="LXM47"/>
      <c r="LXN47"/>
      <c r="LXO47"/>
      <c r="LXP47"/>
      <c r="LXQ47"/>
      <c r="LXR47"/>
      <c r="LXS47"/>
      <c r="LXT47"/>
      <c r="LXU47"/>
      <c r="LXV47"/>
      <c r="LXW47"/>
      <c r="LXX47"/>
      <c r="LXY47"/>
      <c r="LXZ47"/>
      <c r="LYA47"/>
      <c r="LYB47"/>
      <c r="LYC47"/>
      <c r="LYD47"/>
      <c r="LYE47"/>
      <c r="LYF47"/>
      <c r="LYG47"/>
      <c r="LYH47"/>
      <c r="LYI47"/>
      <c r="LYJ47"/>
      <c r="LYK47"/>
      <c r="LYL47"/>
      <c r="LYM47"/>
      <c r="LYN47"/>
      <c r="LYO47"/>
      <c r="LYP47"/>
      <c r="LYQ47"/>
      <c r="LYR47"/>
      <c r="LYS47"/>
      <c r="LYT47"/>
      <c r="LYU47"/>
      <c r="LYV47"/>
      <c r="LYW47"/>
      <c r="LYX47"/>
      <c r="LYY47"/>
      <c r="LYZ47"/>
      <c r="LZA47"/>
      <c r="LZB47"/>
      <c r="LZC47"/>
      <c r="LZD47"/>
      <c r="LZE47"/>
      <c r="LZF47"/>
      <c r="LZG47"/>
      <c r="LZH47"/>
      <c r="LZI47"/>
      <c r="LZJ47"/>
      <c r="LZK47"/>
      <c r="LZL47"/>
      <c r="LZM47"/>
      <c r="LZN47"/>
      <c r="LZO47"/>
      <c r="LZP47"/>
      <c r="LZQ47"/>
      <c r="LZR47"/>
      <c r="LZS47"/>
      <c r="LZT47"/>
      <c r="LZU47"/>
      <c r="LZV47"/>
      <c r="LZW47"/>
      <c r="LZX47"/>
      <c r="LZY47"/>
      <c r="LZZ47"/>
      <c r="MAA47"/>
      <c r="MAB47"/>
      <c r="MAC47"/>
      <c r="MAD47"/>
      <c r="MAE47"/>
      <c r="MAF47"/>
      <c r="MAG47"/>
      <c r="MAH47"/>
      <c r="MAI47"/>
      <c r="MAJ47"/>
      <c r="MAK47"/>
      <c r="MAL47"/>
      <c r="MAM47"/>
      <c r="MAN47"/>
      <c r="MAO47"/>
      <c r="MAP47"/>
      <c r="MAQ47"/>
      <c r="MAR47"/>
      <c r="MAS47"/>
      <c r="MAT47"/>
      <c r="MAU47"/>
      <c r="MAV47"/>
      <c r="MAW47"/>
      <c r="MAX47"/>
      <c r="MAY47"/>
      <c r="MAZ47"/>
      <c r="MBA47"/>
      <c r="MBB47"/>
      <c r="MBC47"/>
      <c r="MBD47"/>
      <c r="MBE47"/>
      <c r="MBF47"/>
      <c r="MBG47"/>
      <c r="MBH47"/>
      <c r="MBI47"/>
      <c r="MBJ47"/>
      <c r="MBK47"/>
      <c r="MBL47"/>
      <c r="MBM47"/>
      <c r="MBN47"/>
      <c r="MBO47"/>
      <c r="MBP47"/>
      <c r="MBQ47"/>
      <c r="MBR47"/>
      <c r="MBS47"/>
      <c r="MBT47"/>
      <c r="MBU47"/>
      <c r="MBV47"/>
      <c r="MBW47"/>
      <c r="MBX47"/>
      <c r="MBY47"/>
      <c r="MBZ47"/>
      <c r="MCA47"/>
      <c r="MCB47"/>
      <c r="MCC47"/>
      <c r="MCD47"/>
      <c r="MCE47"/>
      <c r="MCF47"/>
      <c r="MCG47"/>
      <c r="MCH47"/>
      <c r="MCI47"/>
      <c r="MCJ47"/>
      <c r="MCK47"/>
      <c r="MCL47"/>
      <c r="MCM47"/>
      <c r="MCN47"/>
      <c r="MCO47"/>
      <c r="MCP47"/>
      <c r="MCQ47"/>
      <c r="MCR47"/>
      <c r="MCS47"/>
      <c r="MCT47"/>
      <c r="MCU47"/>
      <c r="MCV47"/>
      <c r="MCW47"/>
      <c r="MCX47"/>
      <c r="MCY47"/>
      <c r="MCZ47"/>
      <c r="MDA47"/>
      <c r="MDB47"/>
      <c r="MDC47"/>
      <c r="MDD47"/>
      <c r="MDE47"/>
      <c r="MDF47"/>
      <c r="MDG47"/>
      <c r="MDH47"/>
      <c r="MDI47"/>
      <c r="MDJ47"/>
      <c r="MDK47"/>
      <c r="MDL47"/>
      <c r="MDM47"/>
      <c r="MDN47"/>
      <c r="MDO47"/>
      <c r="MDP47"/>
      <c r="MDQ47"/>
      <c r="MDR47"/>
      <c r="MDS47"/>
      <c r="MDT47"/>
      <c r="MDU47"/>
      <c r="MDV47"/>
      <c r="MDW47"/>
      <c r="MDX47"/>
      <c r="MDY47"/>
      <c r="MDZ47"/>
      <c r="MEA47"/>
      <c r="MEB47"/>
      <c r="MEC47"/>
      <c r="MED47"/>
      <c r="MEE47"/>
      <c r="MEF47"/>
      <c r="MEG47"/>
      <c r="MEH47"/>
      <c r="MEI47"/>
      <c r="MEJ47"/>
      <c r="MEK47"/>
      <c r="MEL47"/>
      <c r="MEM47"/>
      <c r="MEN47"/>
      <c r="MEO47"/>
      <c r="MEP47"/>
      <c r="MEQ47"/>
      <c r="MER47"/>
      <c r="MES47"/>
      <c r="MET47"/>
      <c r="MEU47"/>
      <c r="MEV47"/>
      <c r="MEW47"/>
      <c r="MEX47"/>
      <c r="MEY47"/>
      <c r="MEZ47"/>
      <c r="MFA47"/>
      <c r="MFB47"/>
      <c r="MFC47"/>
      <c r="MFD47"/>
      <c r="MFE47"/>
      <c r="MFF47"/>
      <c r="MFG47"/>
      <c r="MFH47"/>
      <c r="MFI47"/>
      <c r="MFJ47"/>
      <c r="MFK47"/>
      <c r="MFL47"/>
      <c r="MFM47"/>
      <c r="MFN47"/>
      <c r="MFO47"/>
      <c r="MFP47"/>
      <c r="MFQ47"/>
      <c r="MFR47"/>
      <c r="MFS47"/>
      <c r="MFT47"/>
      <c r="MFU47"/>
      <c r="MFV47"/>
      <c r="MFW47"/>
      <c r="MFX47"/>
      <c r="MFY47"/>
      <c r="MFZ47"/>
      <c r="MGA47"/>
      <c r="MGB47"/>
      <c r="MGC47"/>
      <c r="MGD47"/>
      <c r="MGE47"/>
      <c r="MGF47"/>
      <c r="MGG47"/>
      <c r="MGH47"/>
      <c r="MGI47"/>
      <c r="MGJ47"/>
      <c r="MGK47"/>
      <c r="MGL47"/>
      <c r="MGM47"/>
      <c r="MGN47"/>
      <c r="MGO47"/>
      <c r="MGP47"/>
      <c r="MGQ47"/>
      <c r="MGR47"/>
      <c r="MGS47"/>
      <c r="MGT47"/>
      <c r="MGU47"/>
      <c r="MGV47"/>
      <c r="MGW47"/>
      <c r="MGX47"/>
      <c r="MGY47"/>
      <c r="MGZ47"/>
      <c r="MHA47"/>
      <c r="MHB47"/>
      <c r="MHC47"/>
      <c r="MHD47"/>
      <c r="MHE47"/>
      <c r="MHF47"/>
      <c r="MHG47"/>
      <c r="MHH47"/>
      <c r="MHI47"/>
      <c r="MHJ47"/>
      <c r="MHK47"/>
      <c r="MHL47"/>
      <c r="MHM47"/>
      <c r="MHN47"/>
      <c r="MHO47"/>
      <c r="MHP47"/>
      <c r="MHQ47"/>
      <c r="MHR47"/>
      <c r="MHS47"/>
      <c r="MHT47"/>
      <c r="MHU47"/>
      <c r="MHV47"/>
      <c r="MHW47"/>
      <c r="MHX47"/>
      <c r="MHY47"/>
      <c r="MHZ47"/>
      <c r="MIA47"/>
      <c r="MIB47"/>
      <c r="MIC47"/>
      <c r="MID47"/>
      <c r="MIE47"/>
      <c r="MIF47"/>
      <c r="MIG47"/>
      <c r="MIH47"/>
      <c r="MII47"/>
      <c r="MIJ47"/>
      <c r="MIK47"/>
      <c r="MIL47"/>
      <c r="MIM47"/>
      <c r="MIN47"/>
      <c r="MIO47"/>
      <c r="MIP47"/>
      <c r="MIQ47"/>
      <c r="MIR47"/>
      <c r="MIS47"/>
      <c r="MIT47"/>
      <c r="MIU47"/>
      <c r="MIV47"/>
      <c r="MIW47"/>
      <c r="MIX47"/>
      <c r="MIY47"/>
      <c r="MIZ47"/>
      <c r="MJA47"/>
      <c r="MJB47"/>
      <c r="MJC47"/>
      <c r="MJD47"/>
      <c r="MJE47"/>
      <c r="MJF47"/>
      <c r="MJG47"/>
      <c r="MJH47"/>
      <c r="MJI47"/>
      <c r="MJJ47"/>
      <c r="MJK47"/>
      <c r="MJL47"/>
      <c r="MJM47"/>
      <c r="MJN47"/>
      <c r="MJO47"/>
      <c r="MJP47"/>
      <c r="MJQ47"/>
      <c r="MJR47"/>
      <c r="MJS47"/>
      <c r="MJT47"/>
      <c r="MJU47"/>
      <c r="MJV47"/>
      <c r="MJW47"/>
      <c r="MJX47"/>
      <c r="MJY47"/>
      <c r="MJZ47"/>
      <c r="MKA47"/>
      <c r="MKB47"/>
      <c r="MKC47"/>
      <c r="MKD47"/>
      <c r="MKE47"/>
      <c r="MKF47"/>
      <c r="MKG47"/>
      <c r="MKH47"/>
      <c r="MKI47"/>
      <c r="MKJ47"/>
      <c r="MKK47"/>
      <c r="MKL47"/>
      <c r="MKM47"/>
      <c r="MKN47"/>
      <c r="MKO47"/>
      <c r="MKP47"/>
      <c r="MKQ47"/>
      <c r="MKR47"/>
      <c r="MKS47"/>
      <c r="MKT47"/>
      <c r="MKU47"/>
      <c r="MKV47"/>
      <c r="MKW47"/>
      <c r="MKX47"/>
      <c r="MKY47"/>
      <c r="MKZ47"/>
      <c r="MLA47"/>
      <c r="MLB47"/>
      <c r="MLC47"/>
      <c r="MLD47"/>
      <c r="MLE47"/>
      <c r="MLF47"/>
      <c r="MLG47"/>
      <c r="MLH47"/>
      <c r="MLI47"/>
      <c r="MLJ47"/>
      <c r="MLK47"/>
      <c r="MLL47"/>
      <c r="MLM47"/>
      <c r="MLN47"/>
      <c r="MLO47"/>
      <c r="MLP47"/>
      <c r="MLQ47"/>
      <c r="MLR47"/>
      <c r="MLS47"/>
      <c r="MLT47"/>
      <c r="MLU47"/>
      <c r="MLV47"/>
      <c r="MLW47"/>
      <c r="MLX47"/>
      <c r="MLY47"/>
      <c r="MLZ47"/>
      <c r="MMA47"/>
      <c r="MMB47"/>
      <c r="MMC47"/>
      <c r="MMD47"/>
      <c r="MME47"/>
      <c r="MMF47"/>
      <c r="MMG47"/>
      <c r="MMH47"/>
      <c r="MMI47"/>
      <c r="MMJ47"/>
      <c r="MMK47"/>
      <c r="MML47"/>
      <c r="MMM47"/>
      <c r="MMN47"/>
      <c r="MMO47"/>
      <c r="MMP47"/>
      <c r="MMQ47"/>
      <c r="MMR47"/>
      <c r="MMS47"/>
      <c r="MMT47"/>
      <c r="MMU47"/>
      <c r="MMV47"/>
      <c r="MMW47"/>
      <c r="MMX47"/>
      <c r="MMY47"/>
      <c r="MMZ47"/>
      <c r="MNA47"/>
      <c r="MNB47"/>
      <c r="MNC47"/>
      <c r="MND47"/>
      <c r="MNE47"/>
      <c r="MNF47"/>
      <c r="MNG47"/>
      <c r="MNH47"/>
      <c r="MNI47"/>
      <c r="MNJ47"/>
      <c r="MNK47"/>
      <c r="MNL47"/>
      <c r="MNM47"/>
      <c r="MNN47"/>
      <c r="MNO47"/>
      <c r="MNP47"/>
      <c r="MNQ47"/>
      <c r="MNR47"/>
      <c r="MNS47"/>
      <c r="MNT47"/>
      <c r="MNU47"/>
      <c r="MNV47"/>
      <c r="MNW47"/>
      <c r="MNX47"/>
      <c r="MNY47"/>
      <c r="MNZ47"/>
      <c r="MOA47"/>
      <c r="MOB47"/>
      <c r="MOC47"/>
      <c r="MOD47"/>
      <c r="MOE47"/>
      <c r="MOF47"/>
      <c r="MOG47"/>
      <c r="MOH47"/>
      <c r="MOI47"/>
      <c r="MOJ47"/>
      <c r="MOK47"/>
      <c r="MOL47"/>
      <c r="MOM47"/>
      <c r="MON47"/>
      <c r="MOO47"/>
      <c r="MOP47"/>
      <c r="MOQ47"/>
      <c r="MOR47"/>
      <c r="MOS47"/>
      <c r="MOT47"/>
      <c r="MOU47"/>
      <c r="MOV47"/>
      <c r="MOW47"/>
      <c r="MOX47"/>
      <c r="MOY47"/>
      <c r="MOZ47"/>
      <c r="MPA47"/>
      <c r="MPB47"/>
      <c r="MPC47"/>
      <c r="MPD47"/>
      <c r="MPE47"/>
      <c r="MPF47"/>
      <c r="MPG47"/>
      <c r="MPH47"/>
      <c r="MPI47"/>
      <c r="MPJ47"/>
      <c r="MPK47"/>
      <c r="MPL47"/>
      <c r="MPM47"/>
      <c r="MPN47"/>
      <c r="MPO47"/>
      <c r="MPP47"/>
      <c r="MPQ47"/>
      <c r="MPR47"/>
      <c r="MPS47"/>
      <c r="MPT47"/>
      <c r="MPU47"/>
      <c r="MPV47"/>
      <c r="MPW47"/>
      <c r="MPX47"/>
      <c r="MPY47"/>
      <c r="MPZ47"/>
      <c r="MQA47"/>
      <c r="MQB47"/>
      <c r="MQC47"/>
      <c r="MQD47"/>
      <c r="MQE47"/>
      <c r="MQF47"/>
      <c r="MQG47"/>
      <c r="MQH47"/>
      <c r="MQI47"/>
      <c r="MQJ47"/>
      <c r="MQK47"/>
      <c r="MQL47"/>
      <c r="MQM47"/>
      <c r="MQN47"/>
      <c r="MQO47"/>
      <c r="MQP47"/>
      <c r="MQQ47"/>
      <c r="MQR47"/>
      <c r="MQS47"/>
      <c r="MQT47"/>
      <c r="MQU47"/>
      <c r="MQV47"/>
      <c r="MQW47"/>
      <c r="MQX47"/>
      <c r="MQY47"/>
      <c r="MQZ47"/>
      <c r="MRA47"/>
      <c r="MRB47"/>
      <c r="MRC47"/>
      <c r="MRD47"/>
      <c r="MRE47"/>
      <c r="MRF47"/>
      <c r="MRG47"/>
      <c r="MRH47"/>
      <c r="MRI47"/>
      <c r="MRJ47"/>
      <c r="MRK47"/>
      <c r="MRL47"/>
      <c r="MRM47"/>
      <c r="MRN47"/>
      <c r="MRO47"/>
      <c r="MRP47"/>
      <c r="MRQ47"/>
      <c r="MRR47"/>
      <c r="MRS47"/>
      <c r="MRT47"/>
      <c r="MRU47"/>
      <c r="MRV47"/>
      <c r="MRW47"/>
      <c r="MRX47"/>
      <c r="MRY47"/>
      <c r="MRZ47"/>
      <c r="MSA47"/>
      <c r="MSB47"/>
      <c r="MSC47"/>
      <c r="MSD47"/>
      <c r="MSE47"/>
      <c r="MSF47"/>
      <c r="MSG47"/>
      <c r="MSH47"/>
      <c r="MSI47"/>
      <c r="MSJ47"/>
      <c r="MSK47"/>
      <c r="MSL47"/>
      <c r="MSM47"/>
      <c r="MSN47"/>
      <c r="MSO47"/>
      <c r="MSP47"/>
      <c r="MSQ47"/>
      <c r="MSR47"/>
      <c r="MSS47"/>
      <c r="MST47"/>
      <c r="MSU47"/>
      <c r="MSV47"/>
      <c r="MSW47"/>
      <c r="MSX47"/>
      <c r="MSY47"/>
      <c r="MSZ47"/>
      <c r="MTA47"/>
      <c r="MTB47"/>
      <c r="MTC47"/>
      <c r="MTD47"/>
      <c r="MTE47"/>
      <c r="MTF47"/>
      <c r="MTG47"/>
      <c r="MTH47"/>
      <c r="MTI47"/>
      <c r="MTJ47"/>
      <c r="MTK47"/>
      <c r="MTL47"/>
      <c r="MTM47"/>
      <c r="MTN47"/>
      <c r="MTO47"/>
      <c r="MTP47"/>
      <c r="MTQ47"/>
      <c r="MTR47"/>
      <c r="MTS47"/>
      <c r="MTT47"/>
      <c r="MTU47"/>
      <c r="MTV47"/>
      <c r="MTW47"/>
      <c r="MTX47"/>
      <c r="MTY47"/>
      <c r="MTZ47"/>
      <c r="MUA47"/>
      <c r="MUB47"/>
      <c r="MUC47"/>
      <c r="MUD47"/>
      <c r="MUE47"/>
      <c r="MUF47"/>
      <c r="MUG47"/>
      <c r="MUH47"/>
      <c r="MUI47"/>
      <c r="MUJ47"/>
      <c r="MUK47"/>
      <c r="MUL47"/>
      <c r="MUM47"/>
      <c r="MUN47"/>
      <c r="MUO47"/>
      <c r="MUP47"/>
      <c r="MUQ47"/>
      <c r="MUR47"/>
      <c r="MUS47"/>
      <c r="MUT47"/>
      <c r="MUU47"/>
      <c r="MUV47"/>
      <c r="MUW47"/>
      <c r="MUX47"/>
      <c r="MUY47"/>
      <c r="MUZ47"/>
      <c r="MVA47"/>
      <c r="MVB47"/>
      <c r="MVC47"/>
      <c r="MVD47"/>
      <c r="MVE47"/>
      <c r="MVF47"/>
      <c r="MVG47"/>
      <c r="MVH47"/>
      <c r="MVI47"/>
      <c r="MVJ47"/>
      <c r="MVK47"/>
      <c r="MVL47"/>
      <c r="MVM47"/>
      <c r="MVN47"/>
      <c r="MVO47"/>
      <c r="MVP47"/>
      <c r="MVQ47"/>
      <c r="MVR47"/>
      <c r="MVS47"/>
      <c r="MVT47"/>
      <c r="MVU47"/>
      <c r="MVV47"/>
      <c r="MVW47"/>
      <c r="MVX47"/>
      <c r="MVY47"/>
      <c r="MVZ47"/>
      <c r="MWA47"/>
      <c r="MWB47"/>
      <c r="MWC47"/>
      <c r="MWD47"/>
      <c r="MWE47"/>
      <c r="MWF47"/>
      <c r="MWG47"/>
      <c r="MWH47"/>
      <c r="MWI47"/>
      <c r="MWJ47"/>
      <c r="MWK47"/>
      <c r="MWL47"/>
      <c r="MWM47"/>
      <c r="MWN47"/>
      <c r="MWO47"/>
      <c r="MWP47"/>
      <c r="MWQ47"/>
      <c r="MWR47"/>
      <c r="MWS47"/>
      <c r="MWT47"/>
      <c r="MWU47"/>
      <c r="MWV47"/>
      <c r="MWW47"/>
      <c r="MWX47"/>
      <c r="MWY47"/>
      <c r="MWZ47"/>
      <c r="MXA47"/>
      <c r="MXB47"/>
      <c r="MXC47"/>
      <c r="MXD47"/>
      <c r="MXE47"/>
      <c r="MXF47"/>
      <c r="MXG47"/>
      <c r="MXH47"/>
      <c r="MXI47"/>
      <c r="MXJ47"/>
      <c r="MXK47"/>
      <c r="MXL47"/>
      <c r="MXM47"/>
      <c r="MXN47"/>
      <c r="MXO47"/>
      <c r="MXP47"/>
      <c r="MXQ47"/>
      <c r="MXR47"/>
      <c r="MXS47"/>
      <c r="MXT47"/>
      <c r="MXU47"/>
      <c r="MXV47"/>
      <c r="MXW47"/>
      <c r="MXX47"/>
      <c r="MXY47"/>
      <c r="MXZ47"/>
      <c r="MYA47"/>
      <c r="MYB47"/>
      <c r="MYC47"/>
      <c r="MYD47"/>
      <c r="MYE47"/>
      <c r="MYF47"/>
      <c r="MYG47"/>
      <c r="MYH47"/>
      <c r="MYI47"/>
      <c r="MYJ47"/>
      <c r="MYK47"/>
      <c r="MYL47"/>
      <c r="MYM47"/>
      <c r="MYN47"/>
      <c r="MYO47"/>
      <c r="MYP47"/>
      <c r="MYQ47"/>
      <c r="MYR47"/>
      <c r="MYS47"/>
      <c r="MYT47"/>
      <c r="MYU47"/>
      <c r="MYV47"/>
      <c r="MYW47"/>
      <c r="MYX47"/>
      <c r="MYY47"/>
      <c r="MYZ47"/>
      <c r="MZA47"/>
      <c r="MZB47"/>
      <c r="MZC47"/>
      <c r="MZD47"/>
      <c r="MZE47"/>
      <c r="MZF47"/>
      <c r="MZG47"/>
      <c r="MZH47"/>
      <c r="MZI47"/>
      <c r="MZJ47"/>
      <c r="MZK47"/>
      <c r="MZL47"/>
      <c r="MZM47"/>
      <c r="MZN47"/>
      <c r="MZO47"/>
      <c r="MZP47"/>
      <c r="MZQ47"/>
      <c r="MZR47"/>
      <c r="MZS47"/>
      <c r="MZT47"/>
      <c r="MZU47"/>
      <c r="MZV47"/>
      <c r="MZW47"/>
      <c r="MZX47"/>
      <c r="MZY47"/>
      <c r="MZZ47"/>
      <c r="NAA47"/>
      <c r="NAB47"/>
      <c r="NAC47"/>
      <c r="NAD47"/>
      <c r="NAE47"/>
      <c r="NAF47"/>
      <c r="NAG47"/>
      <c r="NAH47"/>
      <c r="NAI47"/>
      <c r="NAJ47"/>
      <c r="NAK47"/>
      <c r="NAL47"/>
      <c r="NAM47"/>
      <c r="NAN47"/>
      <c r="NAO47"/>
      <c r="NAP47"/>
      <c r="NAQ47"/>
      <c r="NAR47"/>
      <c r="NAS47"/>
      <c r="NAT47"/>
      <c r="NAU47"/>
      <c r="NAV47"/>
      <c r="NAW47"/>
      <c r="NAX47"/>
      <c r="NAY47"/>
      <c r="NAZ47"/>
      <c r="NBA47"/>
      <c r="NBB47"/>
      <c r="NBC47"/>
      <c r="NBD47"/>
      <c r="NBE47"/>
      <c r="NBF47"/>
      <c r="NBG47"/>
      <c r="NBH47"/>
      <c r="NBI47"/>
      <c r="NBJ47"/>
      <c r="NBK47"/>
      <c r="NBL47"/>
      <c r="NBM47"/>
      <c r="NBN47"/>
      <c r="NBO47"/>
      <c r="NBP47"/>
      <c r="NBQ47"/>
      <c r="NBR47"/>
      <c r="NBS47"/>
      <c r="NBT47"/>
      <c r="NBU47"/>
      <c r="NBV47"/>
      <c r="NBW47"/>
      <c r="NBX47"/>
      <c r="NBY47"/>
      <c r="NBZ47"/>
      <c r="NCA47"/>
      <c r="NCB47"/>
      <c r="NCC47"/>
      <c r="NCD47"/>
      <c r="NCE47"/>
      <c r="NCF47"/>
      <c r="NCG47"/>
      <c r="NCH47"/>
      <c r="NCI47"/>
      <c r="NCJ47"/>
      <c r="NCK47"/>
      <c r="NCL47"/>
      <c r="NCM47"/>
      <c r="NCN47"/>
      <c r="NCO47"/>
      <c r="NCP47"/>
      <c r="NCQ47"/>
      <c r="NCR47"/>
      <c r="NCS47"/>
      <c r="NCT47"/>
      <c r="NCU47"/>
      <c r="NCV47"/>
      <c r="NCW47"/>
      <c r="NCX47"/>
      <c r="NCY47"/>
      <c r="NCZ47"/>
      <c r="NDA47"/>
      <c r="NDB47"/>
      <c r="NDC47"/>
      <c r="NDD47"/>
      <c r="NDE47"/>
      <c r="NDF47"/>
      <c r="NDG47"/>
      <c r="NDH47"/>
      <c r="NDI47"/>
      <c r="NDJ47"/>
      <c r="NDK47"/>
      <c r="NDL47"/>
      <c r="NDM47"/>
      <c r="NDN47"/>
      <c r="NDO47"/>
      <c r="NDP47"/>
      <c r="NDQ47"/>
      <c r="NDR47"/>
      <c r="NDS47"/>
      <c r="NDT47"/>
      <c r="NDU47"/>
      <c r="NDV47"/>
      <c r="NDW47"/>
      <c r="NDX47"/>
      <c r="NDY47"/>
      <c r="NDZ47"/>
      <c r="NEA47"/>
      <c r="NEB47"/>
      <c r="NEC47"/>
      <c r="NED47"/>
      <c r="NEE47"/>
      <c r="NEF47"/>
      <c r="NEG47"/>
      <c r="NEH47"/>
      <c r="NEI47"/>
      <c r="NEJ47"/>
      <c r="NEK47"/>
      <c r="NEL47"/>
      <c r="NEM47"/>
      <c r="NEN47"/>
      <c r="NEO47"/>
      <c r="NEP47"/>
      <c r="NEQ47"/>
      <c r="NER47"/>
      <c r="NES47"/>
      <c r="NET47"/>
      <c r="NEU47"/>
      <c r="NEV47"/>
      <c r="NEW47"/>
      <c r="NEX47"/>
      <c r="NEY47"/>
      <c r="NEZ47"/>
      <c r="NFA47"/>
      <c r="NFB47"/>
      <c r="NFC47"/>
      <c r="NFD47"/>
      <c r="NFE47"/>
      <c r="NFF47"/>
      <c r="NFG47"/>
      <c r="NFH47"/>
      <c r="NFI47"/>
      <c r="NFJ47"/>
      <c r="NFK47"/>
      <c r="NFL47"/>
      <c r="NFM47"/>
      <c r="NFN47"/>
      <c r="NFO47"/>
      <c r="NFP47"/>
      <c r="NFQ47"/>
      <c r="NFR47"/>
      <c r="NFS47"/>
      <c r="NFT47"/>
      <c r="NFU47"/>
      <c r="NFV47"/>
      <c r="NFW47"/>
      <c r="NFX47"/>
      <c r="NFY47"/>
      <c r="NFZ47"/>
      <c r="NGA47"/>
      <c r="NGB47"/>
      <c r="NGC47"/>
      <c r="NGD47"/>
      <c r="NGE47"/>
      <c r="NGF47"/>
      <c r="NGG47"/>
      <c r="NGH47"/>
      <c r="NGI47"/>
      <c r="NGJ47"/>
      <c r="NGK47"/>
      <c r="NGL47"/>
      <c r="NGM47"/>
      <c r="NGN47"/>
      <c r="NGO47"/>
      <c r="NGP47"/>
      <c r="NGQ47"/>
      <c r="NGR47"/>
      <c r="NGS47"/>
      <c r="NGT47"/>
      <c r="NGU47"/>
      <c r="NGV47"/>
      <c r="NGW47"/>
      <c r="NGX47"/>
      <c r="NGY47"/>
      <c r="NGZ47"/>
      <c r="NHA47"/>
      <c r="NHB47"/>
      <c r="NHC47"/>
      <c r="NHD47"/>
      <c r="NHE47"/>
      <c r="NHF47"/>
      <c r="NHG47"/>
      <c r="NHH47"/>
      <c r="NHI47"/>
      <c r="NHJ47"/>
      <c r="NHK47"/>
      <c r="NHL47"/>
      <c r="NHM47"/>
      <c r="NHN47"/>
      <c r="NHO47"/>
      <c r="NHP47"/>
      <c r="NHQ47"/>
      <c r="NHR47"/>
      <c r="NHS47"/>
      <c r="NHT47"/>
      <c r="NHU47"/>
      <c r="NHV47"/>
      <c r="NHW47"/>
      <c r="NHX47"/>
      <c r="NHY47"/>
      <c r="NHZ47"/>
      <c r="NIA47"/>
      <c r="NIB47"/>
      <c r="NIC47"/>
      <c r="NID47"/>
      <c r="NIE47"/>
      <c r="NIF47"/>
      <c r="NIG47"/>
      <c r="NIH47"/>
      <c r="NII47"/>
      <c r="NIJ47"/>
      <c r="NIK47"/>
      <c r="NIL47"/>
      <c r="NIM47"/>
      <c r="NIN47"/>
      <c r="NIO47"/>
      <c r="NIP47"/>
      <c r="NIQ47"/>
      <c r="NIR47"/>
      <c r="NIS47"/>
      <c r="NIT47"/>
      <c r="NIU47"/>
      <c r="NIV47"/>
      <c r="NIW47"/>
      <c r="NIX47"/>
      <c r="NIY47"/>
      <c r="NIZ47"/>
      <c r="NJA47"/>
      <c r="NJB47"/>
      <c r="NJC47"/>
      <c r="NJD47"/>
      <c r="NJE47"/>
      <c r="NJF47"/>
      <c r="NJG47"/>
      <c r="NJH47"/>
      <c r="NJI47"/>
      <c r="NJJ47"/>
      <c r="NJK47"/>
      <c r="NJL47"/>
      <c r="NJM47"/>
      <c r="NJN47"/>
      <c r="NJO47"/>
      <c r="NJP47"/>
      <c r="NJQ47"/>
      <c r="NJR47"/>
      <c r="NJS47"/>
      <c r="NJT47"/>
      <c r="NJU47"/>
      <c r="NJV47"/>
      <c r="NJW47"/>
      <c r="NJX47"/>
      <c r="NJY47"/>
      <c r="NJZ47"/>
      <c r="NKA47"/>
      <c r="NKB47"/>
      <c r="NKC47"/>
      <c r="NKD47"/>
      <c r="NKE47"/>
      <c r="NKF47"/>
      <c r="NKG47"/>
      <c r="NKH47"/>
      <c r="NKI47"/>
      <c r="NKJ47"/>
      <c r="NKK47"/>
      <c r="NKL47"/>
      <c r="NKM47"/>
      <c r="NKN47"/>
      <c r="NKO47"/>
      <c r="NKP47"/>
      <c r="NKQ47"/>
      <c r="NKR47"/>
      <c r="NKS47"/>
      <c r="NKT47"/>
      <c r="NKU47"/>
      <c r="NKV47"/>
      <c r="NKW47"/>
      <c r="NKX47"/>
      <c r="NKY47"/>
      <c r="NKZ47"/>
      <c r="NLA47"/>
      <c r="NLB47"/>
      <c r="NLC47"/>
      <c r="NLD47"/>
      <c r="NLE47"/>
      <c r="NLF47"/>
      <c r="NLG47"/>
      <c r="NLH47"/>
      <c r="NLI47"/>
      <c r="NLJ47"/>
      <c r="NLK47"/>
      <c r="NLL47"/>
      <c r="NLM47"/>
      <c r="NLN47"/>
      <c r="NLO47"/>
      <c r="NLP47"/>
      <c r="NLQ47"/>
      <c r="NLR47"/>
      <c r="NLS47"/>
      <c r="NLT47"/>
      <c r="NLU47"/>
      <c r="NLV47"/>
      <c r="NLW47"/>
      <c r="NLX47"/>
      <c r="NLY47"/>
      <c r="NLZ47"/>
      <c r="NMA47"/>
      <c r="NMB47"/>
      <c r="NMC47"/>
      <c r="NMD47"/>
      <c r="NME47"/>
      <c r="NMF47"/>
      <c r="NMG47"/>
      <c r="NMH47"/>
      <c r="NMI47"/>
      <c r="NMJ47"/>
      <c r="NMK47"/>
      <c r="NML47"/>
      <c r="NMM47"/>
      <c r="NMN47"/>
      <c r="NMO47"/>
      <c r="NMP47"/>
      <c r="NMQ47"/>
      <c r="NMR47"/>
      <c r="NMS47"/>
      <c r="NMT47"/>
      <c r="NMU47"/>
      <c r="NMV47"/>
      <c r="NMW47"/>
      <c r="NMX47"/>
      <c r="NMY47"/>
      <c r="NMZ47"/>
      <c r="NNA47"/>
      <c r="NNB47"/>
      <c r="NNC47"/>
      <c r="NND47"/>
      <c r="NNE47"/>
      <c r="NNF47"/>
      <c r="NNG47"/>
      <c r="NNH47"/>
      <c r="NNI47"/>
      <c r="NNJ47"/>
      <c r="NNK47"/>
      <c r="NNL47"/>
      <c r="NNM47"/>
      <c r="NNN47"/>
      <c r="NNO47"/>
      <c r="NNP47"/>
      <c r="NNQ47"/>
      <c r="NNR47"/>
      <c r="NNS47"/>
      <c r="NNT47"/>
      <c r="NNU47"/>
      <c r="NNV47"/>
      <c r="NNW47"/>
      <c r="NNX47"/>
      <c r="NNY47"/>
      <c r="NNZ47"/>
      <c r="NOA47"/>
      <c r="NOB47"/>
      <c r="NOC47"/>
      <c r="NOD47"/>
      <c r="NOE47"/>
      <c r="NOF47"/>
      <c r="NOG47"/>
      <c r="NOH47"/>
      <c r="NOI47"/>
      <c r="NOJ47"/>
      <c r="NOK47"/>
      <c r="NOL47"/>
      <c r="NOM47"/>
      <c r="NON47"/>
      <c r="NOO47"/>
      <c r="NOP47"/>
      <c r="NOQ47"/>
      <c r="NOR47"/>
      <c r="NOS47"/>
      <c r="NOT47"/>
      <c r="NOU47"/>
      <c r="NOV47"/>
      <c r="NOW47"/>
      <c r="NOX47"/>
      <c r="NOY47"/>
      <c r="NOZ47"/>
      <c r="NPA47"/>
      <c r="NPB47"/>
      <c r="NPC47"/>
      <c r="NPD47"/>
      <c r="NPE47"/>
      <c r="NPF47"/>
      <c r="NPG47"/>
      <c r="NPH47"/>
      <c r="NPI47"/>
      <c r="NPJ47"/>
      <c r="NPK47"/>
      <c r="NPL47"/>
      <c r="NPM47"/>
      <c r="NPN47"/>
      <c r="NPO47"/>
      <c r="NPP47"/>
      <c r="NPQ47"/>
      <c r="NPR47"/>
      <c r="NPS47"/>
      <c r="NPT47"/>
      <c r="NPU47"/>
      <c r="NPV47"/>
      <c r="NPW47"/>
      <c r="NPX47"/>
      <c r="NPY47"/>
      <c r="NPZ47"/>
      <c r="NQA47"/>
      <c r="NQB47"/>
      <c r="NQC47"/>
      <c r="NQD47"/>
      <c r="NQE47"/>
      <c r="NQF47"/>
      <c r="NQG47"/>
      <c r="NQH47"/>
      <c r="NQI47"/>
      <c r="NQJ47"/>
      <c r="NQK47"/>
      <c r="NQL47"/>
      <c r="NQM47"/>
      <c r="NQN47"/>
      <c r="NQO47"/>
      <c r="NQP47"/>
      <c r="NQQ47"/>
      <c r="NQR47"/>
      <c r="NQS47"/>
      <c r="NQT47"/>
      <c r="NQU47"/>
      <c r="NQV47"/>
      <c r="NQW47"/>
      <c r="NQX47"/>
      <c r="NQY47"/>
      <c r="NQZ47"/>
      <c r="NRA47"/>
      <c r="NRB47"/>
      <c r="NRC47"/>
      <c r="NRD47"/>
      <c r="NRE47"/>
      <c r="NRF47"/>
      <c r="NRG47"/>
      <c r="NRH47"/>
      <c r="NRI47"/>
      <c r="NRJ47"/>
      <c r="NRK47"/>
      <c r="NRL47"/>
      <c r="NRM47"/>
      <c r="NRN47"/>
      <c r="NRO47"/>
      <c r="NRP47"/>
      <c r="NRQ47"/>
      <c r="NRR47"/>
      <c r="NRS47"/>
      <c r="NRT47"/>
      <c r="NRU47"/>
      <c r="NRV47"/>
      <c r="NRW47"/>
      <c r="NRX47"/>
      <c r="NRY47"/>
      <c r="NRZ47"/>
      <c r="NSA47"/>
      <c r="NSB47"/>
      <c r="NSC47"/>
      <c r="NSD47"/>
      <c r="NSE47"/>
      <c r="NSF47"/>
      <c r="NSG47"/>
      <c r="NSH47"/>
      <c r="NSI47"/>
      <c r="NSJ47"/>
      <c r="NSK47"/>
      <c r="NSL47"/>
      <c r="NSM47"/>
      <c r="NSN47"/>
      <c r="NSO47"/>
      <c r="NSP47"/>
      <c r="NSQ47"/>
      <c r="NSR47"/>
      <c r="NSS47"/>
      <c r="NST47"/>
      <c r="NSU47"/>
      <c r="NSV47"/>
      <c r="NSW47"/>
      <c r="NSX47"/>
      <c r="NSY47"/>
      <c r="NSZ47"/>
      <c r="NTA47"/>
      <c r="NTB47"/>
      <c r="NTC47"/>
      <c r="NTD47"/>
      <c r="NTE47"/>
      <c r="NTF47"/>
      <c r="NTG47"/>
      <c r="NTH47"/>
      <c r="NTI47"/>
      <c r="NTJ47"/>
      <c r="NTK47"/>
      <c r="NTL47"/>
      <c r="NTM47"/>
      <c r="NTN47"/>
      <c r="NTO47"/>
      <c r="NTP47"/>
      <c r="NTQ47"/>
      <c r="NTR47"/>
      <c r="NTS47"/>
      <c r="NTT47"/>
      <c r="NTU47"/>
      <c r="NTV47"/>
      <c r="NTW47"/>
      <c r="NTX47"/>
      <c r="NTY47"/>
      <c r="NTZ47"/>
      <c r="NUA47"/>
      <c r="NUB47"/>
      <c r="NUC47"/>
      <c r="NUD47"/>
      <c r="NUE47"/>
      <c r="NUF47"/>
      <c r="NUG47"/>
      <c r="NUH47"/>
      <c r="NUI47"/>
      <c r="NUJ47"/>
      <c r="NUK47"/>
      <c r="NUL47"/>
      <c r="NUM47"/>
      <c r="NUN47"/>
      <c r="NUO47"/>
      <c r="NUP47"/>
      <c r="NUQ47"/>
      <c r="NUR47"/>
      <c r="NUS47"/>
      <c r="NUT47"/>
      <c r="NUU47"/>
      <c r="NUV47"/>
      <c r="NUW47"/>
      <c r="NUX47"/>
      <c r="NUY47"/>
      <c r="NUZ47"/>
      <c r="NVA47"/>
      <c r="NVB47"/>
      <c r="NVC47"/>
      <c r="NVD47"/>
      <c r="NVE47"/>
      <c r="NVF47"/>
      <c r="NVG47"/>
      <c r="NVH47"/>
      <c r="NVI47"/>
      <c r="NVJ47"/>
      <c r="NVK47"/>
      <c r="NVL47"/>
      <c r="NVM47"/>
      <c r="NVN47"/>
      <c r="NVO47"/>
      <c r="NVP47"/>
      <c r="NVQ47"/>
      <c r="NVR47"/>
      <c r="NVS47"/>
      <c r="NVT47"/>
      <c r="NVU47"/>
      <c r="NVV47"/>
      <c r="NVW47"/>
      <c r="NVX47"/>
      <c r="NVY47"/>
      <c r="NVZ47"/>
      <c r="NWA47"/>
      <c r="NWB47"/>
      <c r="NWC47"/>
      <c r="NWD47"/>
      <c r="NWE47"/>
      <c r="NWF47"/>
      <c r="NWG47"/>
      <c r="NWH47"/>
      <c r="NWI47"/>
      <c r="NWJ47"/>
      <c r="NWK47"/>
      <c r="NWL47"/>
      <c r="NWM47"/>
      <c r="NWN47"/>
      <c r="NWO47"/>
      <c r="NWP47"/>
      <c r="NWQ47"/>
      <c r="NWR47"/>
      <c r="NWS47"/>
      <c r="NWT47"/>
      <c r="NWU47"/>
      <c r="NWV47"/>
      <c r="NWW47"/>
      <c r="NWX47"/>
      <c r="NWY47"/>
      <c r="NWZ47"/>
      <c r="NXA47"/>
      <c r="NXB47"/>
      <c r="NXC47"/>
      <c r="NXD47"/>
      <c r="NXE47"/>
      <c r="NXF47"/>
      <c r="NXG47"/>
      <c r="NXH47"/>
      <c r="NXI47"/>
      <c r="NXJ47"/>
      <c r="NXK47"/>
      <c r="NXL47"/>
      <c r="NXM47"/>
      <c r="NXN47"/>
      <c r="NXO47"/>
      <c r="NXP47"/>
      <c r="NXQ47"/>
      <c r="NXR47"/>
      <c r="NXS47"/>
      <c r="NXT47"/>
      <c r="NXU47"/>
      <c r="NXV47"/>
      <c r="NXW47"/>
      <c r="NXX47"/>
      <c r="NXY47"/>
      <c r="NXZ47"/>
      <c r="NYA47"/>
      <c r="NYB47"/>
      <c r="NYC47"/>
      <c r="NYD47"/>
      <c r="NYE47"/>
      <c r="NYF47"/>
      <c r="NYG47"/>
      <c r="NYH47"/>
      <c r="NYI47"/>
      <c r="NYJ47"/>
      <c r="NYK47"/>
      <c r="NYL47"/>
      <c r="NYM47"/>
      <c r="NYN47"/>
      <c r="NYO47"/>
      <c r="NYP47"/>
      <c r="NYQ47"/>
      <c r="NYR47"/>
      <c r="NYS47"/>
      <c r="NYT47"/>
      <c r="NYU47"/>
      <c r="NYV47"/>
      <c r="NYW47"/>
      <c r="NYX47"/>
      <c r="NYY47"/>
      <c r="NYZ47"/>
      <c r="NZA47"/>
      <c r="NZB47"/>
      <c r="NZC47"/>
      <c r="NZD47"/>
      <c r="NZE47"/>
      <c r="NZF47"/>
      <c r="NZG47"/>
      <c r="NZH47"/>
      <c r="NZI47"/>
      <c r="NZJ47"/>
      <c r="NZK47"/>
      <c r="NZL47"/>
      <c r="NZM47"/>
      <c r="NZN47"/>
      <c r="NZO47"/>
      <c r="NZP47"/>
      <c r="NZQ47"/>
      <c r="NZR47"/>
      <c r="NZS47"/>
      <c r="NZT47"/>
      <c r="NZU47"/>
      <c r="NZV47"/>
      <c r="NZW47"/>
      <c r="NZX47"/>
      <c r="NZY47"/>
      <c r="NZZ47"/>
      <c r="OAA47"/>
      <c r="OAB47"/>
      <c r="OAC47"/>
      <c r="OAD47"/>
      <c r="OAE47"/>
      <c r="OAF47"/>
      <c r="OAG47"/>
      <c r="OAH47"/>
      <c r="OAI47"/>
      <c r="OAJ47"/>
      <c r="OAK47"/>
      <c r="OAL47"/>
      <c r="OAM47"/>
      <c r="OAN47"/>
      <c r="OAO47"/>
      <c r="OAP47"/>
      <c r="OAQ47"/>
      <c r="OAR47"/>
      <c r="OAS47"/>
      <c r="OAT47"/>
      <c r="OAU47"/>
      <c r="OAV47"/>
      <c r="OAW47"/>
      <c r="OAX47"/>
      <c r="OAY47"/>
      <c r="OAZ47"/>
      <c r="OBA47"/>
      <c r="OBB47"/>
      <c r="OBC47"/>
      <c r="OBD47"/>
      <c r="OBE47"/>
      <c r="OBF47"/>
      <c r="OBG47"/>
      <c r="OBH47"/>
      <c r="OBI47"/>
      <c r="OBJ47"/>
      <c r="OBK47"/>
      <c r="OBL47"/>
      <c r="OBM47"/>
      <c r="OBN47"/>
      <c r="OBO47"/>
      <c r="OBP47"/>
      <c r="OBQ47"/>
      <c r="OBR47"/>
      <c r="OBS47"/>
      <c r="OBT47"/>
      <c r="OBU47"/>
      <c r="OBV47"/>
      <c r="OBW47"/>
      <c r="OBX47"/>
      <c r="OBY47"/>
      <c r="OBZ47"/>
      <c r="OCA47"/>
      <c r="OCB47"/>
      <c r="OCC47"/>
      <c r="OCD47"/>
      <c r="OCE47"/>
      <c r="OCF47"/>
      <c r="OCG47"/>
      <c r="OCH47"/>
      <c r="OCI47"/>
      <c r="OCJ47"/>
      <c r="OCK47"/>
      <c r="OCL47"/>
      <c r="OCM47"/>
      <c r="OCN47"/>
      <c r="OCO47"/>
      <c r="OCP47"/>
      <c r="OCQ47"/>
      <c r="OCR47"/>
      <c r="OCS47"/>
      <c r="OCT47"/>
      <c r="OCU47"/>
      <c r="OCV47"/>
      <c r="OCW47"/>
      <c r="OCX47"/>
      <c r="OCY47"/>
      <c r="OCZ47"/>
      <c r="ODA47"/>
      <c r="ODB47"/>
      <c r="ODC47"/>
      <c r="ODD47"/>
      <c r="ODE47"/>
      <c r="ODF47"/>
      <c r="ODG47"/>
      <c r="ODH47"/>
      <c r="ODI47"/>
      <c r="ODJ47"/>
      <c r="ODK47"/>
      <c r="ODL47"/>
      <c r="ODM47"/>
      <c r="ODN47"/>
      <c r="ODO47"/>
      <c r="ODP47"/>
      <c r="ODQ47"/>
      <c r="ODR47"/>
      <c r="ODS47"/>
      <c r="ODT47"/>
      <c r="ODU47"/>
      <c r="ODV47"/>
      <c r="ODW47"/>
      <c r="ODX47"/>
      <c r="ODY47"/>
      <c r="ODZ47"/>
      <c r="OEA47"/>
      <c r="OEB47"/>
      <c r="OEC47"/>
      <c r="OED47"/>
      <c r="OEE47"/>
      <c r="OEF47"/>
      <c r="OEG47"/>
      <c r="OEH47"/>
      <c r="OEI47"/>
      <c r="OEJ47"/>
      <c r="OEK47"/>
      <c r="OEL47"/>
      <c r="OEM47"/>
      <c r="OEN47"/>
      <c r="OEO47"/>
      <c r="OEP47"/>
      <c r="OEQ47"/>
      <c r="OER47"/>
      <c r="OES47"/>
      <c r="OET47"/>
      <c r="OEU47"/>
      <c r="OEV47"/>
      <c r="OEW47"/>
      <c r="OEX47"/>
      <c r="OEY47"/>
      <c r="OEZ47"/>
      <c r="OFA47"/>
      <c r="OFB47"/>
      <c r="OFC47"/>
      <c r="OFD47"/>
      <c r="OFE47"/>
      <c r="OFF47"/>
      <c r="OFG47"/>
      <c r="OFH47"/>
      <c r="OFI47"/>
      <c r="OFJ47"/>
      <c r="OFK47"/>
      <c r="OFL47"/>
      <c r="OFM47"/>
      <c r="OFN47"/>
      <c r="OFO47"/>
      <c r="OFP47"/>
      <c r="OFQ47"/>
      <c r="OFR47"/>
      <c r="OFS47"/>
      <c r="OFT47"/>
      <c r="OFU47"/>
      <c r="OFV47"/>
      <c r="OFW47"/>
      <c r="OFX47"/>
      <c r="OFY47"/>
      <c r="OFZ47"/>
      <c r="OGA47"/>
      <c r="OGB47"/>
      <c r="OGC47"/>
      <c r="OGD47"/>
      <c r="OGE47"/>
      <c r="OGF47"/>
      <c r="OGG47"/>
      <c r="OGH47"/>
      <c r="OGI47"/>
      <c r="OGJ47"/>
      <c r="OGK47"/>
      <c r="OGL47"/>
      <c r="OGM47"/>
      <c r="OGN47"/>
      <c r="OGO47"/>
      <c r="OGP47"/>
      <c r="OGQ47"/>
      <c r="OGR47"/>
      <c r="OGS47"/>
      <c r="OGT47"/>
      <c r="OGU47"/>
      <c r="OGV47"/>
      <c r="OGW47"/>
      <c r="OGX47"/>
      <c r="OGY47"/>
      <c r="OGZ47"/>
      <c r="OHA47"/>
      <c r="OHB47"/>
      <c r="OHC47"/>
      <c r="OHD47"/>
      <c r="OHE47"/>
      <c r="OHF47"/>
      <c r="OHG47"/>
      <c r="OHH47"/>
      <c r="OHI47"/>
      <c r="OHJ47"/>
      <c r="OHK47"/>
      <c r="OHL47"/>
      <c r="OHM47"/>
      <c r="OHN47"/>
      <c r="OHO47"/>
      <c r="OHP47"/>
      <c r="OHQ47"/>
      <c r="OHR47"/>
      <c r="OHS47"/>
      <c r="OHT47"/>
      <c r="OHU47"/>
      <c r="OHV47"/>
      <c r="OHW47"/>
      <c r="OHX47"/>
      <c r="OHY47"/>
      <c r="OHZ47"/>
      <c r="OIA47"/>
      <c r="OIB47"/>
      <c r="OIC47"/>
      <c r="OID47"/>
      <c r="OIE47"/>
      <c r="OIF47"/>
      <c r="OIG47"/>
      <c r="OIH47"/>
      <c r="OII47"/>
      <c r="OIJ47"/>
      <c r="OIK47"/>
      <c r="OIL47"/>
      <c r="OIM47"/>
      <c r="OIN47"/>
      <c r="OIO47"/>
      <c r="OIP47"/>
      <c r="OIQ47"/>
      <c r="OIR47"/>
      <c r="OIS47"/>
      <c r="OIT47"/>
      <c r="OIU47"/>
      <c r="OIV47"/>
      <c r="OIW47"/>
      <c r="OIX47"/>
      <c r="OIY47"/>
      <c r="OIZ47"/>
      <c r="OJA47"/>
      <c r="OJB47"/>
      <c r="OJC47"/>
      <c r="OJD47"/>
      <c r="OJE47"/>
      <c r="OJF47"/>
      <c r="OJG47"/>
      <c r="OJH47"/>
      <c r="OJI47"/>
      <c r="OJJ47"/>
      <c r="OJK47"/>
      <c r="OJL47"/>
      <c r="OJM47"/>
      <c r="OJN47"/>
      <c r="OJO47"/>
      <c r="OJP47"/>
      <c r="OJQ47"/>
      <c r="OJR47"/>
      <c r="OJS47"/>
      <c r="OJT47"/>
      <c r="OJU47"/>
      <c r="OJV47"/>
      <c r="OJW47"/>
      <c r="OJX47"/>
      <c r="OJY47"/>
      <c r="OJZ47"/>
      <c r="OKA47"/>
      <c r="OKB47"/>
      <c r="OKC47"/>
      <c r="OKD47"/>
      <c r="OKE47"/>
      <c r="OKF47"/>
      <c r="OKG47"/>
      <c r="OKH47"/>
      <c r="OKI47"/>
      <c r="OKJ47"/>
      <c r="OKK47"/>
      <c r="OKL47"/>
      <c r="OKM47"/>
      <c r="OKN47"/>
      <c r="OKO47"/>
      <c r="OKP47"/>
      <c r="OKQ47"/>
      <c r="OKR47"/>
      <c r="OKS47"/>
      <c r="OKT47"/>
      <c r="OKU47"/>
      <c r="OKV47"/>
      <c r="OKW47"/>
      <c r="OKX47"/>
      <c r="OKY47"/>
      <c r="OKZ47"/>
      <c r="OLA47"/>
      <c r="OLB47"/>
      <c r="OLC47"/>
      <c r="OLD47"/>
      <c r="OLE47"/>
      <c r="OLF47"/>
      <c r="OLG47"/>
      <c r="OLH47"/>
      <c r="OLI47"/>
      <c r="OLJ47"/>
      <c r="OLK47"/>
      <c r="OLL47"/>
      <c r="OLM47"/>
      <c r="OLN47"/>
      <c r="OLO47"/>
      <c r="OLP47"/>
      <c r="OLQ47"/>
      <c r="OLR47"/>
      <c r="OLS47"/>
      <c r="OLT47"/>
      <c r="OLU47"/>
      <c r="OLV47"/>
      <c r="OLW47"/>
      <c r="OLX47"/>
      <c r="OLY47"/>
      <c r="OLZ47"/>
      <c r="OMA47"/>
      <c r="OMB47"/>
      <c r="OMC47"/>
      <c r="OMD47"/>
      <c r="OME47"/>
      <c r="OMF47"/>
      <c r="OMG47"/>
      <c r="OMH47"/>
      <c r="OMI47"/>
      <c r="OMJ47"/>
      <c r="OMK47"/>
      <c r="OML47"/>
      <c r="OMM47"/>
      <c r="OMN47"/>
      <c r="OMO47"/>
      <c r="OMP47"/>
      <c r="OMQ47"/>
      <c r="OMR47"/>
      <c r="OMS47"/>
      <c r="OMT47"/>
      <c r="OMU47"/>
      <c r="OMV47"/>
      <c r="OMW47"/>
      <c r="OMX47"/>
      <c r="OMY47"/>
      <c r="OMZ47"/>
      <c r="ONA47"/>
      <c r="ONB47"/>
      <c r="ONC47"/>
      <c r="OND47"/>
      <c r="ONE47"/>
      <c r="ONF47"/>
      <c r="ONG47"/>
      <c r="ONH47"/>
      <c r="ONI47"/>
      <c r="ONJ47"/>
      <c r="ONK47"/>
      <c r="ONL47"/>
      <c r="ONM47"/>
      <c r="ONN47"/>
      <c r="ONO47"/>
      <c r="ONP47"/>
      <c r="ONQ47"/>
      <c r="ONR47"/>
      <c r="ONS47"/>
      <c r="ONT47"/>
      <c r="ONU47"/>
      <c r="ONV47"/>
      <c r="ONW47"/>
      <c r="ONX47"/>
      <c r="ONY47"/>
      <c r="ONZ47"/>
      <c r="OOA47"/>
      <c r="OOB47"/>
      <c r="OOC47"/>
      <c r="OOD47"/>
      <c r="OOE47"/>
      <c r="OOF47"/>
      <c r="OOG47"/>
      <c r="OOH47"/>
      <c r="OOI47"/>
      <c r="OOJ47"/>
      <c r="OOK47"/>
      <c r="OOL47"/>
      <c r="OOM47"/>
      <c r="OON47"/>
      <c r="OOO47"/>
      <c r="OOP47"/>
      <c r="OOQ47"/>
      <c r="OOR47"/>
      <c r="OOS47"/>
      <c r="OOT47"/>
      <c r="OOU47"/>
      <c r="OOV47"/>
      <c r="OOW47"/>
      <c r="OOX47"/>
      <c r="OOY47"/>
      <c r="OOZ47"/>
      <c r="OPA47"/>
      <c r="OPB47"/>
      <c r="OPC47"/>
      <c r="OPD47"/>
      <c r="OPE47"/>
      <c r="OPF47"/>
      <c r="OPG47"/>
      <c r="OPH47"/>
      <c r="OPI47"/>
      <c r="OPJ47"/>
      <c r="OPK47"/>
      <c r="OPL47"/>
      <c r="OPM47"/>
      <c r="OPN47"/>
      <c r="OPO47"/>
      <c r="OPP47"/>
      <c r="OPQ47"/>
      <c r="OPR47"/>
      <c r="OPS47"/>
      <c r="OPT47"/>
      <c r="OPU47"/>
      <c r="OPV47"/>
      <c r="OPW47"/>
      <c r="OPX47"/>
      <c r="OPY47"/>
      <c r="OPZ47"/>
      <c r="OQA47"/>
      <c r="OQB47"/>
      <c r="OQC47"/>
      <c r="OQD47"/>
      <c r="OQE47"/>
      <c r="OQF47"/>
      <c r="OQG47"/>
      <c r="OQH47"/>
      <c r="OQI47"/>
      <c r="OQJ47"/>
      <c r="OQK47"/>
      <c r="OQL47"/>
      <c r="OQM47"/>
      <c r="OQN47"/>
      <c r="OQO47"/>
      <c r="OQP47"/>
      <c r="OQQ47"/>
      <c r="OQR47"/>
      <c r="OQS47"/>
      <c r="OQT47"/>
      <c r="OQU47"/>
      <c r="OQV47"/>
      <c r="OQW47"/>
      <c r="OQX47"/>
      <c r="OQY47"/>
      <c r="OQZ47"/>
      <c r="ORA47"/>
      <c r="ORB47"/>
      <c r="ORC47"/>
      <c r="ORD47"/>
      <c r="ORE47"/>
      <c r="ORF47"/>
      <c r="ORG47"/>
      <c r="ORH47"/>
      <c r="ORI47"/>
      <c r="ORJ47"/>
      <c r="ORK47"/>
      <c r="ORL47"/>
      <c r="ORM47"/>
      <c r="ORN47"/>
      <c r="ORO47"/>
      <c r="ORP47"/>
      <c r="ORQ47"/>
      <c r="ORR47"/>
      <c r="ORS47"/>
      <c r="ORT47"/>
      <c r="ORU47"/>
      <c r="ORV47"/>
      <c r="ORW47"/>
      <c r="ORX47"/>
      <c r="ORY47"/>
      <c r="ORZ47"/>
      <c r="OSA47"/>
      <c r="OSB47"/>
      <c r="OSC47"/>
      <c r="OSD47"/>
      <c r="OSE47"/>
      <c r="OSF47"/>
      <c r="OSG47"/>
      <c r="OSH47"/>
      <c r="OSI47"/>
      <c r="OSJ47"/>
      <c r="OSK47"/>
      <c r="OSL47"/>
      <c r="OSM47"/>
      <c r="OSN47"/>
      <c r="OSO47"/>
      <c r="OSP47"/>
      <c r="OSQ47"/>
      <c r="OSR47"/>
      <c r="OSS47"/>
      <c r="OST47"/>
      <c r="OSU47"/>
      <c r="OSV47"/>
      <c r="OSW47"/>
      <c r="OSX47"/>
      <c r="OSY47"/>
      <c r="OSZ47"/>
      <c r="OTA47"/>
      <c r="OTB47"/>
      <c r="OTC47"/>
      <c r="OTD47"/>
      <c r="OTE47"/>
      <c r="OTF47"/>
      <c r="OTG47"/>
      <c r="OTH47"/>
      <c r="OTI47"/>
      <c r="OTJ47"/>
      <c r="OTK47"/>
      <c r="OTL47"/>
      <c r="OTM47"/>
      <c r="OTN47"/>
      <c r="OTO47"/>
      <c r="OTP47"/>
      <c r="OTQ47"/>
      <c r="OTR47"/>
      <c r="OTS47"/>
      <c r="OTT47"/>
      <c r="OTU47"/>
      <c r="OTV47"/>
      <c r="OTW47"/>
      <c r="OTX47"/>
      <c r="OTY47"/>
      <c r="OTZ47"/>
      <c r="OUA47"/>
      <c r="OUB47"/>
      <c r="OUC47"/>
      <c r="OUD47"/>
      <c r="OUE47"/>
      <c r="OUF47"/>
      <c r="OUG47"/>
      <c r="OUH47"/>
      <c r="OUI47"/>
      <c r="OUJ47"/>
      <c r="OUK47"/>
      <c r="OUL47"/>
      <c r="OUM47"/>
      <c r="OUN47"/>
      <c r="OUO47"/>
      <c r="OUP47"/>
      <c r="OUQ47"/>
      <c r="OUR47"/>
      <c r="OUS47"/>
      <c r="OUT47"/>
      <c r="OUU47"/>
      <c r="OUV47"/>
      <c r="OUW47"/>
      <c r="OUX47"/>
      <c r="OUY47"/>
      <c r="OUZ47"/>
      <c r="OVA47"/>
      <c r="OVB47"/>
      <c r="OVC47"/>
      <c r="OVD47"/>
      <c r="OVE47"/>
      <c r="OVF47"/>
      <c r="OVG47"/>
      <c r="OVH47"/>
      <c r="OVI47"/>
      <c r="OVJ47"/>
      <c r="OVK47"/>
      <c r="OVL47"/>
      <c r="OVM47"/>
      <c r="OVN47"/>
      <c r="OVO47"/>
      <c r="OVP47"/>
      <c r="OVQ47"/>
      <c r="OVR47"/>
      <c r="OVS47"/>
      <c r="OVT47"/>
      <c r="OVU47"/>
      <c r="OVV47"/>
      <c r="OVW47"/>
      <c r="OVX47"/>
      <c r="OVY47"/>
      <c r="OVZ47"/>
      <c r="OWA47"/>
      <c r="OWB47"/>
      <c r="OWC47"/>
      <c r="OWD47"/>
      <c r="OWE47"/>
      <c r="OWF47"/>
      <c r="OWG47"/>
      <c r="OWH47"/>
      <c r="OWI47"/>
      <c r="OWJ47"/>
      <c r="OWK47"/>
      <c r="OWL47"/>
      <c r="OWM47"/>
      <c r="OWN47"/>
      <c r="OWO47"/>
      <c r="OWP47"/>
      <c r="OWQ47"/>
      <c r="OWR47"/>
      <c r="OWS47"/>
      <c r="OWT47"/>
      <c r="OWU47"/>
      <c r="OWV47"/>
      <c r="OWW47"/>
      <c r="OWX47"/>
      <c r="OWY47"/>
      <c r="OWZ47"/>
      <c r="OXA47"/>
      <c r="OXB47"/>
      <c r="OXC47"/>
      <c r="OXD47"/>
      <c r="OXE47"/>
      <c r="OXF47"/>
      <c r="OXG47"/>
      <c r="OXH47"/>
      <c r="OXI47"/>
      <c r="OXJ47"/>
      <c r="OXK47"/>
      <c r="OXL47"/>
      <c r="OXM47"/>
      <c r="OXN47"/>
      <c r="OXO47"/>
      <c r="OXP47"/>
      <c r="OXQ47"/>
      <c r="OXR47"/>
      <c r="OXS47"/>
      <c r="OXT47"/>
      <c r="OXU47"/>
      <c r="OXV47"/>
      <c r="OXW47"/>
      <c r="OXX47"/>
      <c r="OXY47"/>
      <c r="OXZ47"/>
      <c r="OYA47"/>
      <c r="OYB47"/>
      <c r="OYC47"/>
      <c r="OYD47"/>
      <c r="OYE47"/>
      <c r="OYF47"/>
      <c r="OYG47"/>
      <c r="OYH47"/>
      <c r="OYI47"/>
      <c r="OYJ47"/>
      <c r="OYK47"/>
      <c r="OYL47"/>
      <c r="OYM47"/>
      <c r="OYN47"/>
      <c r="OYO47"/>
      <c r="OYP47"/>
      <c r="OYQ47"/>
      <c r="OYR47"/>
      <c r="OYS47"/>
      <c r="OYT47"/>
      <c r="OYU47"/>
      <c r="OYV47"/>
      <c r="OYW47"/>
      <c r="OYX47"/>
      <c r="OYY47"/>
      <c r="OYZ47"/>
      <c r="OZA47"/>
      <c r="OZB47"/>
      <c r="OZC47"/>
      <c r="OZD47"/>
      <c r="OZE47"/>
      <c r="OZF47"/>
      <c r="OZG47"/>
      <c r="OZH47"/>
      <c r="OZI47"/>
      <c r="OZJ47"/>
      <c r="OZK47"/>
      <c r="OZL47"/>
      <c r="OZM47"/>
      <c r="OZN47"/>
      <c r="OZO47"/>
      <c r="OZP47"/>
      <c r="OZQ47"/>
      <c r="OZR47"/>
      <c r="OZS47"/>
      <c r="OZT47"/>
      <c r="OZU47"/>
      <c r="OZV47"/>
      <c r="OZW47"/>
      <c r="OZX47"/>
      <c r="OZY47"/>
      <c r="OZZ47"/>
      <c r="PAA47"/>
      <c r="PAB47"/>
      <c r="PAC47"/>
      <c r="PAD47"/>
      <c r="PAE47"/>
      <c r="PAF47"/>
      <c r="PAG47"/>
      <c r="PAH47"/>
      <c r="PAI47"/>
      <c r="PAJ47"/>
      <c r="PAK47"/>
      <c r="PAL47"/>
      <c r="PAM47"/>
      <c r="PAN47"/>
      <c r="PAO47"/>
      <c r="PAP47"/>
      <c r="PAQ47"/>
      <c r="PAR47"/>
      <c r="PAS47"/>
      <c r="PAT47"/>
      <c r="PAU47"/>
      <c r="PAV47"/>
      <c r="PAW47"/>
      <c r="PAX47"/>
      <c r="PAY47"/>
      <c r="PAZ47"/>
      <c r="PBA47"/>
      <c r="PBB47"/>
      <c r="PBC47"/>
      <c r="PBD47"/>
      <c r="PBE47"/>
      <c r="PBF47"/>
      <c r="PBG47"/>
      <c r="PBH47"/>
      <c r="PBI47"/>
      <c r="PBJ47"/>
      <c r="PBK47"/>
      <c r="PBL47"/>
      <c r="PBM47"/>
      <c r="PBN47"/>
      <c r="PBO47"/>
      <c r="PBP47"/>
      <c r="PBQ47"/>
      <c r="PBR47"/>
      <c r="PBS47"/>
      <c r="PBT47"/>
      <c r="PBU47"/>
      <c r="PBV47"/>
      <c r="PBW47"/>
      <c r="PBX47"/>
      <c r="PBY47"/>
      <c r="PBZ47"/>
      <c r="PCA47"/>
      <c r="PCB47"/>
      <c r="PCC47"/>
      <c r="PCD47"/>
      <c r="PCE47"/>
      <c r="PCF47"/>
      <c r="PCG47"/>
      <c r="PCH47"/>
      <c r="PCI47"/>
      <c r="PCJ47"/>
      <c r="PCK47"/>
      <c r="PCL47"/>
      <c r="PCM47"/>
      <c r="PCN47"/>
      <c r="PCO47"/>
      <c r="PCP47"/>
      <c r="PCQ47"/>
      <c r="PCR47"/>
      <c r="PCS47"/>
      <c r="PCT47"/>
      <c r="PCU47"/>
      <c r="PCV47"/>
      <c r="PCW47"/>
      <c r="PCX47"/>
      <c r="PCY47"/>
      <c r="PCZ47"/>
      <c r="PDA47"/>
      <c r="PDB47"/>
      <c r="PDC47"/>
      <c r="PDD47"/>
      <c r="PDE47"/>
      <c r="PDF47"/>
      <c r="PDG47"/>
      <c r="PDH47"/>
      <c r="PDI47"/>
      <c r="PDJ47"/>
      <c r="PDK47"/>
      <c r="PDL47"/>
      <c r="PDM47"/>
      <c r="PDN47"/>
      <c r="PDO47"/>
      <c r="PDP47"/>
      <c r="PDQ47"/>
      <c r="PDR47"/>
      <c r="PDS47"/>
      <c r="PDT47"/>
      <c r="PDU47"/>
      <c r="PDV47"/>
      <c r="PDW47"/>
      <c r="PDX47"/>
      <c r="PDY47"/>
      <c r="PDZ47"/>
      <c r="PEA47"/>
      <c r="PEB47"/>
      <c r="PEC47"/>
      <c r="PED47"/>
      <c r="PEE47"/>
      <c r="PEF47"/>
      <c r="PEG47"/>
      <c r="PEH47"/>
      <c r="PEI47"/>
      <c r="PEJ47"/>
      <c r="PEK47"/>
      <c r="PEL47"/>
      <c r="PEM47"/>
      <c r="PEN47"/>
      <c r="PEO47"/>
      <c r="PEP47"/>
      <c r="PEQ47"/>
      <c r="PER47"/>
      <c r="PES47"/>
      <c r="PET47"/>
      <c r="PEU47"/>
      <c r="PEV47"/>
      <c r="PEW47"/>
      <c r="PEX47"/>
      <c r="PEY47"/>
      <c r="PEZ47"/>
      <c r="PFA47"/>
      <c r="PFB47"/>
      <c r="PFC47"/>
      <c r="PFD47"/>
      <c r="PFE47"/>
      <c r="PFF47"/>
      <c r="PFG47"/>
      <c r="PFH47"/>
      <c r="PFI47"/>
      <c r="PFJ47"/>
      <c r="PFK47"/>
      <c r="PFL47"/>
      <c r="PFM47"/>
      <c r="PFN47"/>
      <c r="PFO47"/>
      <c r="PFP47"/>
      <c r="PFQ47"/>
      <c r="PFR47"/>
      <c r="PFS47"/>
      <c r="PFT47"/>
      <c r="PFU47"/>
      <c r="PFV47"/>
      <c r="PFW47"/>
      <c r="PFX47"/>
      <c r="PFY47"/>
      <c r="PFZ47"/>
      <c r="PGA47"/>
      <c r="PGB47"/>
      <c r="PGC47"/>
      <c r="PGD47"/>
      <c r="PGE47"/>
      <c r="PGF47"/>
      <c r="PGG47"/>
      <c r="PGH47"/>
      <c r="PGI47"/>
      <c r="PGJ47"/>
      <c r="PGK47"/>
      <c r="PGL47"/>
      <c r="PGM47"/>
      <c r="PGN47"/>
      <c r="PGO47"/>
      <c r="PGP47"/>
      <c r="PGQ47"/>
      <c r="PGR47"/>
      <c r="PGS47"/>
      <c r="PGT47"/>
      <c r="PGU47"/>
      <c r="PGV47"/>
      <c r="PGW47"/>
      <c r="PGX47"/>
      <c r="PGY47"/>
      <c r="PGZ47"/>
      <c r="PHA47"/>
      <c r="PHB47"/>
      <c r="PHC47"/>
      <c r="PHD47"/>
      <c r="PHE47"/>
      <c r="PHF47"/>
      <c r="PHG47"/>
      <c r="PHH47"/>
      <c r="PHI47"/>
      <c r="PHJ47"/>
      <c r="PHK47"/>
      <c r="PHL47"/>
      <c r="PHM47"/>
      <c r="PHN47"/>
      <c r="PHO47"/>
      <c r="PHP47"/>
      <c r="PHQ47"/>
      <c r="PHR47"/>
      <c r="PHS47"/>
      <c r="PHT47"/>
      <c r="PHU47"/>
      <c r="PHV47"/>
      <c r="PHW47"/>
      <c r="PHX47"/>
      <c r="PHY47"/>
      <c r="PHZ47"/>
      <c r="PIA47"/>
      <c r="PIB47"/>
      <c r="PIC47"/>
      <c r="PID47"/>
      <c r="PIE47"/>
      <c r="PIF47"/>
      <c r="PIG47"/>
      <c r="PIH47"/>
      <c r="PII47"/>
      <c r="PIJ47"/>
      <c r="PIK47"/>
      <c r="PIL47"/>
      <c r="PIM47"/>
      <c r="PIN47"/>
      <c r="PIO47"/>
      <c r="PIP47"/>
      <c r="PIQ47"/>
      <c r="PIR47"/>
      <c r="PIS47"/>
      <c r="PIT47"/>
      <c r="PIU47"/>
      <c r="PIV47"/>
      <c r="PIW47"/>
      <c r="PIX47"/>
      <c r="PIY47"/>
      <c r="PIZ47"/>
      <c r="PJA47"/>
      <c r="PJB47"/>
      <c r="PJC47"/>
      <c r="PJD47"/>
      <c r="PJE47"/>
      <c r="PJF47"/>
      <c r="PJG47"/>
      <c r="PJH47"/>
      <c r="PJI47"/>
      <c r="PJJ47"/>
      <c r="PJK47"/>
      <c r="PJL47"/>
      <c r="PJM47"/>
      <c r="PJN47"/>
      <c r="PJO47"/>
      <c r="PJP47"/>
      <c r="PJQ47"/>
      <c r="PJR47"/>
      <c r="PJS47"/>
      <c r="PJT47"/>
      <c r="PJU47"/>
      <c r="PJV47"/>
      <c r="PJW47"/>
      <c r="PJX47"/>
      <c r="PJY47"/>
      <c r="PJZ47"/>
      <c r="PKA47"/>
      <c r="PKB47"/>
      <c r="PKC47"/>
      <c r="PKD47"/>
      <c r="PKE47"/>
      <c r="PKF47"/>
      <c r="PKG47"/>
      <c r="PKH47"/>
      <c r="PKI47"/>
      <c r="PKJ47"/>
      <c r="PKK47"/>
      <c r="PKL47"/>
      <c r="PKM47"/>
      <c r="PKN47"/>
      <c r="PKO47"/>
      <c r="PKP47"/>
      <c r="PKQ47"/>
      <c r="PKR47"/>
      <c r="PKS47"/>
      <c r="PKT47"/>
      <c r="PKU47"/>
      <c r="PKV47"/>
      <c r="PKW47"/>
      <c r="PKX47"/>
      <c r="PKY47"/>
      <c r="PKZ47"/>
      <c r="PLA47"/>
      <c r="PLB47"/>
      <c r="PLC47"/>
      <c r="PLD47"/>
      <c r="PLE47"/>
      <c r="PLF47"/>
      <c r="PLG47"/>
      <c r="PLH47"/>
      <c r="PLI47"/>
      <c r="PLJ47"/>
      <c r="PLK47"/>
      <c r="PLL47"/>
      <c r="PLM47"/>
      <c r="PLN47"/>
      <c r="PLO47"/>
      <c r="PLP47"/>
      <c r="PLQ47"/>
      <c r="PLR47"/>
      <c r="PLS47"/>
      <c r="PLT47"/>
      <c r="PLU47"/>
      <c r="PLV47"/>
      <c r="PLW47"/>
      <c r="PLX47"/>
      <c r="PLY47"/>
      <c r="PLZ47"/>
      <c r="PMA47"/>
      <c r="PMB47"/>
      <c r="PMC47"/>
      <c r="PMD47"/>
      <c r="PME47"/>
      <c r="PMF47"/>
      <c r="PMG47"/>
      <c r="PMH47"/>
      <c r="PMI47"/>
      <c r="PMJ47"/>
      <c r="PMK47"/>
      <c r="PML47"/>
      <c r="PMM47"/>
      <c r="PMN47"/>
      <c r="PMO47"/>
      <c r="PMP47"/>
      <c r="PMQ47"/>
      <c r="PMR47"/>
      <c r="PMS47"/>
      <c r="PMT47"/>
      <c r="PMU47"/>
      <c r="PMV47"/>
      <c r="PMW47"/>
      <c r="PMX47"/>
      <c r="PMY47"/>
      <c r="PMZ47"/>
      <c r="PNA47"/>
      <c r="PNB47"/>
      <c r="PNC47"/>
      <c r="PND47"/>
      <c r="PNE47"/>
      <c r="PNF47"/>
      <c r="PNG47"/>
      <c r="PNH47"/>
      <c r="PNI47"/>
      <c r="PNJ47"/>
      <c r="PNK47"/>
      <c r="PNL47"/>
      <c r="PNM47"/>
      <c r="PNN47"/>
      <c r="PNO47"/>
      <c r="PNP47"/>
      <c r="PNQ47"/>
      <c r="PNR47"/>
      <c r="PNS47"/>
      <c r="PNT47"/>
      <c r="PNU47"/>
      <c r="PNV47"/>
      <c r="PNW47"/>
      <c r="PNX47"/>
      <c r="PNY47"/>
      <c r="PNZ47"/>
      <c r="POA47"/>
      <c r="POB47"/>
      <c r="POC47"/>
      <c r="POD47"/>
      <c r="POE47"/>
      <c r="POF47"/>
      <c r="POG47"/>
      <c r="POH47"/>
      <c r="POI47"/>
      <c r="POJ47"/>
      <c r="POK47"/>
      <c r="POL47"/>
      <c r="POM47"/>
      <c r="PON47"/>
      <c r="POO47"/>
      <c r="POP47"/>
      <c r="POQ47"/>
      <c r="POR47"/>
      <c r="POS47"/>
      <c r="POT47"/>
      <c r="POU47"/>
      <c r="POV47"/>
      <c r="POW47"/>
      <c r="POX47"/>
      <c r="POY47"/>
      <c r="POZ47"/>
      <c r="PPA47"/>
      <c r="PPB47"/>
      <c r="PPC47"/>
      <c r="PPD47"/>
      <c r="PPE47"/>
      <c r="PPF47"/>
      <c r="PPG47"/>
      <c r="PPH47"/>
      <c r="PPI47"/>
      <c r="PPJ47"/>
      <c r="PPK47"/>
      <c r="PPL47"/>
      <c r="PPM47"/>
      <c r="PPN47"/>
      <c r="PPO47"/>
      <c r="PPP47"/>
      <c r="PPQ47"/>
      <c r="PPR47"/>
      <c r="PPS47"/>
      <c r="PPT47"/>
      <c r="PPU47"/>
      <c r="PPV47"/>
      <c r="PPW47"/>
      <c r="PPX47"/>
      <c r="PPY47"/>
      <c r="PPZ47"/>
      <c r="PQA47"/>
      <c r="PQB47"/>
      <c r="PQC47"/>
      <c r="PQD47"/>
      <c r="PQE47"/>
      <c r="PQF47"/>
      <c r="PQG47"/>
      <c r="PQH47"/>
      <c r="PQI47"/>
      <c r="PQJ47"/>
      <c r="PQK47"/>
      <c r="PQL47"/>
      <c r="PQM47"/>
      <c r="PQN47"/>
      <c r="PQO47"/>
      <c r="PQP47"/>
      <c r="PQQ47"/>
      <c r="PQR47"/>
      <c r="PQS47"/>
      <c r="PQT47"/>
      <c r="PQU47"/>
      <c r="PQV47"/>
      <c r="PQW47"/>
      <c r="PQX47"/>
      <c r="PQY47"/>
      <c r="PQZ47"/>
      <c r="PRA47"/>
      <c r="PRB47"/>
      <c r="PRC47"/>
      <c r="PRD47"/>
      <c r="PRE47"/>
      <c r="PRF47"/>
      <c r="PRG47"/>
      <c r="PRH47"/>
      <c r="PRI47"/>
      <c r="PRJ47"/>
      <c r="PRK47"/>
      <c r="PRL47"/>
      <c r="PRM47"/>
      <c r="PRN47"/>
      <c r="PRO47"/>
      <c r="PRP47"/>
      <c r="PRQ47"/>
      <c r="PRR47"/>
      <c r="PRS47"/>
      <c r="PRT47"/>
      <c r="PRU47"/>
      <c r="PRV47"/>
      <c r="PRW47"/>
      <c r="PRX47"/>
      <c r="PRY47"/>
      <c r="PRZ47"/>
      <c r="PSA47"/>
      <c r="PSB47"/>
      <c r="PSC47"/>
      <c r="PSD47"/>
      <c r="PSE47"/>
      <c r="PSF47"/>
      <c r="PSG47"/>
      <c r="PSH47"/>
      <c r="PSI47"/>
      <c r="PSJ47"/>
      <c r="PSK47"/>
      <c r="PSL47"/>
      <c r="PSM47"/>
      <c r="PSN47"/>
      <c r="PSO47"/>
      <c r="PSP47"/>
      <c r="PSQ47"/>
      <c r="PSR47"/>
      <c r="PSS47"/>
      <c r="PST47"/>
      <c r="PSU47"/>
      <c r="PSV47"/>
      <c r="PSW47"/>
      <c r="PSX47"/>
      <c r="PSY47"/>
      <c r="PSZ47"/>
      <c r="PTA47"/>
      <c r="PTB47"/>
      <c r="PTC47"/>
      <c r="PTD47"/>
      <c r="PTE47"/>
      <c r="PTF47"/>
      <c r="PTG47"/>
      <c r="PTH47"/>
      <c r="PTI47"/>
      <c r="PTJ47"/>
      <c r="PTK47"/>
      <c r="PTL47"/>
      <c r="PTM47"/>
      <c r="PTN47"/>
      <c r="PTO47"/>
      <c r="PTP47"/>
      <c r="PTQ47"/>
      <c r="PTR47"/>
      <c r="PTS47"/>
      <c r="PTT47"/>
      <c r="PTU47"/>
      <c r="PTV47"/>
      <c r="PTW47"/>
      <c r="PTX47"/>
      <c r="PTY47"/>
      <c r="PTZ47"/>
      <c r="PUA47"/>
      <c r="PUB47"/>
      <c r="PUC47"/>
      <c r="PUD47"/>
      <c r="PUE47"/>
      <c r="PUF47"/>
      <c r="PUG47"/>
      <c r="PUH47"/>
      <c r="PUI47"/>
      <c r="PUJ47"/>
      <c r="PUK47"/>
      <c r="PUL47"/>
      <c r="PUM47"/>
      <c r="PUN47"/>
      <c r="PUO47"/>
      <c r="PUP47"/>
      <c r="PUQ47"/>
      <c r="PUR47"/>
      <c r="PUS47"/>
      <c r="PUT47"/>
      <c r="PUU47"/>
      <c r="PUV47"/>
      <c r="PUW47"/>
      <c r="PUX47"/>
      <c r="PUY47"/>
      <c r="PUZ47"/>
      <c r="PVA47"/>
      <c r="PVB47"/>
      <c r="PVC47"/>
      <c r="PVD47"/>
      <c r="PVE47"/>
      <c r="PVF47"/>
      <c r="PVG47"/>
      <c r="PVH47"/>
      <c r="PVI47"/>
      <c r="PVJ47"/>
      <c r="PVK47"/>
      <c r="PVL47"/>
      <c r="PVM47"/>
      <c r="PVN47"/>
      <c r="PVO47"/>
      <c r="PVP47"/>
      <c r="PVQ47"/>
      <c r="PVR47"/>
      <c r="PVS47"/>
      <c r="PVT47"/>
      <c r="PVU47"/>
      <c r="PVV47"/>
      <c r="PVW47"/>
      <c r="PVX47"/>
      <c r="PVY47"/>
      <c r="PVZ47"/>
      <c r="PWA47"/>
      <c r="PWB47"/>
      <c r="PWC47"/>
      <c r="PWD47"/>
      <c r="PWE47"/>
      <c r="PWF47"/>
      <c r="PWG47"/>
      <c r="PWH47"/>
      <c r="PWI47"/>
      <c r="PWJ47"/>
      <c r="PWK47"/>
      <c r="PWL47"/>
      <c r="PWM47"/>
      <c r="PWN47"/>
      <c r="PWO47"/>
      <c r="PWP47"/>
      <c r="PWQ47"/>
      <c r="PWR47"/>
      <c r="PWS47"/>
      <c r="PWT47"/>
      <c r="PWU47"/>
      <c r="PWV47"/>
      <c r="PWW47"/>
      <c r="PWX47"/>
      <c r="PWY47"/>
      <c r="PWZ47"/>
      <c r="PXA47"/>
      <c r="PXB47"/>
      <c r="PXC47"/>
      <c r="PXD47"/>
      <c r="PXE47"/>
      <c r="PXF47"/>
      <c r="PXG47"/>
      <c r="PXH47"/>
      <c r="PXI47"/>
      <c r="PXJ47"/>
      <c r="PXK47"/>
      <c r="PXL47"/>
      <c r="PXM47"/>
      <c r="PXN47"/>
      <c r="PXO47"/>
      <c r="PXP47"/>
      <c r="PXQ47"/>
      <c r="PXR47"/>
      <c r="PXS47"/>
      <c r="PXT47"/>
      <c r="PXU47"/>
      <c r="PXV47"/>
      <c r="PXW47"/>
      <c r="PXX47"/>
      <c r="PXY47"/>
      <c r="PXZ47"/>
      <c r="PYA47"/>
      <c r="PYB47"/>
      <c r="PYC47"/>
      <c r="PYD47"/>
      <c r="PYE47"/>
      <c r="PYF47"/>
      <c r="PYG47"/>
      <c r="PYH47"/>
      <c r="PYI47"/>
      <c r="PYJ47"/>
      <c r="PYK47"/>
      <c r="PYL47"/>
      <c r="PYM47"/>
      <c r="PYN47"/>
      <c r="PYO47"/>
      <c r="PYP47"/>
      <c r="PYQ47"/>
      <c r="PYR47"/>
      <c r="PYS47"/>
      <c r="PYT47"/>
      <c r="PYU47"/>
      <c r="PYV47"/>
      <c r="PYW47"/>
      <c r="PYX47"/>
      <c r="PYY47"/>
      <c r="PYZ47"/>
      <c r="PZA47"/>
      <c r="PZB47"/>
      <c r="PZC47"/>
      <c r="PZD47"/>
      <c r="PZE47"/>
      <c r="PZF47"/>
      <c r="PZG47"/>
      <c r="PZH47"/>
      <c r="PZI47"/>
      <c r="PZJ47"/>
      <c r="PZK47"/>
      <c r="PZL47"/>
      <c r="PZM47"/>
      <c r="PZN47"/>
      <c r="PZO47"/>
      <c r="PZP47"/>
      <c r="PZQ47"/>
      <c r="PZR47"/>
      <c r="PZS47"/>
      <c r="PZT47"/>
      <c r="PZU47"/>
      <c r="PZV47"/>
      <c r="PZW47"/>
      <c r="PZX47"/>
      <c r="PZY47"/>
      <c r="PZZ47"/>
      <c r="QAA47"/>
      <c r="QAB47"/>
      <c r="QAC47"/>
      <c r="QAD47"/>
      <c r="QAE47"/>
      <c r="QAF47"/>
      <c r="QAG47"/>
      <c r="QAH47"/>
      <c r="QAI47"/>
      <c r="QAJ47"/>
      <c r="QAK47"/>
      <c r="QAL47"/>
      <c r="QAM47"/>
      <c r="QAN47"/>
      <c r="QAO47"/>
      <c r="QAP47"/>
      <c r="QAQ47"/>
      <c r="QAR47"/>
      <c r="QAS47"/>
      <c r="QAT47"/>
      <c r="QAU47"/>
      <c r="QAV47"/>
      <c r="QAW47"/>
      <c r="QAX47"/>
      <c r="QAY47"/>
      <c r="QAZ47"/>
      <c r="QBA47"/>
      <c r="QBB47"/>
      <c r="QBC47"/>
      <c r="QBD47"/>
      <c r="QBE47"/>
      <c r="QBF47"/>
      <c r="QBG47"/>
      <c r="QBH47"/>
      <c r="QBI47"/>
      <c r="QBJ47"/>
      <c r="QBK47"/>
      <c r="QBL47"/>
      <c r="QBM47"/>
      <c r="QBN47"/>
      <c r="QBO47"/>
      <c r="QBP47"/>
      <c r="QBQ47"/>
      <c r="QBR47"/>
      <c r="QBS47"/>
      <c r="QBT47"/>
      <c r="QBU47"/>
      <c r="QBV47"/>
      <c r="QBW47"/>
      <c r="QBX47"/>
      <c r="QBY47"/>
      <c r="QBZ47"/>
      <c r="QCA47"/>
      <c r="QCB47"/>
      <c r="QCC47"/>
      <c r="QCD47"/>
      <c r="QCE47"/>
      <c r="QCF47"/>
      <c r="QCG47"/>
      <c r="QCH47"/>
      <c r="QCI47"/>
      <c r="QCJ47"/>
      <c r="QCK47"/>
      <c r="QCL47"/>
      <c r="QCM47"/>
      <c r="QCN47"/>
      <c r="QCO47"/>
      <c r="QCP47"/>
      <c r="QCQ47"/>
      <c r="QCR47"/>
      <c r="QCS47"/>
      <c r="QCT47"/>
      <c r="QCU47"/>
      <c r="QCV47"/>
      <c r="QCW47"/>
      <c r="QCX47"/>
      <c r="QCY47"/>
      <c r="QCZ47"/>
      <c r="QDA47"/>
      <c r="QDB47"/>
      <c r="QDC47"/>
      <c r="QDD47"/>
      <c r="QDE47"/>
      <c r="QDF47"/>
      <c r="QDG47"/>
      <c r="QDH47"/>
      <c r="QDI47"/>
      <c r="QDJ47"/>
      <c r="QDK47"/>
      <c r="QDL47"/>
      <c r="QDM47"/>
      <c r="QDN47"/>
      <c r="QDO47"/>
      <c r="QDP47"/>
      <c r="QDQ47"/>
      <c r="QDR47"/>
      <c r="QDS47"/>
      <c r="QDT47"/>
      <c r="QDU47"/>
      <c r="QDV47"/>
      <c r="QDW47"/>
      <c r="QDX47"/>
      <c r="QDY47"/>
      <c r="QDZ47"/>
      <c r="QEA47"/>
      <c r="QEB47"/>
      <c r="QEC47"/>
      <c r="QED47"/>
      <c r="QEE47"/>
      <c r="QEF47"/>
      <c r="QEG47"/>
      <c r="QEH47"/>
      <c r="QEI47"/>
      <c r="QEJ47"/>
      <c r="QEK47"/>
      <c r="QEL47"/>
      <c r="QEM47"/>
      <c r="QEN47"/>
      <c r="QEO47"/>
      <c r="QEP47"/>
      <c r="QEQ47"/>
      <c r="QER47"/>
      <c r="QES47"/>
      <c r="QET47"/>
      <c r="QEU47"/>
      <c r="QEV47"/>
      <c r="QEW47"/>
      <c r="QEX47"/>
      <c r="QEY47"/>
      <c r="QEZ47"/>
      <c r="QFA47"/>
      <c r="QFB47"/>
      <c r="QFC47"/>
      <c r="QFD47"/>
      <c r="QFE47"/>
      <c r="QFF47"/>
      <c r="QFG47"/>
      <c r="QFH47"/>
      <c r="QFI47"/>
      <c r="QFJ47"/>
      <c r="QFK47"/>
      <c r="QFL47"/>
      <c r="QFM47"/>
      <c r="QFN47"/>
      <c r="QFO47"/>
      <c r="QFP47"/>
      <c r="QFQ47"/>
      <c r="QFR47"/>
      <c r="QFS47"/>
      <c r="QFT47"/>
      <c r="QFU47"/>
      <c r="QFV47"/>
      <c r="QFW47"/>
      <c r="QFX47"/>
      <c r="QFY47"/>
      <c r="QFZ47"/>
      <c r="QGA47"/>
      <c r="QGB47"/>
      <c r="QGC47"/>
      <c r="QGD47"/>
      <c r="QGE47"/>
      <c r="QGF47"/>
      <c r="QGG47"/>
      <c r="QGH47"/>
      <c r="QGI47"/>
      <c r="QGJ47"/>
      <c r="QGK47"/>
      <c r="QGL47"/>
      <c r="QGM47"/>
      <c r="QGN47"/>
      <c r="QGO47"/>
      <c r="QGP47"/>
      <c r="QGQ47"/>
      <c r="QGR47"/>
      <c r="QGS47"/>
      <c r="QGT47"/>
      <c r="QGU47"/>
      <c r="QGV47"/>
      <c r="QGW47"/>
      <c r="QGX47"/>
      <c r="QGY47"/>
      <c r="QGZ47"/>
      <c r="QHA47"/>
      <c r="QHB47"/>
      <c r="QHC47"/>
      <c r="QHD47"/>
      <c r="QHE47"/>
      <c r="QHF47"/>
      <c r="QHG47"/>
      <c r="QHH47"/>
      <c r="QHI47"/>
      <c r="QHJ47"/>
      <c r="QHK47"/>
      <c r="QHL47"/>
      <c r="QHM47"/>
      <c r="QHN47"/>
      <c r="QHO47"/>
      <c r="QHP47"/>
      <c r="QHQ47"/>
      <c r="QHR47"/>
      <c r="QHS47"/>
      <c r="QHT47"/>
      <c r="QHU47"/>
      <c r="QHV47"/>
      <c r="QHW47"/>
      <c r="QHX47"/>
      <c r="QHY47"/>
      <c r="QHZ47"/>
      <c r="QIA47"/>
      <c r="QIB47"/>
      <c r="QIC47"/>
      <c r="QID47"/>
      <c r="QIE47"/>
      <c r="QIF47"/>
      <c r="QIG47"/>
      <c r="QIH47"/>
      <c r="QII47"/>
      <c r="QIJ47"/>
      <c r="QIK47"/>
      <c r="QIL47"/>
      <c r="QIM47"/>
      <c r="QIN47"/>
      <c r="QIO47"/>
      <c r="QIP47"/>
      <c r="QIQ47"/>
      <c r="QIR47"/>
      <c r="QIS47"/>
      <c r="QIT47"/>
      <c r="QIU47"/>
      <c r="QIV47"/>
      <c r="QIW47"/>
      <c r="QIX47"/>
      <c r="QIY47"/>
      <c r="QIZ47"/>
      <c r="QJA47"/>
      <c r="QJB47"/>
      <c r="QJC47"/>
      <c r="QJD47"/>
      <c r="QJE47"/>
      <c r="QJF47"/>
      <c r="QJG47"/>
      <c r="QJH47"/>
      <c r="QJI47"/>
      <c r="QJJ47"/>
      <c r="QJK47"/>
      <c r="QJL47"/>
      <c r="QJM47"/>
      <c r="QJN47"/>
      <c r="QJO47"/>
      <c r="QJP47"/>
      <c r="QJQ47"/>
      <c r="QJR47"/>
      <c r="QJS47"/>
      <c r="QJT47"/>
      <c r="QJU47"/>
      <c r="QJV47"/>
      <c r="QJW47"/>
      <c r="QJX47"/>
      <c r="QJY47"/>
      <c r="QJZ47"/>
      <c r="QKA47"/>
      <c r="QKB47"/>
      <c r="QKC47"/>
      <c r="QKD47"/>
      <c r="QKE47"/>
      <c r="QKF47"/>
      <c r="QKG47"/>
      <c r="QKH47"/>
      <c r="QKI47"/>
      <c r="QKJ47"/>
      <c r="QKK47"/>
      <c r="QKL47"/>
      <c r="QKM47"/>
      <c r="QKN47"/>
      <c r="QKO47"/>
      <c r="QKP47"/>
      <c r="QKQ47"/>
      <c r="QKR47"/>
      <c r="QKS47"/>
      <c r="QKT47"/>
      <c r="QKU47"/>
      <c r="QKV47"/>
      <c r="QKW47"/>
      <c r="QKX47"/>
      <c r="QKY47"/>
      <c r="QKZ47"/>
      <c r="QLA47"/>
      <c r="QLB47"/>
      <c r="QLC47"/>
      <c r="QLD47"/>
      <c r="QLE47"/>
      <c r="QLF47"/>
      <c r="QLG47"/>
      <c r="QLH47"/>
      <c r="QLI47"/>
      <c r="QLJ47"/>
      <c r="QLK47"/>
      <c r="QLL47"/>
      <c r="QLM47"/>
      <c r="QLN47"/>
      <c r="QLO47"/>
      <c r="QLP47"/>
      <c r="QLQ47"/>
      <c r="QLR47"/>
      <c r="QLS47"/>
      <c r="QLT47"/>
      <c r="QLU47"/>
      <c r="QLV47"/>
      <c r="QLW47"/>
      <c r="QLX47"/>
      <c r="QLY47"/>
      <c r="QLZ47"/>
      <c r="QMA47"/>
      <c r="QMB47"/>
      <c r="QMC47"/>
      <c r="QMD47"/>
      <c r="QME47"/>
      <c r="QMF47"/>
      <c r="QMG47"/>
      <c r="QMH47"/>
      <c r="QMI47"/>
      <c r="QMJ47"/>
      <c r="QMK47"/>
      <c r="QML47"/>
      <c r="QMM47"/>
      <c r="QMN47"/>
      <c r="QMO47"/>
      <c r="QMP47"/>
      <c r="QMQ47"/>
      <c r="QMR47"/>
      <c r="QMS47"/>
      <c r="QMT47"/>
      <c r="QMU47"/>
      <c r="QMV47"/>
      <c r="QMW47"/>
      <c r="QMX47"/>
      <c r="QMY47"/>
      <c r="QMZ47"/>
      <c r="QNA47"/>
      <c r="QNB47"/>
      <c r="QNC47"/>
      <c r="QND47"/>
      <c r="QNE47"/>
      <c r="QNF47"/>
      <c r="QNG47"/>
      <c r="QNH47"/>
      <c r="QNI47"/>
      <c r="QNJ47"/>
      <c r="QNK47"/>
      <c r="QNL47"/>
      <c r="QNM47"/>
      <c r="QNN47"/>
      <c r="QNO47"/>
      <c r="QNP47"/>
      <c r="QNQ47"/>
      <c r="QNR47"/>
      <c r="QNS47"/>
      <c r="QNT47"/>
      <c r="QNU47"/>
      <c r="QNV47"/>
      <c r="QNW47"/>
      <c r="QNX47"/>
      <c r="QNY47"/>
      <c r="QNZ47"/>
      <c r="QOA47"/>
      <c r="QOB47"/>
      <c r="QOC47"/>
      <c r="QOD47"/>
      <c r="QOE47"/>
      <c r="QOF47"/>
      <c r="QOG47"/>
      <c r="QOH47"/>
      <c r="QOI47"/>
      <c r="QOJ47"/>
      <c r="QOK47"/>
      <c r="QOL47"/>
      <c r="QOM47"/>
      <c r="QON47"/>
      <c r="QOO47"/>
      <c r="QOP47"/>
      <c r="QOQ47"/>
      <c r="QOR47"/>
      <c r="QOS47"/>
      <c r="QOT47"/>
      <c r="QOU47"/>
      <c r="QOV47"/>
      <c r="QOW47"/>
      <c r="QOX47"/>
      <c r="QOY47"/>
      <c r="QOZ47"/>
      <c r="QPA47"/>
      <c r="QPB47"/>
      <c r="QPC47"/>
      <c r="QPD47"/>
      <c r="QPE47"/>
      <c r="QPF47"/>
      <c r="QPG47"/>
      <c r="QPH47"/>
      <c r="QPI47"/>
      <c r="QPJ47"/>
      <c r="QPK47"/>
      <c r="QPL47"/>
      <c r="QPM47"/>
      <c r="QPN47"/>
      <c r="QPO47"/>
      <c r="QPP47"/>
      <c r="QPQ47"/>
      <c r="QPR47"/>
      <c r="QPS47"/>
      <c r="QPT47"/>
      <c r="QPU47"/>
      <c r="QPV47"/>
      <c r="QPW47"/>
      <c r="QPX47"/>
      <c r="QPY47"/>
      <c r="QPZ47"/>
      <c r="QQA47"/>
      <c r="QQB47"/>
      <c r="QQC47"/>
      <c r="QQD47"/>
      <c r="QQE47"/>
      <c r="QQF47"/>
      <c r="QQG47"/>
      <c r="QQH47"/>
      <c r="QQI47"/>
      <c r="QQJ47"/>
      <c r="QQK47"/>
      <c r="QQL47"/>
      <c r="QQM47"/>
      <c r="QQN47"/>
      <c r="QQO47"/>
      <c r="QQP47"/>
      <c r="QQQ47"/>
      <c r="QQR47"/>
      <c r="QQS47"/>
      <c r="QQT47"/>
      <c r="QQU47"/>
      <c r="QQV47"/>
      <c r="QQW47"/>
      <c r="QQX47"/>
      <c r="QQY47"/>
      <c r="QQZ47"/>
      <c r="QRA47"/>
      <c r="QRB47"/>
      <c r="QRC47"/>
      <c r="QRD47"/>
      <c r="QRE47"/>
      <c r="QRF47"/>
      <c r="QRG47"/>
      <c r="QRH47"/>
      <c r="QRI47"/>
      <c r="QRJ47"/>
      <c r="QRK47"/>
      <c r="QRL47"/>
      <c r="QRM47"/>
      <c r="QRN47"/>
      <c r="QRO47"/>
      <c r="QRP47"/>
      <c r="QRQ47"/>
      <c r="QRR47"/>
      <c r="QRS47"/>
      <c r="QRT47"/>
      <c r="QRU47"/>
      <c r="QRV47"/>
      <c r="QRW47"/>
      <c r="QRX47"/>
      <c r="QRY47"/>
      <c r="QRZ47"/>
      <c r="QSA47"/>
      <c r="QSB47"/>
      <c r="QSC47"/>
      <c r="QSD47"/>
      <c r="QSE47"/>
      <c r="QSF47"/>
      <c r="QSG47"/>
      <c r="QSH47"/>
      <c r="QSI47"/>
      <c r="QSJ47"/>
      <c r="QSK47"/>
      <c r="QSL47"/>
      <c r="QSM47"/>
      <c r="QSN47"/>
      <c r="QSO47"/>
      <c r="QSP47"/>
      <c r="QSQ47"/>
      <c r="QSR47"/>
      <c r="QSS47"/>
      <c r="QST47"/>
      <c r="QSU47"/>
      <c r="QSV47"/>
      <c r="QSW47"/>
      <c r="QSX47"/>
      <c r="QSY47"/>
      <c r="QSZ47"/>
      <c r="QTA47"/>
      <c r="QTB47"/>
      <c r="QTC47"/>
      <c r="QTD47"/>
      <c r="QTE47"/>
      <c r="QTF47"/>
      <c r="QTG47"/>
      <c r="QTH47"/>
      <c r="QTI47"/>
      <c r="QTJ47"/>
      <c r="QTK47"/>
      <c r="QTL47"/>
      <c r="QTM47"/>
      <c r="QTN47"/>
      <c r="QTO47"/>
      <c r="QTP47"/>
      <c r="QTQ47"/>
      <c r="QTR47"/>
      <c r="QTS47"/>
      <c r="QTT47"/>
      <c r="QTU47"/>
      <c r="QTV47"/>
      <c r="QTW47"/>
      <c r="QTX47"/>
      <c r="QTY47"/>
      <c r="QTZ47"/>
      <c r="QUA47"/>
      <c r="QUB47"/>
      <c r="QUC47"/>
      <c r="QUD47"/>
      <c r="QUE47"/>
      <c r="QUF47"/>
      <c r="QUG47"/>
      <c r="QUH47"/>
      <c r="QUI47"/>
      <c r="QUJ47"/>
      <c r="QUK47"/>
      <c r="QUL47"/>
      <c r="QUM47"/>
      <c r="QUN47"/>
      <c r="QUO47"/>
      <c r="QUP47"/>
      <c r="QUQ47"/>
      <c r="QUR47"/>
      <c r="QUS47"/>
      <c r="QUT47"/>
      <c r="QUU47"/>
      <c r="QUV47"/>
      <c r="QUW47"/>
      <c r="QUX47"/>
      <c r="QUY47"/>
      <c r="QUZ47"/>
      <c r="QVA47"/>
      <c r="QVB47"/>
      <c r="QVC47"/>
      <c r="QVD47"/>
      <c r="QVE47"/>
      <c r="QVF47"/>
      <c r="QVG47"/>
      <c r="QVH47"/>
      <c r="QVI47"/>
      <c r="QVJ47"/>
      <c r="QVK47"/>
      <c r="QVL47"/>
      <c r="QVM47"/>
      <c r="QVN47"/>
      <c r="QVO47"/>
      <c r="QVP47"/>
      <c r="QVQ47"/>
      <c r="QVR47"/>
      <c r="QVS47"/>
      <c r="QVT47"/>
      <c r="QVU47"/>
      <c r="QVV47"/>
      <c r="QVW47"/>
      <c r="QVX47"/>
      <c r="QVY47"/>
      <c r="QVZ47"/>
      <c r="QWA47"/>
      <c r="QWB47"/>
      <c r="QWC47"/>
      <c r="QWD47"/>
      <c r="QWE47"/>
      <c r="QWF47"/>
      <c r="QWG47"/>
      <c r="QWH47"/>
      <c r="QWI47"/>
      <c r="QWJ47"/>
      <c r="QWK47"/>
      <c r="QWL47"/>
      <c r="QWM47"/>
      <c r="QWN47"/>
      <c r="QWO47"/>
      <c r="QWP47"/>
      <c r="QWQ47"/>
      <c r="QWR47"/>
      <c r="QWS47"/>
      <c r="QWT47"/>
      <c r="QWU47"/>
      <c r="QWV47"/>
      <c r="QWW47"/>
      <c r="QWX47"/>
      <c r="QWY47"/>
      <c r="QWZ47"/>
      <c r="QXA47"/>
      <c r="QXB47"/>
      <c r="QXC47"/>
      <c r="QXD47"/>
      <c r="QXE47"/>
      <c r="QXF47"/>
      <c r="QXG47"/>
      <c r="QXH47"/>
      <c r="QXI47"/>
      <c r="QXJ47"/>
      <c r="QXK47"/>
      <c r="QXL47"/>
      <c r="QXM47"/>
      <c r="QXN47"/>
      <c r="QXO47"/>
      <c r="QXP47"/>
      <c r="QXQ47"/>
      <c r="QXR47"/>
      <c r="QXS47"/>
      <c r="QXT47"/>
      <c r="QXU47"/>
      <c r="QXV47"/>
      <c r="QXW47"/>
      <c r="QXX47"/>
      <c r="QXY47"/>
      <c r="QXZ47"/>
      <c r="QYA47"/>
      <c r="QYB47"/>
      <c r="QYC47"/>
      <c r="QYD47"/>
      <c r="QYE47"/>
      <c r="QYF47"/>
      <c r="QYG47"/>
      <c r="QYH47"/>
      <c r="QYI47"/>
      <c r="QYJ47"/>
      <c r="QYK47"/>
      <c r="QYL47"/>
      <c r="QYM47"/>
      <c r="QYN47"/>
      <c r="QYO47"/>
      <c r="QYP47"/>
      <c r="QYQ47"/>
      <c r="QYR47"/>
      <c r="QYS47"/>
      <c r="QYT47"/>
      <c r="QYU47"/>
      <c r="QYV47"/>
      <c r="QYW47"/>
      <c r="QYX47"/>
      <c r="QYY47"/>
      <c r="QYZ47"/>
      <c r="QZA47"/>
      <c r="QZB47"/>
      <c r="QZC47"/>
      <c r="QZD47"/>
      <c r="QZE47"/>
      <c r="QZF47"/>
      <c r="QZG47"/>
      <c r="QZH47"/>
      <c r="QZI47"/>
      <c r="QZJ47"/>
      <c r="QZK47"/>
      <c r="QZL47"/>
      <c r="QZM47"/>
      <c r="QZN47"/>
      <c r="QZO47"/>
      <c r="QZP47"/>
      <c r="QZQ47"/>
      <c r="QZR47"/>
      <c r="QZS47"/>
      <c r="QZT47"/>
      <c r="QZU47"/>
      <c r="QZV47"/>
      <c r="QZW47"/>
      <c r="QZX47"/>
      <c r="QZY47"/>
      <c r="QZZ47"/>
      <c r="RAA47"/>
      <c r="RAB47"/>
      <c r="RAC47"/>
      <c r="RAD47"/>
      <c r="RAE47"/>
      <c r="RAF47"/>
      <c r="RAG47"/>
      <c r="RAH47"/>
      <c r="RAI47"/>
      <c r="RAJ47"/>
      <c r="RAK47"/>
      <c r="RAL47"/>
      <c r="RAM47"/>
      <c r="RAN47"/>
      <c r="RAO47"/>
      <c r="RAP47"/>
      <c r="RAQ47"/>
      <c r="RAR47"/>
      <c r="RAS47"/>
      <c r="RAT47"/>
      <c r="RAU47"/>
      <c r="RAV47"/>
      <c r="RAW47"/>
      <c r="RAX47"/>
      <c r="RAY47"/>
      <c r="RAZ47"/>
      <c r="RBA47"/>
      <c r="RBB47"/>
      <c r="RBC47"/>
      <c r="RBD47"/>
      <c r="RBE47"/>
      <c r="RBF47"/>
      <c r="RBG47"/>
      <c r="RBH47"/>
      <c r="RBI47"/>
      <c r="RBJ47"/>
      <c r="RBK47"/>
      <c r="RBL47"/>
      <c r="RBM47"/>
      <c r="RBN47"/>
      <c r="RBO47"/>
      <c r="RBP47"/>
      <c r="RBQ47"/>
      <c r="RBR47"/>
      <c r="RBS47"/>
      <c r="RBT47"/>
      <c r="RBU47"/>
      <c r="RBV47"/>
      <c r="RBW47"/>
      <c r="RBX47"/>
      <c r="RBY47"/>
      <c r="RBZ47"/>
      <c r="RCA47"/>
      <c r="RCB47"/>
      <c r="RCC47"/>
      <c r="RCD47"/>
      <c r="RCE47"/>
      <c r="RCF47"/>
      <c r="RCG47"/>
      <c r="RCH47"/>
      <c r="RCI47"/>
      <c r="RCJ47"/>
      <c r="RCK47"/>
      <c r="RCL47"/>
      <c r="RCM47"/>
      <c r="RCN47"/>
      <c r="RCO47"/>
      <c r="RCP47"/>
      <c r="RCQ47"/>
      <c r="RCR47"/>
      <c r="RCS47"/>
      <c r="RCT47"/>
      <c r="RCU47"/>
      <c r="RCV47"/>
      <c r="RCW47"/>
      <c r="RCX47"/>
      <c r="RCY47"/>
      <c r="RCZ47"/>
      <c r="RDA47"/>
      <c r="RDB47"/>
      <c r="RDC47"/>
      <c r="RDD47"/>
      <c r="RDE47"/>
      <c r="RDF47"/>
      <c r="RDG47"/>
      <c r="RDH47"/>
      <c r="RDI47"/>
      <c r="RDJ47"/>
      <c r="RDK47"/>
      <c r="RDL47"/>
      <c r="RDM47"/>
      <c r="RDN47"/>
      <c r="RDO47"/>
      <c r="RDP47"/>
      <c r="RDQ47"/>
      <c r="RDR47"/>
      <c r="RDS47"/>
      <c r="RDT47"/>
      <c r="RDU47"/>
      <c r="RDV47"/>
      <c r="RDW47"/>
      <c r="RDX47"/>
      <c r="RDY47"/>
      <c r="RDZ47"/>
      <c r="REA47"/>
      <c r="REB47"/>
      <c r="REC47"/>
      <c r="RED47"/>
      <c r="REE47"/>
      <c r="REF47"/>
      <c r="REG47"/>
      <c r="REH47"/>
      <c r="REI47"/>
      <c r="REJ47"/>
      <c r="REK47"/>
      <c r="REL47"/>
      <c r="REM47"/>
      <c r="REN47"/>
      <c r="REO47"/>
      <c r="REP47"/>
      <c r="REQ47"/>
      <c r="RER47"/>
      <c r="RES47"/>
      <c r="RET47"/>
      <c r="REU47"/>
      <c r="REV47"/>
      <c r="REW47"/>
      <c r="REX47"/>
      <c r="REY47"/>
      <c r="REZ47"/>
      <c r="RFA47"/>
      <c r="RFB47"/>
      <c r="RFC47"/>
      <c r="RFD47"/>
      <c r="RFE47"/>
      <c r="RFF47"/>
      <c r="RFG47"/>
      <c r="RFH47"/>
      <c r="RFI47"/>
      <c r="RFJ47"/>
      <c r="RFK47"/>
      <c r="RFL47"/>
      <c r="RFM47"/>
      <c r="RFN47"/>
      <c r="RFO47"/>
      <c r="RFP47"/>
      <c r="RFQ47"/>
      <c r="RFR47"/>
      <c r="RFS47"/>
      <c r="RFT47"/>
      <c r="RFU47"/>
      <c r="RFV47"/>
      <c r="RFW47"/>
      <c r="RFX47"/>
      <c r="RFY47"/>
      <c r="RFZ47"/>
      <c r="RGA47"/>
      <c r="RGB47"/>
      <c r="RGC47"/>
      <c r="RGD47"/>
      <c r="RGE47"/>
      <c r="RGF47"/>
      <c r="RGG47"/>
      <c r="RGH47"/>
      <c r="RGI47"/>
      <c r="RGJ47"/>
      <c r="RGK47"/>
      <c r="RGL47"/>
      <c r="RGM47"/>
      <c r="RGN47"/>
      <c r="RGO47"/>
      <c r="RGP47"/>
      <c r="RGQ47"/>
      <c r="RGR47"/>
      <c r="RGS47"/>
      <c r="RGT47"/>
      <c r="RGU47"/>
      <c r="RGV47"/>
      <c r="RGW47"/>
      <c r="RGX47"/>
      <c r="RGY47"/>
      <c r="RGZ47"/>
      <c r="RHA47"/>
      <c r="RHB47"/>
      <c r="RHC47"/>
      <c r="RHD47"/>
      <c r="RHE47"/>
      <c r="RHF47"/>
      <c r="RHG47"/>
      <c r="RHH47"/>
      <c r="RHI47"/>
      <c r="RHJ47"/>
      <c r="RHK47"/>
      <c r="RHL47"/>
      <c r="RHM47"/>
      <c r="RHN47"/>
      <c r="RHO47"/>
      <c r="RHP47"/>
      <c r="RHQ47"/>
      <c r="RHR47"/>
      <c r="RHS47"/>
      <c r="RHT47"/>
      <c r="RHU47"/>
      <c r="RHV47"/>
      <c r="RHW47"/>
      <c r="RHX47"/>
      <c r="RHY47"/>
      <c r="RHZ47"/>
      <c r="RIA47"/>
      <c r="RIB47"/>
      <c r="RIC47"/>
      <c r="RID47"/>
      <c r="RIE47"/>
      <c r="RIF47"/>
      <c r="RIG47"/>
      <c r="RIH47"/>
      <c r="RII47"/>
      <c r="RIJ47"/>
      <c r="RIK47"/>
      <c r="RIL47"/>
      <c r="RIM47"/>
      <c r="RIN47"/>
      <c r="RIO47"/>
      <c r="RIP47"/>
      <c r="RIQ47"/>
      <c r="RIR47"/>
      <c r="RIS47"/>
      <c r="RIT47"/>
      <c r="RIU47"/>
      <c r="RIV47"/>
      <c r="RIW47"/>
      <c r="RIX47"/>
      <c r="RIY47"/>
      <c r="RIZ47"/>
      <c r="RJA47"/>
      <c r="RJB47"/>
      <c r="RJC47"/>
      <c r="RJD47"/>
      <c r="RJE47"/>
      <c r="RJF47"/>
      <c r="RJG47"/>
      <c r="RJH47"/>
      <c r="RJI47"/>
      <c r="RJJ47"/>
      <c r="RJK47"/>
      <c r="RJL47"/>
      <c r="RJM47"/>
      <c r="RJN47"/>
      <c r="RJO47"/>
      <c r="RJP47"/>
      <c r="RJQ47"/>
      <c r="RJR47"/>
      <c r="RJS47"/>
      <c r="RJT47"/>
      <c r="RJU47"/>
      <c r="RJV47"/>
      <c r="RJW47"/>
      <c r="RJX47"/>
      <c r="RJY47"/>
      <c r="RJZ47"/>
      <c r="RKA47"/>
      <c r="RKB47"/>
      <c r="RKC47"/>
      <c r="RKD47"/>
      <c r="RKE47"/>
      <c r="RKF47"/>
      <c r="RKG47"/>
      <c r="RKH47"/>
      <c r="RKI47"/>
      <c r="RKJ47"/>
      <c r="RKK47"/>
      <c r="RKL47"/>
      <c r="RKM47"/>
      <c r="RKN47"/>
      <c r="RKO47"/>
      <c r="RKP47"/>
      <c r="RKQ47"/>
      <c r="RKR47"/>
      <c r="RKS47"/>
      <c r="RKT47"/>
      <c r="RKU47"/>
      <c r="RKV47"/>
      <c r="RKW47"/>
      <c r="RKX47"/>
      <c r="RKY47"/>
      <c r="RKZ47"/>
      <c r="RLA47"/>
      <c r="RLB47"/>
      <c r="RLC47"/>
      <c r="RLD47"/>
      <c r="RLE47"/>
      <c r="RLF47"/>
      <c r="RLG47"/>
      <c r="RLH47"/>
      <c r="RLI47"/>
      <c r="RLJ47"/>
      <c r="RLK47"/>
      <c r="RLL47"/>
      <c r="RLM47"/>
      <c r="RLN47"/>
      <c r="RLO47"/>
      <c r="RLP47"/>
      <c r="RLQ47"/>
      <c r="RLR47"/>
      <c r="RLS47"/>
      <c r="RLT47"/>
      <c r="RLU47"/>
      <c r="RLV47"/>
      <c r="RLW47"/>
      <c r="RLX47"/>
      <c r="RLY47"/>
      <c r="RLZ47"/>
      <c r="RMA47"/>
      <c r="RMB47"/>
      <c r="RMC47"/>
      <c r="RMD47"/>
      <c r="RME47"/>
      <c r="RMF47"/>
      <c r="RMG47"/>
      <c r="RMH47"/>
      <c r="RMI47"/>
      <c r="RMJ47"/>
      <c r="RMK47"/>
      <c r="RML47"/>
      <c r="RMM47"/>
      <c r="RMN47"/>
      <c r="RMO47"/>
      <c r="RMP47"/>
      <c r="RMQ47"/>
      <c r="RMR47"/>
      <c r="RMS47"/>
      <c r="RMT47"/>
      <c r="RMU47"/>
      <c r="RMV47"/>
      <c r="RMW47"/>
      <c r="RMX47"/>
      <c r="RMY47"/>
      <c r="RMZ47"/>
      <c r="RNA47"/>
      <c r="RNB47"/>
      <c r="RNC47"/>
      <c r="RND47"/>
      <c r="RNE47"/>
      <c r="RNF47"/>
      <c r="RNG47"/>
      <c r="RNH47"/>
      <c r="RNI47"/>
      <c r="RNJ47"/>
      <c r="RNK47"/>
      <c r="RNL47"/>
      <c r="RNM47"/>
      <c r="RNN47"/>
      <c r="RNO47"/>
      <c r="RNP47"/>
      <c r="RNQ47"/>
      <c r="RNR47"/>
      <c r="RNS47"/>
      <c r="RNT47"/>
      <c r="RNU47"/>
      <c r="RNV47"/>
      <c r="RNW47"/>
      <c r="RNX47"/>
      <c r="RNY47"/>
      <c r="RNZ47"/>
      <c r="ROA47"/>
      <c r="ROB47"/>
      <c r="ROC47"/>
      <c r="ROD47"/>
      <c r="ROE47"/>
      <c r="ROF47"/>
      <c r="ROG47"/>
      <c r="ROH47"/>
      <c r="ROI47"/>
      <c r="ROJ47"/>
      <c r="ROK47"/>
      <c r="ROL47"/>
      <c r="ROM47"/>
      <c r="RON47"/>
      <c r="ROO47"/>
      <c r="ROP47"/>
      <c r="ROQ47"/>
      <c r="ROR47"/>
      <c r="ROS47"/>
      <c r="ROT47"/>
      <c r="ROU47"/>
      <c r="ROV47"/>
      <c r="ROW47"/>
      <c r="ROX47"/>
      <c r="ROY47"/>
      <c r="ROZ47"/>
      <c r="RPA47"/>
      <c r="RPB47"/>
      <c r="RPC47"/>
      <c r="RPD47"/>
      <c r="RPE47"/>
      <c r="RPF47"/>
      <c r="RPG47"/>
      <c r="RPH47"/>
      <c r="RPI47"/>
      <c r="RPJ47"/>
      <c r="RPK47"/>
      <c r="RPL47"/>
      <c r="RPM47"/>
      <c r="RPN47"/>
      <c r="RPO47"/>
      <c r="RPP47"/>
      <c r="RPQ47"/>
      <c r="RPR47"/>
      <c r="RPS47"/>
      <c r="RPT47"/>
      <c r="RPU47"/>
      <c r="RPV47"/>
      <c r="RPW47"/>
      <c r="RPX47"/>
      <c r="RPY47"/>
      <c r="RPZ47"/>
      <c r="RQA47"/>
      <c r="RQB47"/>
      <c r="RQC47"/>
      <c r="RQD47"/>
      <c r="RQE47"/>
      <c r="RQF47"/>
      <c r="RQG47"/>
      <c r="RQH47"/>
      <c r="RQI47"/>
      <c r="RQJ47"/>
      <c r="RQK47"/>
      <c r="RQL47"/>
      <c r="RQM47"/>
      <c r="RQN47"/>
      <c r="RQO47"/>
      <c r="RQP47"/>
      <c r="RQQ47"/>
      <c r="RQR47"/>
      <c r="RQS47"/>
      <c r="RQT47"/>
      <c r="RQU47"/>
      <c r="RQV47"/>
      <c r="RQW47"/>
      <c r="RQX47"/>
      <c r="RQY47"/>
      <c r="RQZ47"/>
      <c r="RRA47"/>
      <c r="RRB47"/>
      <c r="RRC47"/>
      <c r="RRD47"/>
      <c r="RRE47"/>
      <c r="RRF47"/>
      <c r="RRG47"/>
      <c r="RRH47"/>
      <c r="RRI47"/>
      <c r="RRJ47"/>
      <c r="RRK47"/>
      <c r="RRL47"/>
      <c r="RRM47"/>
      <c r="RRN47"/>
      <c r="RRO47"/>
      <c r="RRP47"/>
      <c r="RRQ47"/>
      <c r="RRR47"/>
      <c r="RRS47"/>
      <c r="RRT47"/>
      <c r="RRU47"/>
      <c r="RRV47"/>
      <c r="RRW47"/>
      <c r="RRX47"/>
      <c r="RRY47"/>
      <c r="RRZ47"/>
      <c r="RSA47"/>
      <c r="RSB47"/>
      <c r="RSC47"/>
      <c r="RSD47"/>
      <c r="RSE47"/>
      <c r="RSF47"/>
      <c r="RSG47"/>
      <c r="RSH47"/>
      <c r="RSI47"/>
      <c r="RSJ47"/>
      <c r="RSK47"/>
      <c r="RSL47"/>
      <c r="RSM47"/>
      <c r="RSN47"/>
      <c r="RSO47"/>
      <c r="RSP47"/>
      <c r="RSQ47"/>
      <c r="RSR47"/>
      <c r="RSS47"/>
      <c r="RST47"/>
      <c r="RSU47"/>
      <c r="RSV47"/>
      <c r="RSW47"/>
      <c r="RSX47"/>
      <c r="RSY47"/>
      <c r="RSZ47"/>
      <c r="RTA47"/>
      <c r="RTB47"/>
      <c r="RTC47"/>
      <c r="RTD47"/>
      <c r="RTE47"/>
      <c r="RTF47"/>
      <c r="RTG47"/>
      <c r="RTH47"/>
      <c r="RTI47"/>
      <c r="RTJ47"/>
      <c r="RTK47"/>
      <c r="RTL47"/>
      <c r="RTM47"/>
      <c r="RTN47"/>
      <c r="RTO47"/>
      <c r="RTP47"/>
      <c r="RTQ47"/>
      <c r="RTR47"/>
      <c r="RTS47"/>
      <c r="RTT47"/>
      <c r="RTU47"/>
      <c r="RTV47"/>
      <c r="RTW47"/>
      <c r="RTX47"/>
      <c r="RTY47"/>
      <c r="RTZ47"/>
      <c r="RUA47"/>
      <c r="RUB47"/>
      <c r="RUC47"/>
      <c r="RUD47"/>
      <c r="RUE47"/>
      <c r="RUF47"/>
      <c r="RUG47"/>
      <c r="RUH47"/>
      <c r="RUI47"/>
      <c r="RUJ47"/>
      <c r="RUK47"/>
      <c r="RUL47"/>
      <c r="RUM47"/>
      <c r="RUN47"/>
      <c r="RUO47"/>
      <c r="RUP47"/>
      <c r="RUQ47"/>
      <c r="RUR47"/>
      <c r="RUS47"/>
      <c r="RUT47"/>
      <c r="RUU47"/>
      <c r="RUV47"/>
      <c r="RUW47"/>
      <c r="RUX47"/>
      <c r="RUY47"/>
      <c r="RUZ47"/>
      <c r="RVA47"/>
      <c r="RVB47"/>
      <c r="RVC47"/>
      <c r="RVD47"/>
      <c r="RVE47"/>
      <c r="RVF47"/>
      <c r="RVG47"/>
      <c r="RVH47"/>
      <c r="RVI47"/>
      <c r="RVJ47"/>
      <c r="RVK47"/>
      <c r="RVL47"/>
      <c r="RVM47"/>
      <c r="RVN47"/>
      <c r="RVO47"/>
      <c r="RVP47"/>
      <c r="RVQ47"/>
      <c r="RVR47"/>
      <c r="RVS47"/>
      <c r="RVT47"/>
      <c r="RVU47"/>
      <c r="RVV47"/>
      <c r="RVW47"/>
      <c r="RVX47"/>
      <c r="RVY47"/>
      <c r="RVZ47"/>
      <c r="RWA47"/>
      <c r="RWB47"/>
      <c r="RWC47"/>
      <c r="RWD47"/>
      <c r="RWE47"/>
      <c r="RWF47"/>
      <c r="RWG47"/>
      <c r="RWH47"/>
      <c r="RWI47"/>
      <c r="RWJ47"/>
      <c r="RWK47"/>
      <c r="RWL47"/>
      <c r="RWM47"/>
      <c r="RWN47"/>
      <c r="RWO47"/>
      <c r="RWP47"/>
      <c r="RWQ47"/>
      <c r="RWR47"/>
      <c r="RWS47"/>
      <c r="RWT47"/>
      <c r="RWU47"/>
      <c r="RWV47"/>
      <c r="RWW47"/>
      <c r="RWX47"/>
      <c r="RWY47"/>
      <c r="RWZ47"/>
      <c r="RXA47"/>
      <c r="RXB47"/>
      <c r="RXC47"/>
      <c r="RXD47"/>
      <c r="RXE47"/>
      <c r="RXF47"/>
      <c r="RXG47"/>
      <c r="RXH47"/>
      <c r="RXI47"/>
      <c r="RXJ47"/>
      <c r="RXK47"/>
      <c r="RXL47"/>
      <c r="RXM47"/>
      <c r="RXN47"/>
      <c r="RXO47"/>
      <c r="RXP47"/>
      <c r="RXQ47"/>
      <c r="RXR47"/>
      <c r="RXS47"/>
      <c r="RXT47"/>
      <c r="RXU47"/>
      <c r="RXV47"/>
      <c r="RXW47"/>
      <c r="RXX47"/>
      <c r="RXY47"/>
      <c r="RXZ47"/>
      <c r="RYA47"/>
      <c r="RYB47"/>
      <c r="RYC47"/>
      <c r="RYD47"/>
      <c r="RYE47"/>
      <c r="RYF47"/>
      <c r="RYG47"/>
      <c r="RYH47"/>
      <c r="RYI47"/>
      <c r="RYJ47"/>
      <c r="RYK47"/>
      <c r="RYL47"/>
      <c r="RYM47"/>
      <c r="RYN47"/>
      <c r="RYO47"/>
      <c r="RYP47"/>
      <c r="RYQ47"/>
      <c r="RYR47"/>
      <c r="RYS47"/>
      <c r="RYT47"/>
      <c r="RYU47"/>
      <c r="RYV47"/>
      <c r="RYW47"/>
      <c r="RYX47"/>
      <c r="RYY47"/>
      <c r="RYZ47"/>
      <c r="RZA47"/>
      <c r="RZB47"/>
      <c r="RZC47"/>
      <c r="RZD47"/>
      <c r="RZE47"/>
      <c r="RZF47"/>
      <c r="RZG47"/>
      <c r="RZH47"/>
      <c r="RZI47"/>
      <c r="RZJ47"/>
      <c r="RZK47"/>
      <c r="RZL47"/>
      <c r="RZM47"/>
      <c r="RZN47"/>
      <c r="RZO47"/>
      <c r="RZP47"/>
      <c r="RZQ47"/>
      <c r="RZR47"/>
      <c r="RZS47"/>
      <c r="RZT47"/>
      <c r="RZU47"/>
      <c r="RZV47"/>
      <c r="RZW47"/>
      <c r="RZX47"/>
      <c r="RZY47"/>
      <c r="RZZ47"/>
      <c r="SAA47"/>
      <c r="SAB47"/>
      <c r="SAC47"/>
      <c r="SAD47"/>
      <c r="SAE47"/>
      <c r="SAF47"/>
      <c r="SAG47"/>
      <c r="SAH47"/>
      <c r="SAI47"/>
      <c r="SAJ47"/>
      <c r="SAK47"/>
      <c r="SAL47"/>
      <c r="SAM47"/>
      <c r="SAN47"/>
      <c r="SAO47"/>
      <c r="SAP47"/>
      <c r="SAQ47"/>
      <c r="SAR47"/>
      <c r="SAS47"/>
      <c r="SAT47"/>
      <c r="SAU47"/>
      <c r="SAV47"/>
      <c r="SAW47"/>
      <c r="SAX47"/>
      <c r="SAY47"/>
      <c r="SAZ47"/>
      <c r="SBA47"/>
      <c r="SBB47"/>
      <c r="SBC47"/>
      <c r="SBD47"/>
      <c r="SBE47"/>
      <c r="SBF47"/>
      <c r="SBG47"/>
      <c r="SBH47"/>
      <c r="SBI47"/>
      <c r="SBJ47"/>
      <c r="SBK47"/>
      <c r="SBL47"/>
      <c r="SBM47"/>
      <c r="SBN47"/>
      <c r="SBO47"/>
      <c r="SBP47"/>
      <c r="SBQ47"/>
      <c r="SBR47"/>
      <c r="SBS47"/>
      <c r="SBT47"/>
      <c r="SBU47"/>
      <c r="SBV47"/>
      <c r="SBW47"/>
      <c r="SBX47"/>
      <c r="SBY47"/>
      <c r="SBZ47"/>
      <c r="SCA47"/>
      <c r="SCB47"/>
      <c r="SCC47"/>
      <c r="SCD47"/>
      <c r="SCE47"/>
      <c r="SCF47"/>
      <c r="SCG47"/>
      <c r="SCH47"/>
      <c r="SCI47"/>
      <c r="SCJ47"/>
      <c r="SCK47"/>
      <c r="SCL47"/>
      <c r="SCM47"/>
      <c r="SCN47"/>
      <c r="SCO47"/>
      <c r="SCP47"/>
      <c r="SCQ47"/>
      <c r="SCR47"/>
      <c r="SCS47"/>
      <c r="SCT47"/>
      <c r="SCU47"/>
      <c r="SCV47"/>
      <c r="SCW47"/>
      <c r="SCX47"/>
      <c r="SCY47"/>
      <c r="SCZ47"/>
      <c r="SDA47"/>
      <c r="SDB47"/>
      <c r="SDC47"/>
      <c r="SDD47"/>
      <c r="SDE47"/>
      <c r="SDF47"/>
      <c r="SDG47"/>
      <c r="SDH47"/>
      <c r="SDI47"/>
      <c r="SDJ47"/>
      <c r="SDK47"/>
      <c r="SDL47"/>
      <c r="SDM47"/>
      <c r="SDN47"/>
      <c r="SDO47"/>
      <c r="SDP47"/>
      <c r="SDQ47"/>
      <c r="SDR47"/>
      <c r="SDS47"/>
      <c r="SDT47"/>
      <c r="SDU47"/>
      <c r="SDV47"/>
      <c r="SDW47"/>
      <c r="SDX47"/>
      <c r="SDY47"/>
      <c r="SDZ47"/>
      <c r="SEA47"/>
      <c r="SEB47"/>
      <c r="SEC47"/>
      <c r="SED47"/>
      <c r="SEE47"/>
      <c r="SEF47"/>
      <c r="SEG47"/>
      <c r="SEH47"/>
      <c r="SEI47"/>
      <c r="SEJ47"/>
      <c r="SEK47"/>
      <c r="SEL47"/>
      <c r="SEM47"/>
      <c r="SEN47"/>
      <c r="SEO47"/>
      <c r="SEP47"/>
      <c r="SEQ47"/>
      <c r="SER47"/>
      <c r="SES47"/>
      <c r="SET47"/>
      <c r="SEU47"/>
      <c r="SEV47"/>
      <c r="SEW47"/>
      <c r="SEX47"/>
      <c r="SEY47"/>
      <c r="SEZ47"/>
      <c r="SFA47"/>
      <c r="SFB47"/>
      <c r="SFC47"/>
      <c r="SFD47"/>
      <c r="SFE47"/>
      <c r="SFF47"/>
      <c r="SFG47"/>
      <c r="SFH47"/>
      <c r="SFI47"/>
      <c r="SFJ47"/>
      <c r="SFK47"/>
      <c r="SFL47"/>
      <c r="SFM47"/>
      <c r="SFN47"/>
      <c r="SFO47"/>
      <c r="SFP47"/>
      <c r="SFQ47"/>
      <c r="SFR47"/>
      <c r="SFS47"/>
      <c r="SFT47"/>
      <c r="SFU47"/>
      <c r="SFV47"/>
      <c r="SFW47"/>
      <c r="SFX47"/>
      <c r="SFY47"/>
      <c r="SFZ47"/>
      <c r="SGA47"/>
      <c r="SGB47"/>
      <c r="SGC47"/>
      <c r="SGD47"/>
      <c r="SGE47"/>
      <c r="SGF47"/>
      <c r="SGG47"/>
      <c r="SGH47"/>
      <c r="SGI47"/>
      <c r="SGJ47"/>
      <c r="SGK47"/>
      <c r="SGL47"/>
      <c r="SGM47"/>
      <c r="SGN47"/>
      <c r="SGO47"/>
      <c r="SGP47"/>
      <c r="SGQ47"/>
      <c r="SGR47"/>
      <c r="SGS47"/>
      <c r="SGT47"/>
      <c r="SGU47"/>
      <c r="SGV47"/>
      <c r="SGW47"/>
      <c r="SGX47"/>
      <c r="SGY47"/>
      <c r="SGZ47"/>
      <c r="SHA47"/>
      <c r="SHB47"/>
      <c r="SHC47"/>
      <c r="SHD47"/>
      <c r="SHE47"/>
      <c r="SHF47"/>
      <c r="SHG47"/>
      <c r="SHH47"/>
      <c r="SHI47"/>
      <c r="SHJ47"/>
      <c r="SHK47"/>
      <c r="SHL47"/>
      <c r="SHM47"/>
      <c r="SHN47"/>
      <c r="SHO47"/>
      <c r="SHP47"/>
      <c r="SHQ47"/>
      <c r="SHR47"/>
      <c r="SHS47"/>
      <c r="SHT47"/>
      <c r="SHU47"/>
      <c r="SHV47"/>
      <c r="SHW47"/>
      <c r="SHX47"/>
      <c r="SHY47"/>
      <c r="SHZ47"/>
      <c r="SIA47"/>
      <c r="SIB47"/>
      <c r="SIC47"/>
      <c r="SID47"/>
      <c r="SIE47"/>
      <c r="SIF47"/>
      <c r="SIG47"/>
      <c r="SIH47"/>
      <c r="SII47"/>
      <c r="SIJ47"/>
      <c r="SIK47"/>
      <c r="SIL47"/>
      <c r="SIM47"/>
      <c r="SIN47"/>
      <c r="SIO47"/>
      <c r="SIP47"/>
      <c r="SIQ47"/>
      <c r="SIR47"/>
      <c r="SIS47"/>
      <c r="SIT47"/>
      <c r="SIU47"/>
      <c r="SIV47"/>
      <c r="SIW47"/>
      <c r="SIX47"/>
      <c r="SIY47"/>
      <c r="SIZ47"/>
      <c r="SJA47"/>
      <c r="SJB47"/>
      <c r="SJC47"/>
      <c r="SJD47"/>
      <c r="SJE47"/>
      <c r="SJF47"/>
      <c r="SJG47"/>
      <c r="SJH47"/>
      <c r="SJI47"/>
      <c r="SJJ47"/>
      <c r="SJK47"/>
      <c r="SJL47"/>
      <c r="SJM47"/>
      <c r="SJN47"/>
      <c r="SJO47"/>
      <c r="SJP47"/>
      <c r="SJQ47"/>
      <c r="SJR47"/>
      <c r="SJS47"/>
      <c r="SJT47"/>
      <c r="SJU47"/>
      <c r="SJV47"/>
      <c r="SJW47"/>
      <c r="SJX47"/>
      <c r="SJY47"/>
      <c r="SJZ47"/>
      <c r="SKA47"/>
      <c r="SKB47"/>
      <c r="SKC47"/>
      <c r="SKD47"/>
      <c r="SKE47"/>
      <c r="SKF47"/>
      <c r="SKG47"/>
      <c r="SKH47"/>
      <c r="SKI47"/>
      <c r="SKJ47"/>
      <c r="SKK47"/>
      <c r="SKL47"/>
      <c r="SKM47"/>
      <c r="SKN47"/>
      <c r="SKO47"/>
      <c r="SKP47"/>
      <c r="SKQ47"/>
      <c r="SKR47"/>
      <c r="SKS47"/>
      <c r="SKT47"/>
      <c r="SKU47"/>
      <c r="SKV47"/>
      <c r="SKW47"/>
      <c r="SKX47"/>
      <c r="SKY47"/>
      <c r="SKZ47"/>
      <c r="SLA47"/>
      <c r="SLB47"/>
      <c r="SLC47"/>
      <c r="SLD47"/>
      <c r="SLE47"/>
      <c r="SLF47"/>
      <c r="SLG47"/>
      <c r="SLH47"/>
      <c r="SLI47"/>
      <c r="SLJ47"/>
      <c r="SLK47"/>
      <c r="SLL47"/>
      <c r="SLM47"/>
      <c r="SLN47"/>
      <c r="SLO47"/>
      <c r="SLP47"/>
      <c r="SLQ47"/>
      <c r="SLR47"/>
      <c r="SLS47"/>
      <c r="SLT47"/>
      <c r="SLU47"/>
      <c r="SLV47"/>
      <c r="SLW47"/>
      <c r="SLX47"/>
      <c r="SLY47"/>
      <c r="SLZ47"/>
      <c r="SMA47"/>
      <c r="SMB47"/>
      <c r="SMC47"/>
      <c r="SMD47"/>
      <c r="SME47"/>
      <c r="SMF47"/>
      <c r="SMG47"/>
      <c r="SMH47"/>
      <c r="SMI47"/>
      <c r="SMJ47"/>
      <c r="SMK47"/>
      <c r="SML47"/>
      <c r="SMM47"/>
      <c r="SMN47"/>
      <c r="SMO47"/>
      <c r="SMP47"/>
      <c r="SMQ47"/>
      <c r="SMR47"/>
      <c r="SMS47"/>
      <c r="SMT47"/>
      <c r="SMU47"/>
      <c r="SMV47"/>
      <c r="SMW47"/>
      <c r="SMX47"/>
      <c r="SMY47"/>
      <c r="SMZ47"/>
      <c r="SNA47"/>
      <c r="SNB47"/>
      <c r="SNC47"/>
      <c r="SND47"/>
      <c r="SNE47"/>
      <c r="SNF47"/>
      <c r="SNG47"/>
      <c r="SNH47"/>
      <c r="SNI47"/>
      <c r="SNJ47"/>
      <c r="SNK47"/>
      <c r="SNL47"/>
      <c r="SNM47"/>
      <c r="SNN47"/>
      <c r="SNO47"/>
      <c r="SNP47"/>
      <c r="SNQ47"/>
      <c r="SNR47"/>
      <c r="SNS47"/>
      <c r="SNT47"/>
      <c r="SNU47"/>
      <c r="SNV47"/>
      <c r="SNW47"/>
      <c r="SNX47"/>
      <c r="SNY47"/>
      <c r="SNZ47"/>
      <c r="SOA47"/>
      <c r="SOB47"/>
      <c r="SOC47"/>
      <c r="SOD47"/>
      <c r="SOE47"/>
      <c r="SOF47"/>
      <c r="SOG47"/>
      <c r="SOH47"/>
      <c r="SOI47"/>
      <c r="SOJ47"/>
      <c r="SOK47"/>
      <c r="SOL47"/>
      <c r="SOM47"/>
      <c r="SON47"/>
      <c r="SOO47"/>
      <c r="SOP47"/>
      <c r="SOQ47"/>
      <c r="SOR47"/>
      <c r="SOS47"/>
      <c r="SOT47"/>
      <c r="SOU47"/>
      <c r="SOV47"/>
      <c r="SOW47"/>
      <c r="SOX47"/>
      <c r="SOY47"/>
      <c r="SOZ47"/>
      <c r="SPA47"/>
      <c r="SPB47"/>
      <c r="SPC47"/>
      <c r="SPD47"/>
      <c r="SPE47"/>
      <c r="SPF47"/>
      <c r="SPG47"/>
      <c r="SPH47"/>
      <c r="SPI47"/>
      <c r="SPJ47"/>
      <c r="SPK47"/>
      <c r="SPL47"/>
      <c r="SPM47"/>
      <c r="SPN47"/>
      <c r="SPO47"/>
      <c r="SPP47"/>
      <c r="SPQ47"/>
      <c r="SPR47"/>
      <c r="SPS47"/>
      <c r="SPT47"/>
      <c r="SPU47"/>
      <c r="SPV47"/>
      <c r="SPW47"/>
      <c r="SPX47"/>
      <c r="SPY47"/>
      <c r="SPZ47"/>
      <c r="SQA47"/>
      <c r="SQB47"/>
      <c r="SQC47"/>
      <c r="SQD47"/>
      <c r="SQE47"/>
      <c r="SQF47"/>
      <c r="SQG47"/>
      <c r="SQH47"/>
      <c r="SQI47"/>
      <c r="SQJ47"/>
      <c r="SQK47"/>
      <c r="SQL47"/>
      <c r="SQM47"/>
      <c r="SQN47"/>
      <c r="SQO47"/>
      <c r="SQP47"/>
      <c r="SQQ47"/>
      <c r="SQR47"/>
      <c r="SQS47"/>
      <c r="SQT47"/>
      <c r="SQU47"/>
      <c r="SQV47"/>
      <c r="SQW47"/>
      <c r="SQX47"/>
      <c r="SQY47"/>
      <c r="SQZ47"/>
      <c r="SRA47"/>
      <c r="SRB47"/>
      <c r="SRC47"/>
      <c r="SRD47"/>
      <c r="SRE47"/>
      <c r="SRF47"/>
      <c r="SRG47"/>
      <c r="SRH47"/>
      <c r="SRI47"/>
      <c r="SRJ47"/>
      <c r="SRK47"/>
      <c r="SRL47"/>
      <c r="SRM47"/>
      <c r="SRN47"/>
      <c r="SRO47"/>
      <c r="SRP47"/>
      <c r="SRQ47"/>
      <c r="SRR47"/>
      <c r="SRS47"/>
      <c r="SRT47"/>
      <c r="SRU47"/>
      <c r="SRV47"/>
      <c r="SRW47"/>
      <c r="SRX47"/>
      <c r="SRY47"/>
      <c r="SRZ47"/>
      <c r="SSA47"/>
      <c r="SSB47"/>
      <c r="SSC47"/>
      <c r="SSD47"/>
      <c r="SSE47"/>
      <c r="SSF47"/>
      <c r="SSG47"/>
      <c r="SSH47"/>
      <c r="SSI47"/>
      <c r="SSJ47"/>
      <c r="SSK47"/>
      <c r="SSL47"/>
      <c r="SSM47"/>
      <c r="SSN47"/>
      <c r="SSO47"/>
      <c r="SSP47"/>
      <c r="SSQ47"/>
      <c r="SSR47"/>
      <c r="SSS47"/>
      <c r="SST47"/>
      <c r="SSU47"/>
      <c r="SSV47"/>
      <c r="SSW47"/>
      <c r="SSX47"/>
      <c r="SSY47"/>
      <c r="SSZ47"/>
      <c r="STA47"/>
      <c r="STB47"/>
      <c r="STC47"/>
      <c r="STD47"/>
      <c r="STE47"/>
      <c r="STF47"/>
      <c r="STG47"/>
      <c r="STH47"/>
      <c r="STI47"/>
      <c r="STJ47"/>
      <c r="STK47"/>
      <c r="STL47"/>
      <c r="STM47"/>
      <c r="STN47"/>
      <c r="STO47"/>
      <c r="STP47"/>
      <c r="STQ47"/>
      <c r="STR47"/>
      <c r="STS47"/>
      <c r="STT47"/>
      <c r="STU47"/>
      <c r="STV47"/>
      <c r="STW47"/>
      <c r="STX47"/>
      <c r="STY47"/>
      <c r="STZ47"/>
      <c r="SUA47"/>
      <c r="SUB47"/>
      <c r="SUC47"/>
      <c r="SUD47"/>
      <c r="SUE47"/>
      <c r="SUF47"/>
      <c r="SUG47"/>
      <c r="SUH47"/>
      <c r="SUI47"/>
      <c r="SUJ47"/>
      <c r="SUK47"/>
      <c r="SUL47"/>
      <c r="SUM47"/>
      <c r="SUN47"/>
      <c r="SUO47"/>
      <c r="SUP47"/>
      <c r="SUQ47"/>
      <c r="SUR47"/>
      <c r="SUS47"/>
      <c r="SUT47"/>
      <c r="SUU47"/>
      <c r="SUV47"/>
      <c r="SUW47"/>
      <c r="SUX47"/>
      <c r="SUY47"/>
      <c r="SUZ47"/>
      <c r="SVA47"/>
      <c r="SVB47"/>
      <c r="SVC47"/>
      <c r="SVD47"/>
      <c r="SVE47"/>
      <c r="SVF47"/>
      <c r="SVG47"/>
      <c r="SVH47"/>
      <c r="SVI47"/>
      <c r="SVJ47"/>
      <c r="SVK47"/>
      <c r="SVL47"/>
      <c r="SVM47"/>
      <c r="SVN47"/>
      <c r="SVO47"/>
      <c r="SVP47"/>
      <c r="SVQ47"/>
      <c r="SVR47"/>
      <c r="SVS47"/>
      <c r="SVT47"/>
      <c r="SVU47"/>
      <c r="SVV47"/>
      <c r="SVW47"/>
      <c r="SVX47"/>
      <c r="SVY47"/>
      <c r="SVZ47"/>
      <c r="SWA47"/>
      <c r="SWB47"/>
      <c r="SWC47"/>
      <c r="SWD47"/>
      <c r="SWE47"/>
      <c r="SWF47"/>
      <c r="SWG47"/>
      <c r="SWH47"/>
      <c r="SWI47"/>
      <c r="SWJ47"/>
      <c r="SWK47"/>
      <c r="SWL47"/>
      <c r="SWM47"/>
      <c r="SWN47"/>
      <c r="SWO47"/>
      <c r="SWP47"/>
      <c r="SWQ47"/>
      <c r="SWR47"/>
      <c r="SWS47"/>
      <c r="SWT47"/>
      <c r="SWU47"/>
      <c r="SWV47"/>
      <c r="SWW47"/>
      <c r="SWX47"/>
      <c r="SWY47"/>
      <c r="SWZ47"/>
      <c r="SXA47"/>
      <c r="SXB47"/>
      <c r="SXC47"/>
      <c r="SXD47"/>
      <c r="SXE47"/>
      <c r="SXF47"/>
      <c r="SXG47"/>
      <c r="SXH47"/>
      <c r="SXI47"/>
      <c r="SXJ47"/>
      <c r="SXK47"/>
      <c r="SXL47"/>
      <c r="SXM47"/>
      <c r="SXN47"/>
      <c r="SXO47"/>
      <c r="SXP47"/>
      <c r="SXQ47"/>
      <c r="SXR47"/>
      <c r="SXS47"/>
      <c r="SXT47"/>
      <c r="SXU47"/>
      <c r="SXV47"/>
      <c r="SXW47"/>
      <c r="SXX47"/>
      <c r="SXY47"/>
      <c r="SXZ47"/>
      <c r="SYA47"/>
      <c r="SYB47"/>
      <c r="SYC47"/>
      <c r="SYD47"/>
      <c r="SYE47"/>
      <c r="SYF47"/>
      <c r="SYG47"/>
      <c r="SYH47"/>
      <c r="SYI47"/>
      <c r="SYJ47"/>
      <c r="SYK47"/>
      <c r="SYL47"/>
      <c r="SYM47"/>
      <c r="SYN47"/>
      <c r="SYO47"/>
      <c r="SYP47"/>
      <c r="SYQ47"/>
      <c r="SYR47"/>
      <c r="SYS47"/>
      <c r="SYT47"/>
      <c r="SYU47"/>
      <c r="SYV47"/>
      <c r="SYW47"/>
      <c r="SYX47"/>
      <c r="SYY47"/>
      <c r="SYZ47"/>
      <c r="SZA47"/>
      <c r="SZB47"/>
      <c r="SZC47"/>
      <c r="SZD47"/>
      <c r="SZE47"/>
      <c r="SZF47"/>
      <c r="SZG47"/>
      <c r="SZH47"/>
      <c r="SZI47"/>
      <c r="SZJ47"/>
      <c r="SZK47"/>
      <c r="SZL47"/>
      <c r="SZM47"/>
      <c r="SZN47"/>
      <c r="SZO47"/>
      <c r="SZP47"/>
      <c r="SZQ47"/>
      <c r="SZR47"/>
      <c r="SZS47"/>
      <c r="SZT47"/>
      <c r="SZU47"/>
      <c r="SZV47"/>
      <c r="SZW47"/>
      <c r="SZX47"/>
      <c r="SZY47"/>
      <c r="SZZ47"/>
      <c r="TAA47"/>
      <c r="TAB47"/>
      <c r="TAC47"/>
      <c r="TAD47"/>
      <c r="TAE47"/>
      <c r="TAF47"/>
      <c r="TAG47"/>
      <c r="TAH47"/>
      <c r="TAI47"/>
      <c r="TAJ47"/>
      <c r="TAK47"/>
      <c r="TAL47"/>
      <c r="TAM47"/>
      <c r="TAN47"/>
      <c r="TAO47"/>
      <c r="TAP47"/>
      <c r="TAQ47"/>
      <c r="TAR47"/>
      <c r="TAS47"/>
      <c r="TAT47"/>
      <c r="TAU47"/>
      <c r="TAV47"/>
      <c r="TAW47"/>
      <c r="TAX47"/>
      <c r="TAY47"/>
      <c r="TAZ47"/>
      <c r="TBA47"/>
      <c r="TBB47"/>
      <c r="TBC47"/>
      <c r="TBD47"/>
      <c r="TBE47"/>
      <c r="TBF47"/>
      <c r="TBG47"/>
      <c r="TBH47"/>
      <c r="TBI47"/>
      <c r="TBJ47"/>
      <c r="TBK47"/>
      <c r="TBL47"/>
      <c r="TBM47"/>
      <c r="TBN47"/>
      <c r="TBO47"/>
      <c r="TBP47"/>
      <c r="TBQ47"/>
      <c r="TBR47"/>
      <c r="TBS47"/>
      <c r="TBT47"/>
      <c r="TBU47"/>
      <c r="TBV47"/>
      <c r="TBW47"/>
      <c r="TBX47"/>
      <c r="TBY47"/>
      <c r="TBZ47"/>
      <c r="TCA47"/>
      <c r="TCB47"/>
      <c r="TCC47"/>
      <c r="TCD47"/>
      <c r="TCE47"/>
      <c r="TCF47"/>
      <c r="TCG47"/>
      <c r="TCH47"/>
      <c r="TCI47"/>
      <c r="TCJ47"/>
      <c r="TCK47"/>
      <c r="TCL47"/>
      <c r="TCM47"/>
      <c r="TCN47"/>
      <c r="TCO47"/>
      <c r="TCP47"/>
      <c r="TCQ47"/>
      <c r="TCR47"/>
      <c r="TCS47"/>
      <c r="TCT47"/>
      <c r="TCU47"/>
      <c r="TCV47"/>
      <c r="TCW47"/>
      <c r="TCX47"/>
      <c r="TCY47"/>
      <c r="TCZ47"/>
      <c r="TDA47"/>
      <c r="TDB47"/>
      <c r="TDC47"/>
      <c r="TDD47"/>
      <c r="TDE47"/>
      <c r="TDF47"/>
      <c r="TDG47"/>
      <c r="TDH47"/>
      <c r="TDI47"/>
      <c r="TDJ47"/>
      <c r="TDK47"/>
      <c r="TDL47"/>
      <c r="TDM47"/>
      <c r="TDN47"/>
      <c r="TDO47"/>
      <c r="TDP47"/>
      <c r="TDQ47"/>
      <c r="TDR47"/>
      <c r="TDS47"/>
      <c r="TDT47"/>
      <c r="TDU47"/>
      <c r="TDV47"/>
      <c r="TDW47"/>
      <c r="TDX47"/>
      <c r="TDY47"/>
      <c r="TDZ47"/>
      <c r="TEA47"/>
      <c r="TEB47"/>
      <c r="TEC47"/>
      <c r="TED47"/>
      <c r="TEE47"/>
      <c r="TEF47"/>
      <c r="TEG47"/>
      <c r="TEH47"/>
      <c r="TEI47"/>
      <c r="TEJ47"/>
      <c r="TEK47"/>
      <c r="TEL47"/>
      <c r="TEM47"/>
      <c r="TEN47"/>
      <c r="TEO47"/>
      <c r="TEP47"/>
      <c r="TEQ47"/>
      <c r="TER47"/>
      <c r="TES47"/>
      <c r="TET47"/>
      <c r="TEU47"/>
      <c r="TEV47"/>
      <c r="TEW47"/>
      <c r="TEX47"/>
      <c r="TEY47"/>
      <c r="TEZ47"/>
      <c r="TFA47"/>
      <c r="TFB47"/>
      <c r="TFC47"/>
      <c r="TFD47"/>
      <c r="TFE47"/>
      <c r="TFF47"/>
      <c r="TFG47"/>
      <c r="TFH47"/>
      <c r="TFI47"/>
      <c r="TFJ47"/>
      <c r="TFK47"/>
      <c r="TFL47"/>
      <c r="TFM47"/>
      <c r="TFN47"/>
      <c r="TFO47"/>
      <c r="TFP47"/>
      <c r="TFQ47"/>
      <c r="TFR47"/>
      <c r="TFS47"/>
      <c r="TFT47"/>
      <c r="TFU47"/>
      <c r="TFV47"/>
      <c r="TFW47"/>
      <c r="TFX47"/>
      <c r="TFY47"/>
      <c r="TFZ47"/>
      <c r="TGA47"/>
      <c r="TGB47"/>
      <c r="TGC47"/>
      <c r="TGD47"/>
      <c r="TGE47"/>
      <c r="TGF47"/>
      <c r="TGG47"/>
      <c r="TGH47"/>
      <c r="TGI47"/>
      <c r="TGJ47"/>
      <c r="TGK47"/>
      <c r="TGL47"/>
      <c r="TGM47"/>
      <c r="TGN47"/>
      <c r="TGO47"/>
      <c r="TGP47"/>
      <c r="TGQ47"/>
      <c r="TGR47"/>
      <c r="TGS47"/>
      <c r="TGT47"/>
      <c r="TGU47"/>
      <c r="TGV47"/>
      <c r="TGW47"/>
      <c r="TGX47"/>
      <c r="TGY47"/>
      <c r="TGZ47"/>
      <c r="THA47"/>
      <c r="THB47"/>
      <c r="THC47"/>
      <c r="THD47"/>
      <c r="THE47"/>
      <c r="THF47"/>
      <c r="THG47"/>
      <c r="THH47"/>
      <c r="THI47"/>
      <c r="THJ47"/>
      <c r="THK47"/>
      <c r="THL47"/>
      <c r="THM47"/>
      <c r="THN47"/>
      <c r="THO47"/>
      <c r="THP47"/>
      <c r="THQ47"/>
      <c r="THR47"/>
      <c r="THS47"/>
      <c r="THT47"/>
      <c r="THU47"/>
      <c r="THV47"/>
      <c r="THW47"/>
      <c r="THX47"/>
      <c r="THY47"/>
      <c r="THZ47"/>
      <c r="TIA47"/>
      <c r="TIB47"/>
      <c r="TIC47"/>
      <c r="TID47"/>
      <c r="TIE47"/>
      <c r="TIF47"/>
      <c r="TIG47"/>
      <c r="TIH47"/>
      <c r="TII47"/>
      <c r="TIJ47"/>
      <c r="TIK47"/>
      <c r="TIL47"/>
      <c r="TIM47"/>
      <c r="TIN47"/>
      <c r="TIO47"/>
      <c r="TIP47"/>
      <c r="TIQ47"/>
      <c r="TIR47"/>
      <c r="TIS47"/>
      <c r="TIT47"/>
      <c r="TIU47"/>
      <c r="TIV47"/>
      <c r="TIW47"/>
      <c r="TIX47"/>
      <c r="TIY47"/>
      <c r="TIZ47"/>
      <c r="TJA47"/>
      <c r="TJB47"/>
      <c r="TJC47"/>
      <c r="TJD47"/>
      <c r="TJE47"/>
      <c r="TJF47"/>
      <c r="TJG47"/>
      <c r="TJH47"/>
      <c r="TJI47"/>
      <c r="TJJ47"/>
      <c r="TJK47"/>
      <c r="TJL47"/>
      <c r="TJM47"/>
      <c r="TJN47"/>
      <c r="TJO47"/>
      <c r="TJP47"/>
      <c r="TJQ47"/>
      <c r="TJR47"/>
      <c r="TJS47"/>
      <c r="TJT47"/>
      <c r="TJU47"/>
      <c r="TJV47"/>
      <c r="TJW47"/>
      <c r="TJX47"/>
      <c r="TJY47"/>
      <c r="TJZ47"/>
      <c r="TKA47"/>
      <c r="TKB47"/>
      <c r="TKC47"/>
      <c r="TKD47"/>
      <c r="TKE47"/>
      <c r="TKF47"/>
      <c r="TKG47"/>
      <c r="TKH47"/>
      <c r="TKI47"/>
      <c r="TKJ47"/>
      <c r="TKK47"/>
      <c r="TKL47"/>
      <c r="TKM47"/>
      <c r="TKN47"/>
      <c r="TKO47"/>
      <c r="TKP47"/>
      <c r="TKQ47"/>
      <c r="TKR47"/>
      <c r="TKS47"/>
      <c r="TKT47"/>
      <c r="TKU47"/>
      <c r="TKV47"/>
      <c r="TKW47"/>
      <c r="TKX47"/>
      <c r="TKY47"/>
      <c r="TKZ47"/>
      <c r="TLA47"/>
      <c r="TLB47"/>
      <c r="TLC47"/>
      <c r="TLD47"/>
      <c r="TLE47"/>
      <c r="TLF47"/>
      <c r="TLG47"/>
      <c r="TLH47"/>
      <c r="TLI47"/>
      <c r="TLJ47"/>
      <c r="TLK47"/>
      <c r="TLL47"/>
      <c r="TLM47"/>
      <c r="TLN47"/>
      <c r="TLO47"/>
      <c r="TLP47"/>
      <c r="TLQ47"/>
      <c r="TLR47"/>
      <c r="TLS47"/>
      <c r="TLT47"/>
      <c r="TLU47"/>
      <c r="TLV47"/>
      <c r="TLW47"/>
      <c r="TLX47"/>
      <c r="TLY47"/>
      <c r="TLZ47"/>
      <c r="TMA47"/>
      <c r="TMB47"/>
      <c r="TMC47"/>
      <c r="TMD47"/>
      <c r="TME47"/>
      <c r="TMF47"/>
      <c r="TMG47"/>
      <c r="TMH47"/>
      <c r="TMI47"/>
      <c r="TMJ47"/>
      <c r="TMK47"/>
      <c r="TML47"/>
      <c r="TMM47"/>
      <c r="TMN47"/>
      <c r="TMO47"/>
      <c r="TMP47"/>
      <c r="TMQ47"/>
      <c r="TMR47"/>
      <c r="TMS47"/>
      <c r="TMT47"/>
      <c r="TMU47"/>
      <c r="TMV47"/>
      <c r="TMW47"/>
      <c r="TMX47"/>
      <c r="TMY47"/>
      <c r="TMZ47"/>
      <c r="TNA47"/>
      <c r="TNB47"/>
      <c r="TNC47"/>
      <c r="TND47"/>
      <c r="TNE47"/>
      <c r="TNF47"/>
      <c r="TNG47"/>
      <c r="TNH47"/>
      <c r="TNI47"/>
      <c r="TNJ47"/>
      <c r="TNK47"/>
      <c r="TNL47"/>
      <c r="TNM47"/>
      <c r="TNN47"/>
      <c r="TNO47"/>
      <c r="TNP47"/>
      <c r="TNQ47"/>
      <c r="TNR47"/>
      <c r="TNS47"/>
      <c r="TNT47"/>
      <c r="TNU47"/>
      <c r="TNV47"/>
      <c r="TNW47"/>
      <c r="TNX47"/>
      <c r="TNY47"/>
      <c r="TNZ47"/>
      <c r="TOA47"/>
      <c r="TOB47"/>
      <c r="TOC47"/>
      <c r="TOD47"/>
      <c r="TOE47"/>
      <c r="TOF47"/>
      <c r="TOG47"/>
      <c r="TOH47"/>
      <c r="TOI47"/>
      <c r="TOJ47"/>
      <c r="TOK47"/>
      <c r="TOL47"/>
      <c r="TOM47"/>
      <c r="TON47"/>
      <c r="TOO47"/>
      <c r="TOP47"/>
      <c r="TOQ47"/>
      <c r="TOR47"/>
      <c r="TOS47"/>
      <c r="TOT47"/>
      <c r="TOU47"/>
      <c r="TOV47"/>
      <c r="TOW47"/>
      <c r="TOX47"/>
      <c r="TOY47"/>
      <c r="TOZ47"/>
      <c r="TPA47"/>
      <c r="TPB47"/>
      <c r="TPC47"/>
      <c r="TPD47"/>
      <c r="TPE47"/>
      <c r="TPF47"/>
      <c r="TPG47"/>
      <c r="TPH47"/>
      <c r="TPI47"/>
      <c r="TPJ47"/>
      <c r="TPK47"/>
      <c r="TPL47"/>
      <c r="TPM47"/>
      <c r="TPN47"/>
      <c r="TPO47"/>
      <c r="TPP47"/>
      <c r="TPQ47"/>
      <c r="TPR47"/>
      <c r="TPS47"/>
      <c r="TPT47"/>
      <c r="TPU47"/>
      <c r="TPV47"/>
      <c r="TPW47"/>
      <c r="TPX47"/>
      <c r="TPY47"/>
      <c r="TPZ47"/>
      <c r="TQA47"/>
      <c r="TQB47"/>
      <c r="TQC47"/>
      <c r="TQD47"/>
      <c r="TQE47"/>
      <c r="TQF47"/>
      <c r="TQG47"/>
      <c r="TQH47"/>
      <c r="TQI47"/>
      <c r="TQJ47"/>
      <c r="TQK47"/>
      <c r="TQL47"/>
      <c r="TQM47"/>
      <c r="TQN47"/>
      <c r="TQO47"/>
      <c r="TQP47"/>
      <c r="TQQ47"/>
      <c r="TQR47"/>
      <c r="TQS47"/>
      <c r="TQT47"/>
      <c r="TQU47"/>
      <c r="TQV47"/>
      <c r="TQW47"/>
      <c r="TQX47"/>
      <c r="TQY47"/>
      <c r="TQZ47"/>
      <c r="TRA47"/>
      <c r="TRB47"/>
      <c r="TRC47"/>
      <c r="TRD47"/>
      <c r="TRE47"/>
      <c r="TRF47"/>
      <c r="TRG47"/>
      <c r="TRH47"/>
      <c r="TRI47"/>
      <c r="TRJ47"/>
      <c r="TRK47"/>
      <c r="TRL47"/>
      <c r="TRM47"/>
      <c r="TRN47"/>
      <c r="TRO47"/>
      <c r="TRP47"/>
      <c r="TRQ47"/>
      <c r="TRR47"/>
      <c r="TRS47"/>
      <c r="TRT47"/>
      <c r="TRU47"/>
      <c r="TRV47"/>
      <c r="TRW47"/>
      <c r="TRX47"/>
      <c r="TRY47"/>
      <c r="TRZ47"/>
      <c r="TSA47"/>
      <c r="TSB47"/>
      <c r="TSC47"/>
      <c r="TSD47"/>
      <c r="TSE47"/>
      <c r="TSF47"/>
      <c r="TSG47"/>
      <c r="TSH47"/>
      <c r="TSI47"/>
      <c r="TSJ47"/>
      <c r="TSK47"/>
      <c r="TSL47"/>
      <c r="TSM47"/>
      <c r="TSN47"/>
      <c r="TSO47"/>
      <c r="TSP47"/>
      <c r="TSQ47"/>
      <c r="TSR47"/>
      <c r="TSS47"/>
      <c r="TST47"/>
      <c r="TSU47"/>
      <c r="TSV47"/>
      <c r="TSW47"/>
      <c r="TSX47"/>
      <c r="TSY47"/>
      <c r="TSZ47"/>
      <c r="TTA47"/>
      <c r="TTB47"/>
      <c r="TTC47"/>
      <c r="TTD47"/>
      <c r="TTE47"/>
      <c r="TTF47"/>
      <c r="TTG47"/>
      <c r="TTH47"/>
      <c r="TTI47"/>
      <c r="TTJ47"/>
      <c r="TTK47"/>
      <c r="TTL47"/>
      <c r="TTM47"/>
      <c r="TTN47"/>
      <c r="TTO47"/>
      <c r="TTP47"/>
      <c r="TTQ47"/>
      <c r="TTR47"/>
      <c r="TTS47"/>
      <c r="TTT47"/>
      <c r="TTU47"/>
      <c r="TTV47"/>
      <c r="TTW47"/>
      <c r="TTX47"/>
      <c r="TTY47"/>
      <c r="TTZ47"/>
      <c r="TUA47"/>
      <c r="TUB47"/>
      <c r="TUC47"/>
      <c r="TUD47"/>
      <c r="TUE47"/>
      <c r="TUF47"/>
      <c r="TUG47"/>
      <c r="TUH47"/>
      <c r="TUI47"/>
      <c r="TUJ47"/>
      <c r="TUK47"/>
      <c r="TUL47"/>
      <c r="TUM47"/>
      <c r="TUN47"/>
      <c r="TUO47"/>
      <c r="TUP47"/>
      <c r="TUQ47"/>
      <c r="TUR47"/>
      <c r="TUS47"/>
      <c r="TUT47"/>
      <c r="TUU47"/>
      <c r="TUV47"/>
      <c r="TUW47"/>
      <c r="TUX47"/>
      <c r="TUY47"/>
      <c r="TUZ47"/>
      <c r="TVA47"/>
      <c r="TVB47"/>
      <c r="TVC47"/>
      <c r="TVD47"/>
      <c r="TVE47"/>
      <c r="TVF47"/>
      <c r="TVG47"/>
      <c r="TVH47"/>
      <c r="TVI47"/>
      <c r="TVJ47"/>
      <c r="TVK47"/>
      <c r="TVL47"/>
      <c r="TVM47"/>
      <c r="TVN47"/>
      <c r="TVO47"/>
      <c r="TVP47"/>
      <c r="TVQ47"/>
      <c r="TVR47"/>
      <c r="TVS47"/>
      <c r="TVT47"/>
      <c r="TVU47"/>
      <c r="TVV47"/>
      <c r="TVW47"/>
      <c r="TVX47"/>
      <c r="TVY47"/>
      <c r="TVZ47"/>
      <c r="TWA47"/>
      <c r="TWB47"/>
      <c r="TWC47"/>
      <c r="TWD47"/>
      <c r="TWE47"/>
      <c r="TWF47"/>
      <c r="TWG47"/>
      <c r="TWH47"/>
      <c r="TWI47"/>
      <c r="TWJ47"/>
      <c r="TWK47"/>
      <c r="TWL47"/>
      <c r="TWM47"/>
      <c r="TWN47"/>
      <c r="TWO47"/>
      <c r="TWP47"/>
      <c r="TWQ47"/>
      <c r="TWR47"/>
      <c r="TWS47"/>
      <c r="TWT47"/>
      <c r="TWU47"/>
      <c r="TWV47"/>
      <c r="TWW47"/>
      <c r="TWX47"/>
      <c r="TWY47"/>
      <c r="TWZ47"/>
      <c r="TXA47"/>
      <c r="TXB47"/>
      <c r="TXC47"/>
      <c r="TXD47"/>
      <c r="TXE47"/>
      <c r="TXF47"/>
      <c r="TXG47"/>
      <c r="TXH47"/>
      <c r="TXI47"/>
      <c r="TXJ47"/>
      <c r="TXK47"/>
      <c r="TXL47"/>
      <c r="TXM47"/>
      <c r="TXN47"/>
      <c r="TXO47"/>
      <c r="TXP47"/>
      <c r="TXQ47"/>
      <c r="TXR47"/>
      <c r="TXS47"/>
      <c r="TXT47"/>
      <c r="TXU47"/>
      <c r="TXV47"/>
      <c r="TXW47"/>
      <c r="TXX47"/>
      <c r="TXY47"/>
      <c r="TXZ47"/>
      <c r="TYA47"/>
      <c r="TYB47"/>
      <c r="TYC47"/>
      <c r="TYD47"/>
      <c r="TYE47"/>
      <c r="TYF47"/>
      <c r="TYG47"/>
      <c r="TYH47"/>
      <c r="TYI47"/>
      <c r="TYJ47"/>
      <c r="TYK47"/>
      <c r="TYL47"/>
      <c r="TYM47"/>
      <c r="TYN47"/>
      <c r="TYO47"/>
      <c r="TYP47"/>
      <c r="TYQ47"/>
      <c r="TYR47"/>
      <c r="TYS47"/>
      <c r="TYT47"/>
      <c r="TYU47"/>
      <c r="TYV47"/>
      <c r="TYW47"/>
      <c r="TYX47"/>
      <c r="TYY47"/>
      <c r="TYZ47"/>
      <c r="TZA47"/>
      <c r="TZB47"/>
      <c r="TZC47"/>
      <c r="TZD47"/>
      <c r="TZE47"/>
      <c r="TZF47"/>
      <c r="TZG47"/>
      <c r="TZH47"/>
      <c r="TZI47"/>
      <c r="TZJ47"/>
      <c r="TZK47"/>
      <c r="TZL47"/>
      <c r="TZM47"/>
      <c r="TZN47"/>
      <c r="TZO47"/>
      <c r="TZP47"/>
      <c r="TZQ47"/>
      <c r="TZR47"/>
      <c r="TZS47"/>
      <c r="TZT47"/>
      <c r="TZU47"/>
      <c r="TZV47"/>
      <c r="TZW47"/>
      <c r="TZX47"/>
      <c r="TZY47"/>
      <c r="TZZ47"/>
      <c r="UAA47"/>
      <c r="UAB47"/>
      <c r="UAC47"/>
      <c r="UAD47"/>
      <c r="UAE47"/>
      <c r="UAF47"/>
      <c r="UAG47"/>
      <c r="UAH47"/>
      <c r="UAI47"/>
      <c r="UAJ47"/>
      <c r="UAK47"/>
      <c r="UAL47"/>
      <c r="UAM47"/>
      <c r="UAN47"/>
      <c r="UAO47"/>
      <c r="UAP47"/>
      <c r="UAQ47"/>
      <c r="UAR47"/>
      <c r="UAS47"/>
      <c r="UAT47"/>
      <c r="UAU47"/>
      <c r="UAV47"/>
      <c r="UAW47"/>
      <c r="UAX47"/>
      <c r="UAY47"/>
      <c r="UAZ47"/>
      <c r="UBA47"/>
      <c r="UBB47"/>
      <c r="UBC47"/>
      <c r="UBD47"/>
      <c r="UBE47"/>
      <c r="UBF47"/>
      <c r="UBG47"/>
      <c r="UBH47"/>
      <c r="UBI47"/>
      <c r="UBJ47"/>
      <c r="UBK47"/>
      <c r="UBL47"/>
      <c r="UBM47"/>
      <c r="UBN47"/>
      <c r="UBO47"/>
      <c r="UBP47"/>
      <c r="UBQ47"/>
      <c r="UBR47"/>
      <c r="UBS47"/>
      <c r="UBT47"/>
      <c r="UBU47"/>
      <c r="UBV47"/>
      <c r="UBW47"/>
      <c r="UBX47"/>
      <c r="UBY47"/>
      <c r="UBZ47"/>
      <c r="UCA47"/>
      <c r="UCB47"/>
      <c r="UCC47"/>
      <c r="UCD47"/>
      <c r="UCE47"/>
      <c r="UCF47"/>
      <c r="UCG47"/>
      <c r="UCH47"/>
      <c r="UCI47"/>
      <c r="UCJ47"/>
      <c r="UCK47"/>
      <c r="UCL47"/>
      <c r="UCM47"/>
      <c r="UCN47"/>
      <c r="UCO47"/>
      <c r="UCP47"/>
      <c r="UCQ47"/>
      <c r="UCR47"/>
      <c r="UCS47"/>
      <c r="UCT47"/>
      <c r="UCU47"/>
      <c r="UCV47"/>
      <c r="UCW47"/>
      <c r="UCX47"/>
      <c r="UCY47"/>
      <c r="UCZ47"/>
      <c r="UDA47"/>
      <c r="UDB47"/>
      <c r="UDC47"/>
      <c r="UDD47"/>
      <c r="UDE47"/>
      <c r="UDF47"/>
      <c r="UDG47"/>
      <c r="UDH47"/>
      <c r="UDI47"/>
      <c r="UDJ47"/>
      <c r="UDK47"/>
      <c r="UDL47"/>
      <c r="UDM47"/>
      <c r="UDN47"/>
      <c r="UDO47"/>
      <c r="UDP47"/>
      <c r="UDQ47"/>
      <c r="UDR47"/>
      <c r="UDS47"/>
      <c r="UDT47"/>
      <c r="UDU47"/>
      <c r="UDV47"/>
      <c r="UDW47"/>
      <c r="UDX47"/>
      <c r="UDY47"/>
      <c r="UDZ47"/>
      <c r="UEA47"/>
      <c r="UEB47"/>
      <c r="UEC47"/>
      <c r="UED47"/>
      <c r="UEE47"/>
      <c r="UEF47"/>
      <c r="UEG47"/>
      <c r="UEH47"/>
      <c r="UEI47"/>
      <c r="UEJ47"/>
      <c r="UEK47"/>
      <c r="UEL47"/>
      <c r="UEM47"/>
      <c r="UEN47"/>
      <c r="UEO47"/>
      <c r="UEP47"/>
      <c r="UEQ47"/>
      <c r="UER47"/>
      <c r="UES47"/>
      <c r="UET47"/>
      <c r="UEU47"/>
      <c r="UEV47"/>
      <c r="UEW47"/>
      <c r="UEX47"/>
      <c r="UEY47"/>
      <c r="UEZ47"/>
      <c r="UFA47"/>
      <c r="UFB47"/>
      <c r="UFC47"/>
      <c r="UFD47"/>
      <c r="UFE47"/>
      <c r="UFF47"/>
      <c r="UFG47"/>
      <c r="UFH47"/>
      <c r="UFI47"/>
      <c r="UFJ47"/>
      <c r="UFK47"/>
      <c r="UFL47"/>
      <c r="UFM47"/>
      <c r="UFN47"/>
      <c r="UFO47"/>
      <c r="UFP47"/>
      <c r="UFQ47"/>
      <c r="UFR47"/>
      <c r="UFS47"/>
      <c r="UFT47"/>
      <c r="UFU47"/>
      <c r="UFV47"/>
      <c r="UFW47"/>
      <c r="UFX47"/>
      <c r="UFY47"/>
      <c r="UFZ47"/>
      <c r="UGA47"/>
      <c r="UGB47"/>
      <c r="UGC47"/>
      <c r="UGD47"/>
      <c r="UGE47"/>
      <c r="UGF47"/>
      <c r="UGG47"/>
      <c r="UGH47"/>
      <c r="UGI47"/>
      <c r="UGJ47"/>
      <c r="UGK47"/>
      <c r="UGL47"/>
      <c r="UGM47"/>
      <c r="UGN47"/>
      <c r="UGO47"/>
      <c r="UGP47"/>
      <c r="UGQ47"/>
      <c r="UGR47"/>
      <c r="UGS47"/>
      <c r="UGT47"/>
      <c r="UGU47"/>
      <c r="UGV47"/>
      <c r="UGW47"/>
      <c r="UGX47"/>
      <c r="UGY47"/>
      <c r="UGZ47"/>
      <c r="UHA47"/>
      <c r="UHB47"/>
      <c r="UHC47"/>
      <c r="UHD47"/>
      <c r="UHE47"/>
      <c r="UHF47"/>
      <c r="UHG47"/>
      <c r="UHH47"/>
      <c r="UHI47"/>
      <c r="UHJ47"/>
      <c r="UHK47"/>
      <c r="UHL47"/>
      <c r="UHM47"/>
      <c r="UHN47"/>
      <c r="UHO47"/>
      <c r="UHP47"/>
      <c r="UHQ47"/>
      <c r="UHR47"/>
      <c r="UHS47"/>
      <c r="UHT47"/>
      <c r="UHU47"/>
      <c r="UHV47"/>
      <c r="UHW47"/>
      <c r="UHX47"/>
      <c r="UHY47"/>
      <c r="UHZ47"/>
      <c r="UIA47"/>
      <c r="UIB47"/>
      <c r="UIC47"/>
      <c r="UID47"/>
      <c r="UIE47"/>
      <c r="UIF47"/>
      <c r="UIG47"/>
      <c r="UIH47"/>
      <c r="UII47"/>
      <c r="UIJ47"/>
      <c r="UIK47"/>
      <c r="UIL47"/>
      <c r="UIM47"/>
      <c r="UIN47"/>
      <c r="UIO47"/>
      <c r="UIP47"/>
      <c r="UIQ47"/>
      <c r="UIR47"/>
      <c r="UIS47"/>
      <c r="UIT47"/>
      <c r="UIU47"/>
      <c r="UIV47"/>
      <c r="UIW47"/>
      <c r="UIX47"/>
      <c r="UIY47"/>
      <c r="UIZ47"/>
      <c r="UJA47"/>
      <c r="UJB47"/>
      <c r="UJC47"/>
      <c r="UJD47"/>
      <c r="UJE47"/>
      <c r="UJF47"/>
      <c r="UJG47"/>
      <c r="UJH47"/>
      <c r="UJI47"/>
      <c r="UJJ47"/>
      <c r="UJK47"/>
      <c r="UJL47"/>
      <c r="UJM47"/>
      <c r="UJN47"/>
      <c r="UJO47"/>
      <c r="UJP47"/>
      <c r="UJQ47"/>
      <c r="UJR47"/>
      <c r="UJS47"/>
      <c r="UJT47"/>
      <c r="UJU47"/>
      <c r="UJV47"/>
      <c r="UJW47"/>
      <c r="UJX47"/>
      <c r="UJY47"/>
      <c r="UJZ47"/>
      <c r="UKA47"/>
      <c r="UKB47"/>
      <c r="UKC47"/>
      <c r="UKD47"/>
      <c r="UKE47"/>
      <c r="UKF47"/>
      <c r="UKG47"/>
      <c r="UKH47"/>
      <c r="UKI47"/>
      <c r="UKJ47"/>
      <c r="UKK47"/>
      <c r="UKL47"/>
      <c r="UKM47"/>
      <c r="UKN47"/>
      <c r="UKO47"/>
      <c r="UKP47"/>
      <c r="UKQ47"/>
      <c r="UKR47"/>
      <c r="UKS47"/>
      <c r="UKT47"/>
      <c r="UKU47"/>
      <c r="UKV47"/>
      <c r="UKW47"/>
      <c r="UKX47"/>
      <c r="UKY47"/>
      <c r="UKZ47"/>
      <c r="ULA47"/>
      <c r="ULB47"/>
      <c r="ULC47"/>
      <c r="ULD47"/>
      <c r="ULE47"/>
      <c r="ULF47"/>
      <c r="ULG47"/>
      <c r="ULH47"/>
      <c r="ULI47"/>
      <c r="ULJ47"/>
      <c r="ULK47"/>
      <c r="ULL47"/>
      <c r="ULM47"/>
      <c r="ULN47"/>
      <c r="ULO47"/>
      <c r="ULP47"/>
      <c r="ULQ47"/>
      <c r="ULR47"/>
      <c r="ULS47"/>
      <c r="ULT47"/>
      <c r="ULU47"/>
      <c r="ULV47"/>
      <c r="ULW47"/>
      <c r="ULX47"/>
      <c r="ULY47"/>
      <c r="ULZ47"/>
      <c r="UMA47"/>
      <c r="UMB47"/>
      <c r="UMC47"/>
      <c r="UMD47"/>
      <c r="UME47"/>
      <c r="UMF47"/>
      <c r="UMG47"/>
      <c r="UMH47"/>
      <c r="UMI47"/>
      <c r="UMJ47"/>
      <c r="UMK47"/>
      <c r="UML47"/>
      <c r="UMM47"/>
      <c r="UMN47"/>
      <c r="UMO47"/>
      <c r="UMP47"/>
      <c r="UMQ47"/>
      <c r="UMR47"/>
      <c r="UMS47"/>
      <c r="UMT47"/>
      <c r="UMU47"/>
      <c r="UMV47"/>
      <c r="UMW47"/>
      <c r="UMX47"/>
      <c r="UMY47"/>
      <c r="UMZ47"/>
      <c r="UNA47"/>
      <c r="UNB47"/>
      <c r="UNC47"/>
      <c r="UND47"/>
      <c r="UNE47"/>
      <c r="UNF47"/>
      <c r="UNG47"/>
      <c r="UNH47"/>
      <c r="UNI47"/>
      <c r="UNJ47"/>
      <c r="UNK47"/>
      <c r="UNL47"/>
      <c r="UNM47"/>
      <c r="UNN47"/>
      <c r="UNO47"/>
      <c r="UNP47"/>
      <c r="UNQ47"/>
      <c r="UNR47"/>
      <c r="UNS47"/>
      <c r="UNT47"/>
      <c r="UNU47"/>
      <c r="UNV47"/>
      <c r="UNW47"/>
      <c r="UNX47"/>
      <c r="UNY47"/>
      <c r="UNZ47"/>
      <c r="UOA47"/>
      <c r="UOB47"/>
      <c r="UOC47"/>
      <c r="UOD47"/>
      <c r="UOE47"/>
      <c r="UOF47"/>
      <c r="UOG47"/>
      <c r="UOH47"/>
      <c r="UOI47"/>
      <c r="UOJ47"/>
      <c r="UOK47"/>
      <c r="UOL47"/>
      <c r="UOM47"/>
      <c r="UON47"/>
      <c r="UOO47"/>
      <c r="UOP47"/>
      <c r="UOQ47"/>
      <c r="UOR47"/>
      <c r="UOS47"/>
      <c r="UOT47"/>
      <c r="UOU47"/>
      <c r="UOV47"/>
      <c r="UOW47"/>
      <c r="UOX47"/>
      <c r="UOY47"/>
      <c r="UOZ47"/>
      <c r="UPA47"/>
      <c r="UPB47"/>
      <c r="UPC47"/>
      <c r="UPD47"/>
      <c r="UPE47"/>
      <c r="UPF47"/>
      <c r="UPG47"/>
      <c r="UPH47"/>
      <c r="UPI47"/>
      <c r="UPJ47"/>
      <c r="UPK47"/>
      <c r="UPL47"/>
      <c r="UPM47"/>
      <c r="UPN47"/>
      <c r="UPO47"/>
      <c r="UPP47"/>
      <c r="UPQ47"/>
      <c r="UPR47"/>
      <c r="UPS47"/>
      <c r="UPT47"/>
      <c r="UPU47"/>
      <c r="UPV47"/>
      <c r="UPW47"/>
      <c r="UPX47"/>
      <c r="UPY47"/>
      <c r="UPZ47"/>
      <c r="UQA47"/>
      <c r="UQB47"/>
      <c r="UQC47"/>
      <c r="UQD47"/>
      <c r="UQE47"/>
      <c r="UQF47"/>
      <c r="UQG47"/>
      <c r="UQH47"/>
      <c r="UQI47"/>
      <c r="UQJ47"/>
      <c r="UQK47"/>
      <c r="UQL47"/>
      <c r="UQM47"/>
      <c r="UQN47"/>
      <c r="UQO47"/>
      <c r="UQP47"/>
      <c r="UQQ47"/>
      <c r="UQR47"/>
      <c r="UQS47"/>
      <c r="UQT47"/>
      <c r="UQU47"/>
      <c r="UQV47"/>
      <c r="UQW47"/>
      <c r="UQX47"/>
      <c r="UQY47"/>
      <c r="UQZ47"/>
      <c r="URA47"/>
      <c r="URB47"/>
      <c r="URC47"/>
      <c r="URD47"/>
      <c r="URE47"/>
      <c r="URF47"/>
      <c r="URG47"/>
      <c r="URH47"/>
      <c r="URI47"/>
      <c r="URJ47"/>
      <c r="URK47"/>
      <c r="URL47"/>
      <c r="URM47"/>
      <c r="URN47"/>
      <c r="URO47"/>
      <c r="URP47"/>
      <c r="URQ47"/>
      <c r="URR47"/>
      <c r="URS47"/>
      <c r="URT47"/>
      <c r="URU47"/>
      <c r="URV47"/>
      <c r="URW47"/>
      <c r="URX47"/>
      <c r="URY47"/>
      <c r="URZ47"/>
      <c r="USA47"/>
      <c r="USB47"/>
      <c r="USC47"/>
      <c r="USD47"/>
      <c r="USE47"/>
      <c r="USF47"/>
      <c r="USG47"/>
      <c r="USH47"/>
      <c r="USI47"/>
      <c r="USJ47"/>
      <c r="USK47"/>
      <c r="USL47"/>
      <c r="USM47"/>
      <c r="USN47"/>
      <c r="USO47"/>
      <c r="USP47"/>
      <c r="USQ47"/>
      <c r="USR47"/>
      <c r="USS47"/>
      <c r="UST47"/>
      <c r="USU47"/>
      <c r="USV47"/>
      <c r="USW47"/>
      <c r="USX47"/>
      <c r="USY47"/>
      <c r="USZ47"/>
      <c r="UTA47"/>
      <c r="UTB47"/>
      <c r="UTC47"/>
      <c r="UTD47"/>
      <c r="UTE47"/>
      <c r="UTF47"/>
      <c r="UTG47"/>
      <c r="UTH47"/>
      <c r="UTI47"/>
      <c r="UTJ47"/>
      <c r="UTK47"/>
      <c r="UTL47"/>
      <c r="UTM47"/>
      <c r="UTN47"/>
      <c r="UTO47"/>
      <c r="UTP47"/>
      <c r="UTQ47"/>
      <c r="UTR47"/>
      <c r="UTS47"/>
      <c r="UTT47"/>
      <c r="UTU47"/>
      <c r="UTV47"/>
      <c r="UTW47"/>
      <c r="UTX47"/>
      <c r="UTY47"/>
      <c r="UTZ47"/>
      <c r="UUA47"/>
      <c r="UUB47"/>
      <c r="UUC47"/>
      <c r="UUD47"/>
      <c r="UUE47"/>
      <c r="UUF47"/>
      <c r="UUG47"/>
      <c r="UUH47"/>
      <c r="UUI47"/>
      <c r="UUJ47"/>
      <c r="UUK47"/>
      <c r="UUL47"/>
      <c r="UUM47"/>
      <c r="UUN47"/>
      <c r="UUO47"/>
      <c r="UUP47"/>
      <c r="UUQ47"/>
      <c r="UUR47"/>
      <c r="UUS47"/>
      <c r="UUT47"/>
      <c r="UUU47"/>
      <c r="UUV47"/>
      <c r="UUW47"/>
      <c r="UUX47"/>
      <c r="UUY47"/>
      <c r="UUZ47"/>
      <c r="UVA47"/>
      <c r="UVB47"/>
      <c r="UVC47"/>
      <c r="UVD47"/>
      <c r="UVE47"/>
      <c r="UVF47"/>
      <c r="UVG47"/>
      <c r="UVH47"/>
      <c r="UVI47"/>
      <c r="UVJ47"/>
      <c r="UVK47"/>
      <c r="UVL47"/>
      <c r="UVM47"/>
      <c r="UVN47"/>
      <c r="UVO47"/>
      <c r="UVP47"/>
      <c r="UVQ47"/>
      <c r="UVR47"/>
      <c r="UVS47"/>
      <c r="UVT47"/>
      <c r="UVU47"/>
      <c r="UVV47"/>
      <c r="UVW47"/>
      <c r="UVX47"/>
      <c r="UVY47"/>
      <c r="UVZ47"/>
      <c r="UWA47"/>
      <c r="UWB47"/>
      <c r="UWC47"/>
      <c r="UWD47"/>
      <c r="UWE47"/>
      <c r="UWF47"/>
      <c r="UWG47"/>
      <c r="UWH47"/>
      <c r="UWI47"/>
      <c r="UWJ47"/>
      <c r="UWK47"/>
      <c r="UWL47"/>
      <c r="UWM47"/>
      <c r="UWN47"/>
      <c r="UWO47"/>
      <c r="UWP47"/>
      <c r="UWQ47"/>
      <c r="UWR47"/>
      <c r="UWS47"/>
      <c r="UWT47"/>
      <c r="UWU47"/>
      <c r="UWV47"/>
      <c r="UWW47"/>
      <c r="UWX47"/>
      <c r="UWY47"/>
      <c r="UWZ47"/>
      <c r="UXA47"/>
      <c r="UXB47"/>
      <c r="UXC47"/>
      <c r="UXD47"/>
      <c r="UXE47"/>
      <c r="UXF47"/>
      <c r="UXG47"/>
      <c r="UXH47"/>
      <c r="UXI47"/>
      <c r="UXJ47"/>
      <c r="UXK47"/>
      <c r="UXL47"/>
      <c r="UXM47"/>
      <c r="UXN47"/>
      <c r="UXO47"/>
      <c r="UXP47"/>
      <c r="UXQ47"/>
      <c r="UXR47"/>
      <c r="UXS47"/>
      <c r="UXT47"/>
      <c r="UXU47"/>
      <c r="UXV47"/>
      <c r="UXW47"/>
      <c r="UXX47"/>
      <c r="UXY47"/>
      <c r="UXZ47"/>
      <c r="UYA47"/>
      <c r="UYB47"/>
      <c r="UYC47"/>
      <c r="UYD47"/>
      <c r="UYE47"/>
      <c r="UYF47"/>
      <c r="UYG47"/>
      <c r="UYH47"/>
      <c r="UYI47"/>
      <c r="UYJ47"/>
      <c r="UYK47"/>
      <c r="UYL47"/>
      <c r="UYM47"/>
      <c r="UYN47"/>
      <c r="UYO47"/>
      <c r="UYP47"/>
      <c r="UYQ47"/>
      <c r="UYR47"/>
      <c r="UYS47"/>
      <c r="UYT47"/>
      <c r="UYU47"/>
      <c r="UYV47"/>
      <c r="UYW47"/>
      <c r="UYX47"/>
      <c r="UYY47"/>
      <c r="UYZ47"/>
      <c r="UZA47"/>
      <c r="UZB47"/>
      <c r="UZC47"/>
      <c r="UZD47"/>
      <c r="UZE47"/>
      <c r="UZF47"/>
      <c r="UZG47"/>
      <c r="UZH47"/>
      <c r="UZI47"/>
      <c r="UZJ47"/>
      <c r="UZK47"/>
      <c r="UZL47"/>
      <c r="UZM47"/>
      <c r="UZN47"/>
      <c r="UZO47"/>
      <c r="UZP47"/>
      <c r="UZQ47"/>
      <c r="UZR47"/>
      <c r="UZS47"/>
      <c r="UZT47"/>
      <c r="UZU47"/>
      <c r="UZV47"/>
      <c r="UZW47"/>
      <c r="UZX47"/>
      <c r="UZY47"/>
      <c r="UZZ47"/>
      <c r="VAA47"/>
      <c r="VAB47"/>
      <c r="VAC47"/>
      <c r="VAD47"/>
      <c r="VAE47"/>
      <c r="VAF47"/>
      <c r="VAG47"/>
      <c r="VAH47"/>
      <c r="VAI47"/>
      <c r="VAJ47"/>
      <c r="VAK47"/>
      <c r="VAL47"/>
      <c r="VAM47"/>
      <c r="VAN47"/>
      <c r="VAO47"/>
      <c r="VAP47"/>
      <c r="VAQ47"/>
      <c r="VAR47"/>
      <c r="VAS47"/>
      <c r="VAT47"/>
      <c r="VAU47"/>
      <c r="VAV47"/>
      <c r="VAW47"/>
      <c r="VAX47"/>
      <c r="VAY47"/>
      <c r="VAZ47"/>
      <c r="VBA47"/>
      <c r="VBB47"/>
      <c r="VBC47"/>
      <c r="VBD47"/>
      <c r="VBE47"/>
      <c r="VBF47"/>
      <c r="VBG47"/>
      <c r="VBH47"/>
      <c r="VBI47"/>
      <c r="VBJ47"/>
      <c r="VBK47"/>
      <c r="VBL47"/>
      <c r="VBM47"/>
      <c r="VBN47"/>
      <c r="VBO47"/>
      <c r="VBP47"/>
      <c r="VBQ47"/>
      <c r="VBR47"/>
      <c r="VBS47"/>
      <c r="VBT47"/>
      <c r="VBU47"/>
      <c r="VBV47"/>
      <c r="VBW47"/>
      <c r="VBX47"/>
      <c r="VBY47"/>
      <c r="VBZ47"/>
      <c r="VCA47"/>
      <c r="VCB47"/>
      <c r="VCC47"/>
      <c r="VCD47"/>
      <c r="VCE47"/>
      <c r="VCF47"/>
      <c r="VCG47"/>
      <c r="VCH47"/>
      <c r="VCI47"/>
      <c r="VCJ47"/>
      <c r="VCK47"/>
      <c r="VCL47"/>
      <c r="VCM47"/>
      <c r="VCN47"/>
      <c r="VCO47"/>
      <c r="VCP47"/>
      <c r="VCQ47"/>
      <c r="VCR47"/>
      <c r="VCS47"/>
      <c r="VCT47"/>
      <c r="VCU47"/>
      <c r="VCV47"/>
      <c r="VCW47"/>
      <c r="VCX47"/>
      <c r="VCY47"/>
      <c r="VCZ47"/>
      <c r="VDA47"/>
      <c r="VDB47"/>
      <c r="VDC47"/>
      <c r="VDD47"/>
      <c r="VDE47"/>
      <c r="VDF47"/>
      <c r="VDG47"/>
      <c r="VDH47"/>
      <c r="VDI47"/>
      <c r="VDJ47"/>
      <c r="VDK47"/>
      <c r="VDL47"/>
      <c r="VDM47"/>
      <c r="VDN47"/>
      <c r="VDO47"/>
      <c r="VDP47"/>
      <c r="VDQ47"/>
      <c r="VDR47"/>
      <c r="VDS47"/>
      <c r="VDT47"/>
      <c r="VDU47"/>
      <c r="VDV47"/>
      <c r="VDW47"/>
      <c r="VDX47"/>
      <c r="VDY47"/>
      <c r="VDZ47"/>
      <c r="VEA47"/>
      <c r="VEB47"/>
      <c r="VEC47"/>
      <c r="VED47"/>
      <c r="VEE47"/>
      <c r="VEF47"/>
      <c r="VEG47"/>
      <c r="VEH47"/>
      <c r="VEI47"/>
      <c r="VEJ47"/>
      <c r="VEK47"/>
      <c r="VEL47"/>
      <c r="VEM47"/>
      <c r="VEN47"/>
      <c r="VEO47"/>
      <c r="VEP47"/>
      <c r="VEQ47"/>
      <c r="VER47"/>
      <c r="VES47"/>
      <c r="VET47"/>
      <c r="VEU47"/>
      <c r="VEV47"/>
      <c r="VEW47"/>
      <c r="VEX47"/>
      <c r="VEY47"/>
      <c r="VEZ47"/>
      <c r="VFA47"/>
      <c r="VFB47"/>
      <c r="VFC47"/>
      <c r="VFD47"/>
      <c r="VFE47"/>
      <c r="VFF47"/>
      <c r="VFG47"/>
      <c r="VFH47"/>
      <c r="VFI47"/>
      <c r="VFJ47"/>
      <c r="VFK47"/>
      <c r="VFL47"/>
      <c r="VFM47"/>
      <c r="VFN47"/>
      <c r="VFO47"/>
      <c r="VFP47"/>
      <c r="VFQ47"/>
      <c r="VFR47"/>
      <c r="VFS47"/>
      <c r="VFT47"/>
      <c r="VFU47"/>
      <c r="VFV47"/>
      <c r="VFW47"/>
      <c r="VFX47"/>
      <c r="VFY47"/>
      <c r="VFZ47"/>
      <c r="VGA47"/>
      <c r="VGB47"/>
      <c r="VGC47"/>
      <c r="VGD47"/>
      <c r="VGE47"/>
      <c r="VGF47"/>
      <c r="VGG47"/>
      <c r="VGH47"/>
      <c r="VGI47"/>
      <c r="VGJ47"/>
      <c r="VGK47"/>
      <c r="VGL47"/>
      <c r="VGM47"/>
      <c r="VGN47"/>
      <c r="VGO47"/>
      <c r="VGP47"/>
      <c r="VGQ47"/>
      <c r="VGR47"/>
      <c r="VGS47"/>
      <c r="VGT47"/>
      <c r="VGU47"/>
      <c r="VGV47"/>
      <c r="VGW47"/>
      <c r="VGX47"/>
      <c r="VGY47"/>
      <c r="VGZ47"/>
      <c r="VHA47"/>
      <c r="VHB47"/>
      <c r="VHC47"/>
      <c r="VHD47"/>
      <c r="VHE47"/>
      <c r="VHF47"/>
      <c r="VHG47"/>
      <c r="VHH47"/>
      <c r="VHI47"/>
      <c r="VHJ47"/>
      <c r="VHK47"/>
      <c r="VHL47"/>
      <c r="VHM47"/>
      <c r="VHN47"/>
      <c r="VHO47"/>
      <c r="VHP47"/>
      <c r="VHQ47"/>
      <c r="VHR47"/>
      <c r="VHS47"/>
      <c r="VHT47"/>
      <c r="VHU47"/>
      <c r="VHV47"/>
      <c r="VHW47"/>
      <c r="VHX47"/>
      <c r="VHY47"/>
      <c r="VHZ47"/>
      <c r="VIA47"/>
      <c r="VIB47"/>
      <c r="VIC47"/>
      <c r="VID47"/>
      <c r="VIE47"/>
      <c r="VIF47"/>
      <c r="VIG47"/>
      <c r="VIH47"/>
      <c r="VII47"/>
      <c r="VIJ47"/>
      <c r="VIK47"/>
      <c r="VIL47"/>
      <c r="VIM47"/>
      <c r="VIN47"/>
      <c r="VIO47"/>
      <c r="VIP47"/>
      <c r="VIQ47"/>
      <c r="VIR47"/>
      <c r="VIS47"/>
      <c r="VIT47"/>
      <c r="VIU47"/>
      <c r="VIV47"/>
      <c r="VIW47"/>
      <c r="VIX47"/>
      <c r="VIY47"/>
      <c r="VIZ47"/>
      <c r="VJA47"/>
      <c r="VJB47"/>
      <c r="VJC47"/>
      <c r="VJD47"/>
      <c r="VJE47"/>
      <c r="VJF47"/>
      <c r="VJG47"/>
      <c r="VJH47"/>
      <c r="VJI47"/>
      <c r="VJJ47"/>
      <c r="VJK47"/>
      <c r="VJL47"/>
      <c r="VJM47"/>
      <c r="VJN47"/>
      <c r="VJO47"/>
      <c r="VJP47"/>
      <c r="VJQ47"/>
      <c r="VJR47"/>
      <c r="VJS47"/>
      <c r="VJT47"/>
      <c r="VJU47"/>
      <c r="VJV47"/>
      <c r="VJW47"/>
      <c r="VJX47"/>
      <c r="VJY47"/>
      <c r="VJZ47"/>
      <c r="VKA47"/>
      <c r="VKB47"/>
      <c r="VKC47"/>
      <c r="VKD47"/>
      <c r="VKE47"/>
      <c r="VKF47"/>
      <c r="VKG47"/>
      <c r="VKH47"/>
      <c r="VKI47"/>
      <c r="VKJ47"/>
      <c r="VKK47"/>
      <c r="VKL47"/>
      <c r="VKM47"/>
      <c r="VKN47"/>
      <c r="VKO47"/>
      <c r="VKP47"/>
      <c r="VKQ47"/>
      <c r="VKR47"/>
      <c r="VKS47"/>
      <c r="VKT47"/>
      <c r="VKU47"/>
      <c r="VKV47"/>
      <c r="VKW47"/>
      <c r="VKX47"/>
      <c r="VKY47"/>
      <c r="VKZ47"/>
      <c r="VLA47"/>
      <c r="VLB47"/>
      <c r="VLC47"/>
      <c r="VLD47"/>
      <c r="VLE47"/>
      <c r="VLF47"/>
      <c r="VLG47"/>
      <c r="VLH47"/>
      <c r="VLI47"/>
      <c r="VLJ47"/>
      <c r="VLK47"/>
      <c r="VLL47"/>
      <c r="VLM47"/>
      <c r="VLN47"/>
      <c r="VLO47"/>
      <c r="VLP47"/>
      <c r="VLQ47"/>
      <c r="VLR47"/>
      <c r="VLS47"/>
      <c r="VLT47"/>
      <c r="VLU47"/>
      <c r="VLV47"/>
      <c r="VLW47"/>
      <c r="VLX47"/>
      <c r="VLY47"/>
      <c r="VLZ47"/>
      <c r="VMA47"/>
      <c r="VMB47"/>
      <c r="VMC47"/>
      <c r="VMD47"/>
      <c r="VME47"/>
      <c r="VMF47"/>
      <c r="VMG47"/>
      <c r="VMH47"/>
      <c r="VMI47"/>
      <c r="VMJ47"/>
      <c r="VMK47"/>
      <c r="VML47"/>
      <c r="VMM47"/>
      <c r="VMN47"/>
      <c r="VMO47"/>
      <c r="VMP47"/>
      <c r="VMQ47"/>
      <c r="VMR47"/>
      <c r="VMS47"/>
      <c r="VMT47"/>
      <c r="VMU47"/>
      <c r="VMV47"/>
      <c r="VMW47"/>
      <c r="VMX47"/>
      <c r="VMY47"/>
      <c r="VMZ47"/>
      <c r="VNA47"/>
      <c r="VNB47"/>
      <c r="VNC47"/>
      <c r="VND47"/>
      <c r="VNE47"/>
      <c r="VNF47"/>
      <c r="VNG47"/>
      <c r="VNH47"/>
      <c r="VNI47"/>
      <c r="VNJ47"/>
      <c r="VNK47"/>
      <c r="VNL47"/>
      <c r="VNM47"/>
      <c r="VNN47"/>
      <c r="VNO47"/>
      <c r="VNP47"/>
      <c r="VNQ47"/>
      <c r="VNR47"/>
      <c r="VNS47"/>
      <c r="VNT47"/>
      <c r="VNU47"/>
      <c r="VNV47"/>
      <c r="VNW47"/>
      <c r="VNX47"/>
      <c r="VNY47"/>
      <c r="VNZ47"/>
      <c r="VOA47"/>
      <c r="VOB47"/>
      <c r="VOC47"/>
      <c r="VOD47"/>
      <c r="VOE47"/>
      <c r="VOF47"/>
      <c r="VOG47"/>
      <c r="VOH47"/>
      <c r="VOI47"/>
      <c r="VOJ47"/>
      <c r="VOK47"/>
      <c r="VOL47"/>
      <c r="VOM47"/>
      <c r="VON47"/>
      <c r="VOO47"/>
      <c r="VOP47"/>
      <c r="VOQ47"/>
      <c r="VOR47"/>
      <c r="VOS47"/>
      <c r="VOT47"/>
      <c r="VOU47"/>
      <c r="VOV47"/>
      <c r="VOW47"/>
      <c r="VOX47"/>
      <c r="VOY47"/>
      <c r="VOZ47"/>
      <c r="VPA47"/>
      <c r="VPB47"/>
      <c r="VPC47"/>
      <c r="VPD47"/>
      <c r="VPE47"/>
      <c r="VPF47"/>
      <c r="VPG47"/>
      <c r="VPH47"/>
      <c r="VPI47"/>
      <c r="VPJ47"/>
      <c r="VPK47"/>
      <c r="VPL47"/>
      <c r="VPM47"/>
      <c r="VPN47"/>
      <c r="VPO47"/>
      <c r="VPP47"/>
      <c r="VPQ47"/>
      <c r="VPR47"/>
      <c r="VPS47"/>
      <c r="VPT47"/>
      <c r="VPU47"/>
      <c r="VPV47"/>
      <c r="VPW47"/>
      <c r="VPX47"/>
      <c r="VPY47"/>
      <c r="VPZ47"/>
      <c r="VQA47"/>
      <c r="VQB47"/>
      <c r="VQC47"/>
      <c r="VQD47"/>
      <c r="VQE47"/>
      <c r="VQF47"/>
      <c r="VQG47"/>
      <c r="VQH47"/>
      <c r="VQI47"/>
      <c r="VQJ47"/>
      <c r="VQK47"/>
      <c r="VQL47"/>
      <c r="VQM47"/>
      <c r="VQN47"/>
      <c r="VQO47"/>
      <c r="VQP47"/>
      <c r="VQQ47"/>
      <c r="VQR47"/>
      <c r="VQS47"/>
      <c r="VQT47"/>
      <c r="VQU47"/>
      <c r="VQV47"/>
      <c r="VQW47"/>
      <c r="VQX47"/>
      <c r="VQY47"/>
      <c r="VQZ47"/>
      <c r="VRA47"/>
      <c r="VRB47"/>
      <c r="VRC47"/>
      <c r="VRD47"/>
      <c r="VRE47"/>
      <c r="VRF47"/>
      <c r="VRG47"/>
      <c r="VRH47"/>
      <c r="VRI47"/>
      <c r="VRJ47"/>
      <c r="VRK47"/>
      <c r="VRL47"/>
      <c r="VRM47"/>
      <c r="VRN47"/>
      <c r="VRO47"/>
      <c r="VRP47"/>
      <c r="VRQ47"/>
      <c r="VRR47"/>
      <c r="VRS47"/>
      <c r="VRT47"/>
      <c r="VRU47"/>
      <c r="VRV47"/>
      <c r="VRW47"/>
      <c r="VRX47"/>
      <c r="VRY47"/>
      <c r="VRZ47"/>
      <c r="VSA47"/>
      <c r="VSB47"/>
      <c r="VSC47"/>
      <c r="VSD47"/>
      <c r="VSE47"/>
      <c r="VSF47"/>
      <c r="VSG47"/>
      <c r="VSH47"/>
      <c r="VSI47"/>
      <c r="VSJ47"/>
      <c r="VSK47"/>
      <c r="VSL47"/>
      <c r="VSM47"/>
      <c r="VSN47"/>
      <c r="VSO47"/>
      <c r="VSP47"/>
      <c r="VSQ47"/>
      <c r="VSR47"/>
      <c r="VSS47"/>
      <c r="VST47"/>
      <c r="VSU47"/>
      <c r="VSV47"/>
      <c r="VSW47"/>
      <c r="VSX47"/>
      <c r="VSY47"/>
      <c r="VSZ47"/>
      <c r="VTA47"/>
      <c r="VTB47"/>
      <c r="VTC47"/>
      <c r="VTD47"/>
      <c r="VTE47"/>
      <c r="VTF47"/>
      <c r="VTG47"/>
      <c r="VTH47"/>
      <c r="VTI47"/>
      <c r="VTJ47"/>
      <c r="VTK47"/>
      <c r="VTL47"/>
      <c r="VTM47"/>
      <c r="VTN47"/>
      <c r="VTO47"/>
      <c r="VTP47"/>
      <c r="VTQ47"/>
      <c r="VTR47"/>
      <c r="VTS47"/>
      <c r="VTT47"/>
      <c r="VTU47"/>
      <c r="VTV47"/>
      <c r="VTW47"/>
      <c r="VTX47"/>
      <c r="VTY47"/>
      <c r="VTZ47"/>
      <c r="VUA47"/>
      <c r="VUB47"/>
      <c r="VUC47"/>
      <c r="VUD47"/>
      <c r="VUE47"/>
      <c r="VUF47"/>
      <c r="VUG47"/>
      <c r="VUH47"/>
      <c r="VUI47"/>
      <c r="VUJ47"/>
      <c r="VUK47"/>
      <c r="VUL47"/>
      <c r="VUM47"/>
      <c r="VUN47"/>
      <c r="VUO47"/>
      <c r="VUP47"/>
      <c r="VUQ47"/>
      <c r="VUR47"/>
      <c r="VUS47"/>
      <c r="VUT47"/>
      <c r="VUU47"/>
      <c r="VUV47"/>
      <c r="VUW47"/>
      <c r="VUX47"/>
      <c r="VUY47"/>
      <c r="VUZ47"/>
      <c r="VVA47"/>
      <c r="VVB47"/>
      <c r="VVC47"/>
      <c r="VVD47"/>
      <c r="VVE47"/>
      <c r="VVF47"/>
      <c r="VVG47"/>
      <c r="VVH47"/>
      <c r="VVI47"/>
      <c r="VVJ47"/>
      <c r="VVK47"/>
      <c r="VVL47"/>
      <c r="VVM47"/>
      <c r="VVN47"/>
      <c r="VVO47"/>
      <c r="VVP47"/>
      <c r="VVQ47"/>
      <c r="VVR47"/>
      <c r="VVS47"/>
      <c r="VVT47"/>
      <c r="VVU47"/>
      <c r="VVV47"/>
      <c r="VVW47"/>
      <c r="VVX47"/>
      <c r="VVY47"/>
      <c r="VVZ47"/>
      <c r="VWA47"/>
      <c r="VWB47"/>
      <c r="VWC47"/>
      <c r="VWD47"/>
      <c r="VWE47"/>
      <c r="VWF47"/>
      <c r="VWG47"/>
      <c r="VWH47"/>
      <c r="VWI47"/>
      <c r="VWJ47"/>
      <c r="VWK47"/>
      <c r="VWL47"/>
      <c r="VWM47"/>
      <c r="VWN47"/>
      <c r="VWO47"/>
      <c r="VWP47"/>
      <c r="VWQ47"/>
      <c r="VWR47"/>
      <c r="VWS47"/>
      <c r="VWT47"/>
      <c r="VWU47"/>
      <c r="VWV47"/>
      <c r="VWW47"/>
      <c r="VWX47"/>
      <c r="VWY47"/>
      <c r="VWZ47"/>
      <c r="VXA47"/>
      <c r="VXB47"/>
      <c r="VXC47"/>
      <c r="VXD47"/>
      <c r="VXE47"/>
      <c r="VXF47"/>
      <c r="VXG47"/>
      <c r="VXH47"/>
      <c r="VXI47"/>
      <c r="VXJ47"/>
      <c r="VXK47"/>
      <c r="VXL47"/>
      <c r="VXM47"/>
      <c r="VXN47"/>
      <c r="VXO47"/>
      <c r="VXP47"/>
      <c r="VXQ47"/>
      <c r="VXR47"/>
      <c r="VXS47"/>
      <c r="VXT47"/>
      <c r="VXU47"/>
      <c r="VXV47"/>
      <c r="VXW47"/>
      <c r="VXX47"/>
      <c r="VXY47"/>
      <c r="VXZ47"/>
      <c r="VYA47"/>
      <c r="VYB47"/>
      <c r="VYC47"/>
      <c r="VYD47"/>
      <c r="VYE47"/>
      <c r="VYF47"/>
      <c r="VYG47"/>
      <c r="VYH47"/>
      <c r="VYI47"/>
      <c r="VYJ47"/>
      <c r="VYK47"/>
      <c r="VYL47"/>
      <c r="VYM47"/>
      <c r="VYN47"/>
      <c r="VYO47"/>
      <c r="VYP47"/>
      <c r="VYQ47"/>
      <c r="VYR47"/>
      <c r="VYS47"/>
      <c r="VYT47"/>
      <c r="VYU47"/>
      <c r="VYV47"/>
      <c r="VYW47"/>
      <c r="VYX47"/>
      <c r="VYY47"/>
      <c r="VYZ47"/>
      <c r="VZA47"/>
      <c r="VZB47"/>
      <c r="VZC47"/>
      <c r="VZD47"/>
      <c r="VZE47"/>
      <c r="VZF47"/>
      <c r="VZG47"/>
      <c r="VZH47"/>
      <c r="VZI47"/>
      <c r="VZJ47"/>
      <c r="VZK47"/>
      <c r="VZL47"/>
      <c r="VZM47"/>
      <c r="VZN47"/>
      <c r="VZO47"/>
      <c r="VZP47"/>
      <c r="VZQ47"/>
      <c r="VZR47"/>
      <c r="VZS47"/>
      <c r="VZT47"/>
      <c r="VZU47"/>
      <c r="VZV47"/>
      <c r="VZW47"/>
      <c r="VZX47"/>
      <c r="VZY47"/>
      <c r="VZZ47"/>
      <c r="WAA47"/>
      <c r="WAB47"/>
      <c r="WAC47"/>
      <c r="WAD47"/>
      <c r="WAE47"/>
      <c r="WAF47"/>
      <c r="WAG47"/>
      <c r="WAH47"/>
      <c r="WAI47"/>
      <c r="WAJ47"/>
      <c r="WAK47"/>
      <c r="WAL47"/>
      <c r="WAM47"/>
      <c r="WAN47"/>
      <c r="WAO47"/>
      <c r="WAP47"/>
      <c r="WAQ47"/>
      <c r="WAR47"/>
      <c r="WAS47"/>
      <c r="WAT47"/>
      <c r="WAU47"/>
      <c r="WAV47"/>
      <c r="WAW47"/>
      <c r="WAX47"/>
      <c r="WAY47"/>
      <c r="WAZ47"/>
      <c r="WBA47"/>
      <c r="WBB47"/>
      <c r="WBC47"/>
      <c r="WBD47"/>
      <c r="WBE47"/>
      <c r="WBF47"/>
      <c r="WBG47"/>
      <c r="WBH47"/>
      <c r="WBI47"/>
      <c r="WBJ47"/>
      <c r="WBK47"/>
      <c r="WBL47"/>
      <c r="WBM47"/>
      <c r="WBN47"/>
      <c r="WBO47"/>
      <c r="WBP47"/>
      <c r="WBQ47"/>
      <c r="WBR47"/>
      <c r="WBS47"/>
      <c r="WBT47"/>
      <c r="WBU47"/>
      <c r="WBV47"/>
      <c r="WBW47"/>
      <c r="WBX47"/>
      <c r="WBY47"/>
      <c r="WBZ47"/>
      <c r="WCA47"/>
      <c r="WCB47"/>
      <c r="WCC47"/>
      <c r="WCD47"/>
      <c r="WCE47"/>
      <c r="WCF47"/>
      <c r="WCG47"/>
      <c r="WCH47"/>
      <c r="WCI47"/>
      <c r="WCJ47"/>
      <c r="WCK47"/>
      <c r="WCL47"/>
      <c r="WCM47"/>
      <c r="WCN47"/>
      <c r="WCO47"/>
      <c r="WCP47"/>
      <c r="WCQ47"/>
      <c r="WCR47"/>
      <c r="WCS47"/>
      <c r="WCT47"/>
      <c r="WCU47"/>
      <c r="WCV47"/>
      <c r="WCW47"/>
      <c r="WCX47"/>
      <c r="WCY47"/>
      <c r="WCZ47"/>
      <c r="WDA47"/>
      <c r="WDB47"/>
      <c r="WDC47"/>
      <c r="WDD47"/>
      <c r="WDE47"/>
      <c r="WDF47"/>
      <c r="WDG47"/>
      <c r="WDH47"/>
      <c r="WDI47"/>
      <c r="WDJ47"/>
      <c r="WDK47"/>
      <c r="WDL47"/>
      <c r="WDM47"/>
      <c r="WDN47"/>
      <c r="WDO47"/>
      <c r="WDP47"/>
      <c r="WDQ47"/>
      <c r="WDR47"/>
      <c r="WDS47"/>
      <c r="WDT47"/>
      <c r="WDU47"/>
      <c r="WDV47"/>
      <c r="WDW47"/>
      <c r="WDX47"/>
      <c r="WDY47"/>
      <c r="WDZ47"/>
      <c r="WEA47"/>
      <c r="WEB47"/>
      <c r="WEC47"/>
      <c r="WED47"/>
      <c r="WEE47"/>
      <c r="WEF47"/>
      <c r="WEG47"/>
      <c r="WEH47"/>
      <c r="WEI47"/>
      <c r="WEJ47"/>
      <c r="WEK47"/>
      <c r="WEL47"/>
      <c r="WEM47"/>
      <c r="WEN47"/>
      <c r="WEO47"/>
      <c r="WEP47"/>
      <c r="WEQ47"/>
      <c r="WER47"/>
      <c r="WES47"/>
      <c r="WET47"/>
      <c r="WEU47"/>
      <c r="WEV47"/>
      <c r="WEW47"/>
      <c r="WEX47"/>
      <c r="WEY47"/>
      <c r="WEZ47"/>
      <c r="WFA47"/>
      <c r="WFB47"/>
      <c r="WFC47"/>
      <c r="WFD47"/>
      <c r="WFE47"/>
      <c r="WFF47"/>
      <c r="WFG47"/>
      <c r="WFH47"/>
      <c r="WFI47"/>
      <c r="WFJ47"/>
      <c r="WFK47"/>
      <c r="WFL47"/>
      <c r="WFM47"/>
      <c r="WFN47"/>
      <c r="WFO47"/>
      <c r="WFP47"/>
      <c r="WFQ47"/>
      <c r="WFR47"/>
      <c r="WFS47"/>
      <c r="WFT47"/>
      <c r="WFU47"/>
      <c r="WFV47"/>
      <c r="WFW47"/>
      <c r="WFX47"/>
      <c r="WFY47"/>
      <c r="WFZ47"/>
      <c r="WGA47"/>
      <c r="WGB47"/>
      <c r="WGC47"/>
      <c r="WGD47"/>
      <c r="WGE47"/>
      <c r="WGF47"/>
      <c r="WGG47"/>
      <c r="WGH47"/>
      <c r="WGI47"/>
      <c r="WGJ47"/>
      <c r="WGK47"/>
      <c r="WGL47"/>
      <c r="WGM47"/>
      <c r="WGN47"/>
      <c r="WGO47"/>
      <c r="WGP47"/>
      <c r="WGQ47"/>
      <c r="WGR47"/>
      <c r="WGS47"/>
      <c r="WGT47"/>
      <c r="WGU47"/>
      <c r="WGV47"/>
      <c r="WGW47"/>
      <c r="WGX47"/>
      <c r="WGY47"/>
      <c r="WGZ47"/>
      <c r="WHA47"/>
      <c r="WHB47"/>
      <c r="WHC47"/>
      <c r="WHD47"/>
      <c r="WHE47"/>
      <c r="WHF47"/>
      <c r="WHG47"/>
      <c r="WHH47"/>
      <c r="WHI47"/>
      <c r="WHJ47"/>
      <c r="WHK47"/>
      <c r="WHL47"/>
      <c r="WHM47"/>
      <c r="WHN47"/>
      <c r="WHO47"/>
      <c r="WHP47"/>
      <c r="WHQ47"/>
      <c r="WHR47"/>
      <c r="WHS47"/>
      <c r="WHT47"/>
      <c r="WHU47"/>
      <c r="WHV47"/>
      <c r="WHW47"/>
      <c r="WHX47"/>
      <c r="WHY47"/>
      <c r="WHZ47"/>
      <c r="WIA47"/>
      <c r="WIB47"/>
      <c r="WIC47"/>
      <c r="WID47"/>
      <c r="WIE47"/>
      <c r="WIF47"/>
      <c r="WIG47"/>
      <c r="WIH47"/>
      <c r="WII47"/>
      <c r="WIJ47"/>
      <c r="WIK47"/>
      <c r="WIL47"/>
      <c r="WIM47"/>
      <c r="WIN47"/>
      <c r="WIO47"/>
      <c r="WIP47"/>
      <c r="WIQ47"/>
      <c r="WIR47"/>
      <c r="WIS47"/>
      <c r="WIT47"/>
      <c r="WIU47"/>
      <c r="WIV47"/>
      <c r="WIW47"/>
      <c r="WIX47"/>
      <c r="WIY47"/>
      <c r="WIZ47"/>
      <c r="WJA47"/>
      <c r="WJB47"/>
      <c r="WJC47"/>
      <c r="WJD47"/>
      <c r="WJE47"/>
      <c r="WJF47"/>
      <c r="WJG47"/>
      <c r="WJH47"/>
      <c r="WJI47"/>
      <c r="WJJ47"/>
      <c r="WJK47"/>
      <c r="WJL47"/>
      <c r="WJM47"/>
      <c r="WJN47"/>
      <c r="WJO47"/>
      <c r="WJP47"/>
      <c r="WJQ47"/>
      <c r="WJR47"/>
      <c r="WJS47"/>
      <c r="WJT47"/>
      <c r="WJU47"/>
      <c r="WJV47"/>
      <c r="WJW47"/>
      <c r="WJX47"/>
      <c r="WJY47"/>
      <c r="WJZ47"/>
      <c r="WKA47"/>
      <c r="WKB47"/>
      <c r="WKC47"/>
      <c r="WKD47"/>
      <c r="WKE47"/>
      <c r="WKF47"/>
      <c r="WKG47"/>
      <c r="WKH47"/>
      <c r="WKI47"/>
      <c r="WKJ47"/>
      <c r="WKK47"/>
      <c r="WKL47"/>
      <c r="WKM47"/>
      <c r="WKN47"/>
      <c r="WKO47"/>
      <c r="WKP47"/>
      <c r="WKQ47"/>
      <c r="WKR47"/>
      <c r="WKS47"/>
      <c r="WKT47"/>
      <c r="WKU47"/>
      <c r="WKV47"/>
      <c r="WKW47"/>
      <c r="WKX47"/>
      <c r="WKY47"/>
      <c r="WKZ47"/>
      <c r="WLA47"/>
      <c r="WLB47"/>
      <c r="WLC47"/>
      <c r="WLD47"/>
      <c r="WLE47"/>
      <c r="WLF47"/>
      <c r="WLG47"/>
      <c r="WLH47"/>
      <c r="WLI47"/>
      <c r="WLJ47"/>
      <c r="WLK47"/>
      <c r="WLL47"/>
      <c r="WLM47"/>
      <c r="WLN47"/>
      <c r="WLO47"/>
      <c r="WLP47"/>
      <c r="WLQ47"/>
      <c r="WLR47"/>
      <c r="WLS47"/>
      <c r="WLT47"/>
      <c r="WLU47"/>
      <c r="WLV47"/>
      <c r="WLW47"/>
      <c r="WLX47"/>
      <c r="WLY47"/>
      <c r="WLZ47"/>
      <c r="WMA47"/>
      <c r="WMB47"/>
      <c r="WMC47"/>
      <c r="WMD47"/>
      <c r="WME47"/>
      <c r="WMF47"/>
      <c r="WMG47"/>
      <c r="WMH47"/>
      <c r="WMI47"/>
      <c r="WMJ47"/>
      <c r="WMK47"/>
      <c r="WML47"/>
      <c r="WMM47"/>
      <c r="WMN47"/>
      <c r="WMO47"/>
      <c r="WMP47"/>
      <c r="WMQ47"/>
      <c r="WMR47"/>
      <c r="WMS47"/>
      <c r="WMT47"/>
      <c r="WMU47"/>
      <c r="WMV47"/>
      <c r="WMW47"/>
      <c r="WMX47"/>
      <c r="WMY47"/>
      <c r="WMZ47"/>
      <c r="WNA47"/>
      <c r="WNB47"/>
      <c r="WNC47"/>
      <c r="WND47"/>
      <c r="WNE47"/>
      <c r="WNF47"/>
      <c r="WNG47"/>
      <c r="WNH47"/>
      <c r="WNI47"/>
      <c r="WNJ47"/>
      <c r="WNK47"/>
      <c r="WNL47"/>
      <c r="WNM47"/>
      <c r="WNN47"/>
      <c r="WNO47"/>
      <c r="WNP47"/>
      <c r="WNQ47"/>
      <c r="WNR47"/>
      <c r="WNS47"/>
      <c r="WNT47"/>
      <c r="WNU47"/>
      <c r="WNV47"/>
      <c r="WNW47"/>
      <c r="WNX47"/>
      <c r="WNY47"/>
      <c r="WNZ47"/>
      <c r="WOA47"/>
      <c r="WOB47"/>
      <c r="WOC47"/>
      <c r="WOD47"/>
      <c r="WOE47"/>
      <c r="WOF47"/>
      <c r="WOG47"/>
      <c r="WOH47"/>
      <c r="WOI47"/>
      <c r="WOJ47"/>
      <c r="WOK47"/>
      <c r="WOL47"/>
      <c r="WOM47"/>
      <c r="WON47"/>
      <c r="WOO47"/>
      <c r="WOP47"/>
      <c r="WOQ47"/>
      <c r="WOR47"/>
      <c r="WOS47"/>
      <c r="WOT47"/>
      <c r="WOU47"/>
      <c r="WOV47"/>
      <c r="WOW47"/>
      <c r="WOX47"/>
      <c r="WOY47"/>
      <c r="WOZ47"/>
      <c r="WPA47"/>
      <c r="WPB47"/>
      <c r="WPC47"/>
      <c r="WPD47"/>
      <c r="WPE47"/>
      <c r="WPF47"/>
      <c r="WPG47"/>
      <c r="WPH47"/>
      <c r="WPI47"/>
      <c r="WPJ47"/>
      <c r="WPK47"/>
      <c r="WPL47"/>
      <c r="WPM47"/>
      <c r="WPN47"/>
      <c r="WPO47"/>
      <c r="WPP47"/>
      <c r="WPQ47"/>
      <c r="WPR47"/>
      <c r="WPS47"/>
      <c r="WPT47"/>
      <c r="WPU47"/>
      <c r="WPV47"/>
      <c r="WPW47"/>
      <c r="WPX47"/>
      <c r="WPY47"/>
      <c r="WPZ47"/>
      <c r="WQA47"/>
      <c r="WQB47"/>
      <c r="WQC47"/>
      <c r="WQD47"/>
      <c r="WQE47"/>
      <c r="WQF47"/>
      <c r="WQG47"/>
      <c r="WQH47"/>
      <c r="WQI47"/>
      <c r="WQJ47"/>
      <c r="WQK47"/>
      <c r="WQL47"/>
      <c r="WQM47"/>
      <c r="WQN47"/>
      <c r="WQO47"/>
      <c r="WQP47"/>
      <c r="WQQ47"/>
      <c r="WQR47"/>
      <c r="WQS47"/>
      <c r="WQT47"/>
      <c r="WQU47"/>
      <c r="WQV47"/>
      <c r="WQW47"/>
      <c r="WQX47"/>
      <c r="WQY47"/>
      <c r="WQZ47"/>
      <c r="WRA47"/>
      <c r="WRB47"/>
      <c r="WRC47"/>
      <c r="WRD47"/>
      <c r="WRE47"/>
      <c r="WRF47"/>
      <c r="WRG47"/>
      <c r="WRH47"/>
      <c r="WRI47"/>
      <c r="WRJ47"/>
      <c r="WRK47"/>
      <c r="WRL47"/>
      <c r="WRM47"/>
      <c r="WRN47"/>
      <c r="WRO47"/>
      <c r="WRP47"/>
      <c r="WRQ47"/>
      <c r="WRR47"/>
      <c r="WRS47"/>
      <c r="WRT47"/>
      <c r="WRU47"/>
      <c r="WRV47"/>
      <c r="WRW47"/>
      <c r="WRX47"/>
      <c r="WRY47"/>
      <c r="WRZ47"/>
      <c r="WSA47"/>
      <c r="WSB47"/>
      <c r="WSC47"/>
      <c r="WSD47"/>
      <c r="WSE47"/>
      <c r="WSF47"/>
      <c r="WSG47"/>
      <c r="WSH47"/>
      <c r="WSI47"/>
      <c r="WSJ47"/>
      <c r="WSK47"/>
      <c r="WSL47"/>
      <c r="WSM47"/>
      <c r="WSN47"/>
      <c r="WSO47"/>
      <c r="WSP47"/>
      <c r="WSQ47"/>
      <c r="WSR47"/>
      <c r="WSS47"/>
      <c r="WST47"/>
      <c r="WSU47"/>
      <c r="WSV47"/>
      <c r="WSW47"/>
      <c r="WSX47"/>
      <c r="WSY47"/>
      <c r="WSZ47"/>
      <c r="WTA47"/>
      <c r="WTB47"/>
      <c r="WTC47"/>
      <c r="WTD47"/>
      <c r="WTE47"/>
      <c r="WTF47"/>
      <c r="WTG47"/>
      <c r="WTH47"/>
      <c r="WTI47"/>
      <c r="WTJ47"/>
      <c r="WTK47"/>
      <c r="WTL47"/>
      <c r="WTM47"/>
      <c r="WTN47"/>
      <c r="WTO47"/>
      <c r="WTP47"/>
      <c r="WTQ47"/>
      <c r="WTR47"/>
      <c r="WTS47"/>
      <c r="WTT47"/>
      <c r="WTU47"/>
      <c r="WTV47"/>
      <c r="WTW47"/>
      <c r="WTX47"/>
      <c r="WTY47"/>
      <c r="WTZ47"/>
      <c r="WUA47"/>
      <c r="WUB47"/>
      <c r="WUC47"/>
      <c r="WUD47"/>
      <c r="WUE47"/>
      <c r="WUF47"/>
      <c r="WUG47"/>
      <c r="WUH47"/>
      <c r="WUI47"/>
      <c r="WUJ47"/>
      <c r="WUK47"/>
      <c r="WUL47"/>
      <c r="WUM47"/>
      <c r="WUN47"/>
      <c r="WUO47"/>
      <c r="WUP47"/>
      <c r="WUQ47"/>
      <c r="WUR47"/>
      <c r="WUS47"/>
      <c r="WUT47"/>
      <c r="WUU47"/>
      <c r="WUV47"/>
      <c r="WUW47"/>
      <c r="WUX47"/>
      <c r="WUY47"/>
      <c r="WUZ47"/>
      <c r="WVA47"/>
      <c r="WVB47"/>
      <c r="WVC47"/>
      <c r="WVD47"/>
      <c r="WVE47"/>
      <c r="WVF47"/>
      <c r="WVG47"/>
      <c r="WVH47"/>
      <c r="WVI47"/>
      <c r="WVJ47"/>
      <c r="WVK47"/>
      <c r="WVL47"/>
      <c r="WVM47"/>
      <c r="WVN47"/>
      <c r="WVO47"/>
      <c r="WVP47"/>
      <c r="WVQ47"/>
      <c r="WVR47"/>
      <c r="WVS47"/>
      <c r="WVT47"/>
      <c r="WVU47"/>
      <c r="WVV47"/>
      <c r="WVW47"/>
      <c r="WVX47"/>
      <c r="WVY47"/>
      <c r="WVZ47"/>
      <c r="WWA47"/>
      <c r="WWB47"/>
      <c r="WWC47"/>
      <c r="WWD47"/>
      <c r="WWE47"/>
      <c r="WWF47"/>
      <c r="WWG47"/>
      <c r="WWH47"/>
      <c r="WWI47"/>
      <c r="WWJ47"/>
      <c r="WWK47"/>
      <c r="WWL47"/>
      <c r="WWM47"/>
      <c r="WWN47"/>
      <c r="WWO47"/>
      <c r="WWP47"/>
      <c r="WWQ47"/>
      <c r="WWR47"/>
      <c r="WWS47"/>
      <c r="WWT47"/>
      <c r="WWU47"/>
      <c r="WWV47"/>
      <c r="WWW47"/>
      <c r="WWX47"/>
      <c r="WWY47"/>
      <c r="WWZ47"/>
      <c r="WXA47"/>
      <c r="WXB47"/>
      <c r="WXC47"/>
      <c r="WXD47"/>
      <c r="WXE47"/>
      <c r="WXF47"/>
      <c r="WXG47"/>
      <c r="WXH47"/>
      <c r="WXI47"/>
      <c r="WXJ47"/>
      <c r="WXK47"/>
      <c r="WXL47"/>
      <c r="WXM47"/>
      <c r="WXN47"/>
      <c r="WXO47"/>
      <c r="WXP47"/>
      <c r="WXQ47"/>
      <c r="WXR47"/>
      <c r="WXS47"/>
      <c r="WXT47"/>
      <c r="WXU47"/>
      <c r="WXV47"/>
      <c r="WXW47"/>
      <c r="WXX47"/>
      <c r="WXY47"/>
      <c r="WXZ47"/>
      <c r="WYA47"/>
      <c r="WYB47"/>
      <c r="WYC47"/>
      <c r="WYD47"/>
      <c r="WYE47"/>
      <c r="WYF47"/>
      <c r="WYG47"/>
      <c r="WYH47"/>
      <c r="WYI47"/>
      <c r="WYJ47"/>
      <c r="WYK47"/>
      <c r="WYL47"/>
      <c r="WYM47"/>
      <c r="WYN47"/>
      <c r="WYO47"/>
      <c r="WYP47"/>
      <c r="WYQ47"/>
      <c r="WYR47"/>
      <c r="WYS47"/>
      <c r="WYT47"/>
      <c r="WYU47"/>
      <c r="WYV47"/>
      <c r="WYW47"/>
      <c r="WYX47"/>
      <c r="WYY47"/>
      <c r="WYZ47"/>
      <c r="WZA47"/>
      <c r="WZB47"/>
      <c r="WZC47"/>
      <c r="WZD47"/>
      <c r="WZE47"/>
      <c r="WZF47"/>
      <c r="WZG47"/>
      <c r="WZH47"/>
      <c r="WZI47"/>
      <c r="WZJ47"/>
      <c r="WZK47"/>
      <c r="WZL47"/>
      <c r="WZM47"/>
      <c r="WZN47"/>
      <c r="WZO47"/>
      <c r="WZP47"/>
      <c r="WZQ47"/>
      <c r="WZR47"/>
      <c r="WZS47"/>
      <c r="WZT47"/>
      <c r="WZU47"/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/>
      <c r="XBQ47"/>
      <c r="XBR47"/>
      <c r="XBS47"/>
      <c r="XBT47"/>
      <c r="XBU47"/>
      <c r="XBV47"/>
      <c r="XBW47"/>
      <c r="XBX47"/>
      <c r="XBY47"/>
      <c r="XBZ47"/>
      <c r="XCA47"/>
      <c r="XCB47"/>
      <c r="XCC47"/>
      <c r="XCD47"/>
      <c r="XCE47"/>
      <c r="XCF47"/>
      <c r="XCG47"/>
      <c r="XCH47"/>
      <c r="XCI47"/>
      <c r="XCJ47"/>
      <c r="XCK47"/>
      <c r="XCL47"/>
      <c r="XCM47"/>
      <c r="XCN47"/>
      <c r="XCO47"/>
      <c r="XCP47"/>
      <c r="XCQ47"/>
      <c r="XCR47"/>
      <c r="XCS47"/>
      <c r="XCT47"/>
      <c r="XCU47"/>
      <c r="XCV47"/>
      <c r="XCW47"/>
      <c r="XCX47"/>
      <c r="XCY47"/>
      <c r="XCZ47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  <c r="XEZ47"/>
    </row>
    <row r="48" spans="1:16380" x14ac:dyDescent="0.35">
      <c r="A48" s="49" t="s">
        <v>84</v>
      </c>
      <c r="B48" s="26" t="s">
        <v>159</v>
      </c>
      <c r="C48" s="59" t="s">
        <v>200</v>
      </c>
      <c r="D48" s="32" t="s">
        <v>249</v>
      </c>
      <c r="E48" s="27">
        <v>29904102102369</v>
      </c>
      <c r="F48" s="14" t="s">
        <v>36</v>
      </c>
      <c r="G48" s="30">
        <v>4000</v>
      </c>
      <c r="H48" s="30">
        <v>3000</v>
      </c>
      <c r="I48" s="30">
        <v>0</v>
      </c>
      <c r="J48" s="53">
        <v>1</v>
      </c>
      <c r="K48" s="9">
        <f t="shared" si="1"/>
        <v>3000</v>
      </c>
      <c r="L48" s="9">
        <v>0</v>
      </c>
      <c r="M48" s="9">
        <f t="shared" si="2"/>
        <v>30</v>
      </c>
      <c r="N48" s="9">
        <f t="shared" si="26"/>
        <v>0</v>
      </c>
      <c r="O48" s="10">
        <f t="shared" si="27"/>
        <v>133.33333333333334</v>
      </c>
      <c r="P48" s="10">
        <f t="shared" si="28"/>
        <v>100</v>
      </c>
      <c r="Q48" s="10">
        <f t="shared" si="29"/>
        <v>233.33333333333334</v>
      </c>
      <c r="R48" s="10">
        <f t="shared" si="30"/>
        <v>16.666666666666668</v>
      </c>
      <c r="S48" s="9">
        <v>37</v>
      </c>
      <c r="T48" s="9">
        <f t="shared" si="8"/>
        <v>616.66666666666674</v>
      </c>
      <c r="U48" s="9">
        <v>0</v>
      </c>
      <c r="V48" s="15">
        <f t="shared" si="9"/>
        <v>7616.666666666667</v>
      </c>
      <c r="W48" s="52">
        <v>0</v>
      </c>
      <c r="X48" s="29">
        <f t="shared" si="10"/>
        <v>0</v>
      </c>
      <c r="Y48" s="43">
        <v>0</v>
      </c>
      <c r="Z48" s="29">
        <f t="shared" si="24"/>
        <v>0</v>
      </c>
      <c r="AA48" s="29">
        <v>0</v>
      </c>
      <c r="AB48" s="29">
        <f t="shared" si="12"/>
        <v>0</v>
      </c>
      <c r="AC48" s="11">
        <f t="shared" si="13"/>
        <v>0</v>
      </c>
      <c r="AD48" s="4">
        <f t="shared" si="31"/>
        <v>7616.666666666667</v>
      </c>
      <c r="AE48" s="3">
        <f t="shared" si="14"/>
        <v>5384.6153846153848</v>
      </c>
      <c r="AF48" s="3">
        <f t="shared" si="15"/>
        <v>592.30769230769238</v>
      </c>
      <c r="AG48" s="1">
        <v>1666.6666666666667</v>
      </c>
      <c r="AH48" s="1">
        <f t="shared" si="16"/>
        <v>64292.307692307688</v>
      </c>
      <c r="AI48" s="1">
        <f t="shared" si="17"/>
        <v>241.1538461538461</v>
      </c>
      <c r="AJ48" s="3">
        <f t="shared" si="18"/>
        <v>3.8083333333333336</v>
      </c>
      <c r="AK48" s="4">
        <f t="shared" si="19"/>
        <v>6779.3967948717955</v>
      </c>
      <c r="AL48" s="3">
        <v>0</v>
      </c>
      <c r="AM48" s="4">
        <f t="shared" si="20"/>
        <v>6779.3967948717955</v>
      </c>
      <c r="AN48" s="1">
        <f t="shared" si="25"/>
        <v>1009.6153846153846</v>
      </c>
      <c r="AO48" s="46"/>
      <c r="AP48" s="55">
        <f t="shared" si="22"/>
        <v>8626.2820512820508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</row>
    <row r="49" spans="1:42" x14ac:dyDescent="0.35">
      <c r="A49" s="49" t="s">
        <v>85</v>
      </c>
      <c r="B49" s="26" t="s">
        <v>160</v>
      </c>
      <c r="C49" s="59" t="s">
        <v>200</v>
      </c>
      <c r="D49" s="32" t="s">
        <v>250</v>
      </c>
      <c r="E49" s="27">
        <v>29906232102533</v>
      </c>
      <c r="F49" s="14" t="s">
        <v>36</v>
      </c>
      <c r="G49" s="30">
        <v>4000</v>
      </c>
      <c r="H49" s="30">
        <v>3000</v>
      </c>
      <c r="I49" s="30">
        <v>0</v>
      </c>
      <c r="J49" s="53">
        <v>1</v>
      </c>
      <c r="K49" s="9">
        <f t="shared" si="1"/>
        <v>3000</v>
      </c>
      <c r="L49" s="9">
        <v>0</v>
      </c>
      <c r="M49" s="9">
        <f t="shared" si="2"/>
        <v>30</v>
      </c>
      <c r="N49" s="9">
        <f t="shared" si="26"/>
        <v>0</v>
      </c>
      <c r="O49" s="10">
        <f t="shared" si="27"/>
        <v>133.33333333333334</v>
      </c>
      <c r="P49" s="10">
        <f t="shared" si="28"/>
        <v>100</v>
      </c>
      <c r="Q49" s="10">
        <f t="shared" si="29"/>
        <v>233.33333333333334</v>
      </c>
      <c r="R49" s="10">
        <f t="shared" si="30"/>
        <v>16.666666666666668</v>
      </c>
      <c r="S49" s="9">
        <v>35</v>
      </c>
      <c r="T49" s="9">
        <f t="shared" si="8"/>
        <v>583.33333333333337</v>
      </c>
      <c r="U49" s="9">
        <v>0</v>
      </c>
      <c r="V49" s="15">
        <f t="shared" si="9"/>
        <v>7583.333333333333</v>
      </c>
      <c r="W49" s="52">
        <v>0</v>
      </c>
      <c r="X49" s="29">
        <f t="shared" si="10"/>
        <v>0</v>
      </c>
      <c r="Y49" s="43">
        <v>0</v>
      </c>
      <c r="Z49" s="29">
        <f t="shared" si="24"/>
        <v>0</v>
      </c>
      <c r="AA49" s="29">
        <v>0</v>
      </c>
      <c r="AB49" s="29">
        <f t="shared" si="12"/>
        <v>0</v>
      </c>
      <c r="AC49" s="11">
        <f t="shared" si="13"/>
        <v>0</v>
      </c>
      <c r="AD49" s="4">
        <f t="shared" si="31"/>
        <v>7583.333333333333</v>
      </c>
      <c r="AE49" s="3">
        <f t="shared" si="14"/>
        <v>5384.6153846153848</v>
      </c>
      <c r="AF49" s="3">
        <f t="shared" si="15"/>
        <v>592.30769230769238</v>
      </c>
      <c r="AG49" s="1">
        <v>1666.6666666666667</v>
      </c>
      <c r="AH49" s="1">
        <f t="shared" si="16"/>
        <v>63892.307692307688</v>
      </c>
      <c r="AI49" s="1">
        <f t="shared" si="17"/>
        <v>236.1538461538461</v>
      </c>
      <c r="AJ49" s="3">
        <f t="shared" si="18"/>
        <v>3.7916666666666665</v>
      </c>
      <c r="AK49" s="4">
        <f t="shared" si="19"/>
        <v>6751.0801282051279</v>
      </c>
      <c r="AL49" s="3">
        <v>0</v>
      </c>
      <c r="AM49" s="4">
        <f t="shared" si="20"/>
        <v>6751.0801282051279</v>
      </c>
      <c r="AN49" s="1">
        <f t="shared" si="25"/>
        <v>1009.6153846153846</v>
      </c>
      <c r="AO49" s="46"/>
      <c r="AP49" s="55">
        <f t="shared" si="22"/>
        <v>8592.9487179487169</v>
      </c>
    </row>
    <row r="50" spans="1:42" x14ac:dyDescent="0.35">
      <c r="A50" s="49" t="s">
        <v>86</v>
      </c>
      <c r="B50" s="26" t="s">
        <v>161</v>
      </c>
      <c r="C50" s="59" t="s">
        <v>200</v>
      </c>
      <c r="D50" s="32" t="s">
        <v>251</v>
      </c>
      <c r="E50" s="27">
        <v>30107062100358</v>
      </c>
      <c r="F50" s="14" t="s">
        <v>36</v>
      </c>
      <c r="G50" s="30">
        <v>4000</v>
      </c>
      <c r="H50" s="30">
        <v>3000</v>
      </c>
      <c r="I50" s="30">
        <v>0</v>
      </c>
      <c r="J50" s="53">
        <v>1</v>
      </c>
      <c r="K50" s="9">
        <f t="shared" si="1"/>
        <v>3000</v>
      </c>
      <c r="L50" s="9">
        <v>0</v>
      </c>
      <c r="M50" s="9">
        <f t="shared" si="2"/>
        <v>30</v>
      </c>
      <c r="N50" s="9">
        <f t="shared" si="26"/>
        <v>0</v>
      </c>
      <c r="O50" s="10">
        <f t="shared" si="27"/>
        <v>133.33333333333334</v>
      </c>
      <c r="P50" s="10">
        <f t="shared" si="28"/>
        <v>100</v>
      </c>
      <c r="Q50" s="10">
        <f t="shared" si="29"/>
        <v>233.33333333333334</v>
      </c>
      <c r="R50" s="10">
        <f t="shared" si="30"/>
        <v>16.666666666666668</v>
      </c>
      <c r="S50" s="9">
        <v>36</v>
      </c>
      <c r="T50" s="9">
        <f t="shared" si="8"/>
        <v>600</v>
      </c>
      <c r="U50" s="9">
        <v>0</v>
      </c>
      <c r="V50" s="15">
        <f t="shared" si="9"/>
        <v>7600</v>
      </c>
      <c r="W50" s="52">
        <v>0</v>
      </c>
      <c r="X50" s="29">
        <f t="shared" si="10"/>
        <v>0</v>
      </c>
      <c r="Y50" s="43">
        <v>2</v>
      </c>
      <c r="Z50" s="29">
        <f t="shared" si="24"/>
        <v>266.66666666666669</v>
      </c>
      <c r="AA50" s="29">
        <v>0</v>
      </c>
      <c r="AB50" s="29">
        <f t="shared" si="12"/>
        <v>0</v>
      </c>
      <c r="AC50" s="11">
        <f t="shared" si="13"/>
        <v>266.66666666666669</v>
      </c>
      <c r="AD50" s="4">
        <f t="shared" si="31"/>
        <v>7333.333333333333</v>
      </c>
      <c r="AE50" s="3">
        <f t="shared" si="14"/>
        <v>5384.6153846153848</v>
      </c>
      <c r="AF50" s="3">
        <f t="shared" si="15"/>
        <v>592.30769230769238</v>
      </c>
      <c r="AG50" s="1">
        <v>1666.6666666666667</v>
      </c>
      <c r="AH50" s="1">
        <f t="shared" si="16"/>
        <v>60892.307692307688</v>
      </c>
      <c r="AI50" s="1">
        <f t="shared" si="17"/>
        <v>198.6538461538461</v>
      </c>
      <c r="AJ50" s="3">
        <f t="shared" si="18"/>
        <v>3.6666666666666665</v>
      </c>
      <c r="AK50" s="4">
        <f t="shared" si="19"/>
        <v>6538.7051282051279</v>
      </c>
      <c r="AL50" s="3">
        <v>0</v>
      </c>
      <c r="AM50" s="4">
        <f t="shared" si="20"/>
        <v>6538.7051282051279</v>
      </c>
      <c r="AN50" s="1">
        <f t="shared" si="25"/>
        <v>1009.6153846153846</v>
      </c>
      <c r="AO50" s="46"/>
      <c r="AP50" s="55">
        <f t="shared" si="22"/>
        <v>8342.9487179487169</v>
      </c>
    </row>
    <row r="51" spans="1:42" x14ac:dyDescent="0.35">
      <c r="A51" s="49" t="s">
        <v>87</v>
      </c>
      <c r="B51" s="26" t="s">
        <v>162</v>
      </c>
      <c r="C51" s="59" t="s">
        <v>200</v>
      </c>
      <c r="D51" s="32" t="s">
        <v>252</v>
      </c>
      <c r="E51" s="27">
        <v>30011052104838</v>
      </c>
      <c r="F51" s="14" t="s">
        <v>36</v>
      </c>
      <c r="G51" s="30">
        <v>4000</v>
      </c>
      <c r="H51" s="30">
        <v>3000</v>
      </c>
      <c r="I51" s="30">
        <v>0</v>
      </c>
      <c r="J51" s="53">
        <v>1</v>
      </c>
      <c r="K51" s="9">
        <f t="shared" si="1"/>
        <v>3000</v>
      </c>
      <c r="L51" s="9">
        <v>0</v>
      </c>
      <c r="M51" s="9">
        <f t="shared" si="2"/>
        <v>30</v>
      </c>
      <c r="N51" s="9">
        <f t="shared" si="26"/>
        <v>0</v>
      </c>
      <c r="O51" s="10">
        <f t="shared" si="27"/>
        <v>133.33333333333334</v>
      </c>
      <c r="P51" s="10">
        <f t="shared" si="28"/>
        <v>100</v>
      </c>
      <c r="Q51" s="10">
        <f t="shared" si="29"/>
        <v>233.33333333333334</v>
      </c>
      <c r="R51" s="10">
        <f t="shared" si="30"/>
        <v>16.666666666666668</v>
      </c>
      <c r="S51" s="9">
        <v>37</v>
      </c>
      <c r="T51" s="9">
        <f t="shared" si="8"/>
        <v>616.66666666666674</v>
      </c>
      <c r="U51" s="9">
        <v>0</v>
      </c>
      <c r="V51" s="15">
        <f t="shared" si="9"/>
        <v>7616.666666666667</v>
      </c>
      <c r="W51" s="52">
        <v>0</v>
      </c>
      <c r="X51" s="29">
        <f t="shared" si="10"/>
        <v>0</v>
      </c>
      <c r="Y51" s="43">
        <v>0</v>
      </c>
      <c r="Z51" s="29">
        <f t="shared" si="24"/>
        <v>0</v>
      </c>
      <c r="AA51" s="29">
        <v>0</v>
      </c>
      <c r="AB51" s="29">
        <f t="shared" si="12"/>
        <v>0</v>
      </c>
      <c r="AC51" s="11">
        <f t="shared" si="13"/>
        <v>0</v>
      </c>
      <c r="AD51" s="4">
        <f t="shared" si="31"/>
        <v>7616.666666666667</v>
      </c>
      <c r="AE51" s="3">
        <f t="shared" si="14"/>
        <v>5384.6153846153848</v>
      </c>
      <c r="AF51" s="3">
        <f t="shared" si="15"/>
        <v>592.30769230769238</v>
      </c>
      <c r="AG51" s="1">
        <v>1666.6666666666667</v>
      </c>
      <c r="AH51" s="1">
        <f t="shared" si="16"/>
        <v>64292.307692307688</v>
      </c>
      <c r="AI51" s="1">
        <f t="shared" si="17"/>
        <v>241.1538461538461</v>
      </c>
      <c r="AJ51" s="3">
        <f t="shared" si="18"/>
        <v>3.8083333333333336</v>
      </c>
      <c r="AK51" s="4">
        <f t="shared" si="19"/>
        <v>6779.3967948717955</v>
      </c>
      <c r="AL51" s="3">
        <v>0</v>
      </c>
      <c r="AM51" s="4">
        <f t="shared" si="20"/>
        <v>6779.3967948717955</v>
      </c>
      <c r="AN51" s="1">
        <f t="shared" si="25"/>
        <v>1009.6153846153846</v>
      </c>
      <c r="AO51" s="46"/>
      <c r="AP51" s="55">
        <f t="shared" si="22"/>
        <v>8626.2820512820508</v>
      </c>
    </row>
    <row r="52" spans="1:42" x14ac:dyDescent="0.35">
      <c r="A52" s="49" t="s">
        <v>88</v>
      </c>
      <c r="B52" s="26" t="s">
        <v>163</v>
      </c>
      <c r="C52" s="59" t="s">
        <v>200</v>
      </c>
      <c r="D52" s="32" t="s">
        <v>253</v>
      </c>
      <c r="E52" s="27">
        <v>29710282102273</v>
      </c>
      <c r="F52" s="14" t="s">
        <v>36</v>
      </c>
      <c r="G52" s="30">
        <v>4000</v>
      </c>
      <c r="H52" s="30">
        <v>3000</v>
      </c>
      <c r="I52" s="30">
        <v>0</v>
      </c>
      <c r="J52" s="53">
        <v>1</v>
      </c>
      <c r="K52" s="9">
        <f t="shared" si="1"/>
        <v>3000</v>
      </c>
      <c r="L52" s="9">
        <v>0</v>
      </c>
      <c r="M52" s="9">
        <f t="shared" si="2"/>
        <v>30</v>
      </c>
      <c r="N52" s="9">
        <f t="shared" si="26"/>
        <v>0</v>
      </c>
      <c r="O52" s="10">
        <f t="shared" si="27"/>
        <v>133.33333333333334</v>
      </c>
      <c r="P52" s="10">
        <f t="shared" si="28"/>
        <v>100</v>
      </c>
      <c r="Q52" s="10">
        <f t="shared" si="29"/>
        <v>233.33333333333334</v>
      </c>
      <c r="R52" s="10">
        <f t="shared" si="30"/>
        <v>16.666666666666668</v>
      </c>
      <c r="S52" s="9">
        <v>35</v>
      </c>
      <c r="T52" s="9">
        <f t="shared" si="8"/>
        <v>583.33333333333337</v>
      </c>
      <c r="U52" s="9">
        <v>0</v>
      </c>
      <c r="V52" s="15">
        <f t="shared" si="9"/>
        <v>7583.333333333333</v>
      </c>
      <c r="W52" s="52">
        <v>0</v>
      </c>
      <c r="X52" s="29">
        <f t="shared" si="10"/>
        <v>0</v>
      </c>
      <c r="Y52" s="43">
        <v>0</v>
      </c>
      <c r="Z52" s="29">
        <f t="shared" si="24"/>
        <v>0</v>
      </c>
      <c r="AA52" s="29">
        <v>0</v>
      </c>
      <c r="AB52" s="29">
        <f t="shared" si="12"/>
        <v>0</v>
      </c>
      <c r="AC52" s="11">
        <f t="shared" si="13"/>
        <v>0</v>
      </c>
      <c r="AD52" s="4">
        <f t="shared" si="31"/>
        <v>7583.333333333333</v>
      </c>
      <c r="AE52" s="3">
        <f t="shared" si="14"/>
        <v>5384.6153846153848</v>
      </c>
      <c r="AF52" s="3">
        <f t="shared" si="15"/>
        <v>592.30769230769238</v>
      </c>
      <c r="AG52" s="1">
        <v>1666.6666666666667</v>
      </c>
      <c r="AH52" s="1">
        <f t="shared" si="16"/>
        <v>63892.307692307688</v>
      </c>
      <c r="AI52" s="1">
        <f t="shared" si="17"/>
        <v>236.1538461538461</v>
      </c>
      <c r="AJ52" s="3">
        <f t="shared" si="18"/>
        <v>3.7916666666666665</v>
      </c>
      <c r="AK52" s="4">
        <f t="shared" si="19"/>
        <v>6751.0801282051279</v>
      </c>
      <c r="AL52" s="3">
        <v>0</v>
      </c>
      <c r="AM52" s="4">
        <f t="shared" si="20"/>
        <v>6751.0801282051279</v>
      </c>
      <c r="AN52" s="1">
        <f t="shared" si="25"/>
        <v>1009.6153846153846</v>
      </c>
      <c r="AO52" s="46"/>
      <c r="AP52" s="55">
        <f t="shared" si="22"/>
        <v>8592.9487179487169</v>
      </c>
    </row>
    <row r="53" spans="1:42" x14ac:dyDescent="0.35">
      <c r="A53" s="49" t="s">
        <v>89</v>
      </c>
      <c r="B53" s="26" t="s">
        <v>164</v>
      </c>
      <c r="C53" s="59" t="s">
        <v>200</v>
      </c>
      <c r="D53" s="32" t="s">
        <v>254</v>
      </c>
      <c r="E53" s="27">
        <v>29908082100556</v>
      </c>
      <c r="F53" s="14" t="s">
        <v>36</v>
      </c>
      <c r="G53" s="30">
        <v>4000</v>
      </c>
      <c r="H53" s="30">
        <v>3000</v>
      </c>
      <c r="I53" s="30">
        <v>0</v>
      </c>
      <c r="J53" s="53">
        <v>1</v>
      </c>
      <c r="K53" s="9">
        <f t="shared" si="1"/>
        <v>3000</v>
      </c>
      <c r="L53" s="9">
        <v>0</v>
      </c>
      <c r="M53" s="9">
        <f t="shared" si="2"/>
        <v>30</v>
      </c>
      <c r="N53" s="9">
        <f t="shared" si="26"/>
        <v>0</v>
      </c>
      <c r="O53" s="10">
        <f t="shared" si="27"/>
        <v>133.33333333333334</v>
      </c>
      <c r="P53" s="10">
        <f t="shared" si="28"/>
        <v>100</v>
      </c>
      <c r="Q53" s="10">
        <f t="shared" si="29"/>
        <v>233.33333333333334</v>
      </c>
      <c r="R53" s="10">
        <f t="shared" si="30"/>
        <v>16.666666666666668</v>
      </c>
      <c r="S53" s="9">
        <v>35</v>
      </c>
      <c r="T53" s="9">
        <f t="shared" si="8"/>
        <v>583.33333333333337</v>
      </c>
      <c r="U53" s="9">
        <v>0</v>
      </c>
      <c r="V53" s="15">
        <f t="shared" si="9"/>
        <v>7583.333333333333</v>
      </c>
      <c r="W53" s="52">
        <v>0</v>
      </c>
      <c r="X53" s="29">
        <f t="shared" si="10"/>
        <v>0</v>
      </c>
      <c r="Y53" s="43">
        <v>0</v>
      </c>
      <c r="Z53" s="29">
        <f t="shared" si="24"/>
        <v>0</v>
      </c>
      <c r="AA53" s="29">
        <v>0</v>
      </c>
      <c r="AB53" s="29">
        <f t="shared" si="12"/>
        <v>0</v>
      </c>
      <c r="AC53" s="11">
        <f t="shared" si="13"/>
        <v>0</v>
      </c>
      <c r="AD53" s="4">
        <f t="shared" si="31"/>
        <v>7583.333333333333</v>
      </c>
      <c r="AE53" s="3">
        <f t="shared" si="14"/>
        <v>5384.6153846153848</v>
      </c>
      <c r="AF53" s="3">
        <f t="shared" si="15"/>
        <v>592.30769230769238</v>
      </c>
      <c r="AG53" s="1">
        <v>1666.6666666666667</v>
      </c>
      <c r="AH53" s="1">
        <f t="shared" si="16"/>
        <v>63892.307692307688</v>
      </c>
      <c r="AI53" s="1">
        <f t="shared" si="17"/>
        <v>236.1538461538461</v>
      </c>
      <c r="AJ53" s="3">
        <f t="shared" si="18"/>
        <v>3.7916666666666665</v>
      </c>
      <c r="AK53" s="4">
        <f t="shared" si="19"/>
        <v>6751.0801282051279</v>
      </c>
      <c r="AL53" s="3">
        <v>0</v>
      </c>
      <c r="AM53" s="4">
        <f t="shared" si="20"/>
        <v>6751.0801282051279</v>
      </c>
      <c r="AN53" s="1">
        <f t="shared" si="25"/>
        <v>1009.6153846153846</v>
      </c>
      <c r="AO53" s="46"/>
      <c r="AP53" s="55">
        <f t="shared" si="22"/>
        <v>8592.9487179487169</v>
      </c>
    </row>
    <row r="54" spans="1:42" x14ac:dyDescent="0.35">
      <c r="A54" s="49" t="s">
        <v>90</v>
      </c>
      <c r="B54" s="26" t="s">
        <v>165</v>
      </c>
      <c r="C54" s="40" t="s">
        <v>33</v>
      </c>
      <c r="D54" s="32" t="s">
        <v>255</v>
      </c>
      <c r="E54" s="27">
        <v>29710112101841</v>
      </c>
      <c r="F54" s="14" t="s">
        <v>197</v>
      </c>
      <c r="G54" s="30">
        <v>5000</v>
      </c>
      <c r="H54" s="30">
        <v>3000</v>
      </c>
      <c r="I54" s="30">
        <v>0</v>
      </c>
      <c r="J54" s="53">
        <v>1</v>
      </c>
      <c r="K54" s="9">
        <f t="shared" si="1"/>
        <v>3000</v>
      </c>
      <c r="L54" s="9">
        <v>0</v>
      </c>
      <c r="M54" s="9">
        <f t="shared" si="2"/>
        <v>30</v>
      </c>
      <c r="N54" s="9">
        <f t="shared" si="26"/>
        <v>0</v>
      </c>
      <c r="O54" s="10">
        <f t="shared" si="27"/>
        <v>166.66666666666666</v>
      </c>
      <c r="P54" s="10">
        <f t="shared" si="28"/>
        <v>100</v>
      </c>
      <c r="Q54" s="10">
        <f t="shared" si="29"/>
        <v>266.66666666666669</v>
      </c>
      <c r="R54" s="10">
        <f t="shared" si="30"/>
        <v>20.833333333333332</v>
      </c>
      <c r="S54" s="9">
        <v>16</v>
      </c>
      <c r="T54" s="9">
        <f t="shared" si="8"/>
        <v>333.33333333333331</v>
      </c>
      <c r="U54" s="9">
        <v>0</v>
      </c>
      <c r="V54" s="15">
        <f t="shared" si="9"/>
        <v>8333.3333333333339</v>
      </c>
      <c r="W54" s="52">
        <v>0</v>
      </c>
      <c r="X54" s="29">
        <f t="shared" si="10"/>
        <v>0</v>
      </c>
      <c r="Y54" s="43">
        <v>0</v>
      </c>
      <c r="Z54" s="29">
        <f t="shared" si="24"/>
        <v>0</v>
      </c>
      <c r="AA54" s="29">
        <v>0</v>
      </c>
      <c r="AB54" s="29">
        <f t="shared" si="12"/>
        <v>0</v>
      </c>
      <c r="AC54" s="11">
        <f t="shared" si="13"/>
        <v>0</v>
      </c>
      <c r="AD54" s="4">
        <f t="shared" si="31"/>
        <v>8333.3333333333339</v>
      </c>
      <c r="AE54" s="3">
        <f t="shared" si="14"/>
        <v>5384.6153846153848</v>
      </c>
      <c r="AF54" s="3">
        <f t="shared" si="15"/>
        <v>592.30769230769238</v>
      </c>
      <c r="AG54" s="1">
        <v>1666.6666666666667</v>
      </c>
      <c r="AH54" s="1">
        <f t="shared" si="16"/>
        <v>72892.307692307688</v>
      </c>
      <c r="AI54" s="1">
        <f t="shared" si="17"/>
        <v>360.70512820512812</v>
      </c>
      <c r="AJ54" s="3">
        <f t="shared" si="18"/>
        <v>4.166666666666667</v>
      </c>
      <c r="AK54" s="4">
        <f t="shared" si="19"/>
        <v>7376.1538461538466</v>
      </c>
      <c r="AL54" s="3">
        <v>0</v>
      </c>
      <c r="AM54" s="4">
        <f t="shared" si="20"/>
        <v>7376.1538461538466</v>
      </c>
      <c r="AN54" s="1">
        <f t="shared" si="25"/>
        <v>1009.6153846153846</v>
      </c>
      <c r="AO54" s="46"/>
      <c r="AP54" s="55">
        <f t="shared" si="22"/>
        <v>9342.9487179487187</v>
      </c>
    </row>
    <row r="55" spans="1:42" x14ac:dyDescent="0.35">
      <c r="A55" s="49" t="s">
        <v>91</v>
      </c>
      <c r="B55" s="25" t="s">
        <v>195</v>
      </c>
      <c r="C55" s="40" t="s">
        <v>193</v>
      </c>
      <c r="D55" s="33" t="s">
        <v>256</v>
      </c>
      <c r="E55" s="19">
        <v>29303112100221</v>
      </c>
      <c r="F55" s="51" t="s">
        <v>36</v>
      </c>
      <c r="G55" s="30">
        <v>4000</v>
      </c>
      <c r="H55" s="30">
        <v>3000</v>
      </c>
      <c r="I55" s="30">
        <v>900</v>
      </c>
      <c r="J55" s="53">
        <v>1</v>
      </c>
      <c r="K55" s="9">
        <f t="shared" si="1"/>
        <v>3000</v>
      </c>
      <c r="L55" s="9">
        <v>0</v>
      </c>
      <c r="M55" s="9">
        <f t="shared" si="2"/>
        <v>30</v>
      </c>
      <c r="N55" s="9">
        <f t="shared" si="26"/>
        <v>0</v>
      </c>
      <c r="O55" s="10">
        <f t="shared" si="27"/>
        <v>133.33333333333334</v>
      </c>
      <c r="P55" s="10">
        <f t="shared" si="28"/>
        <v>100</v>
      </c>
      <c r="Q55" s="10">
        <f t="shared" si="29"/>
        <v>233.33333333333334</v>
      </c>
      <c r="R55" s="10">
        <f t="shared" si="30"/>
        <v>16.666666666666668</v>
      </c>
      <c r="S55" s="9">
        <v>16</v>
      </c>
      <c r="T55" s="9">
        <f t="shared" si="8"/>
        <v>266.66666666666669</v>
      </c>
      <c r="U55" s="9">
        <v>0</v>
      </c>
      <c r="V55" s="15">
        <f t="shared" si="9"/>
        <v>8166.666666666667</v>
      </c>
      <c r="W55" s="52">
        <v>0</v>
      </c>
      <c r="X55" s="29">
        <f t="shared" si="10"/>
        <v>0</v>
      </c>
      <c r="Y55" s="43">
        <v>0</v>
      </c>
      <c r="Z55" s="29">
        <f t="shared" si="24"/>
        <v>0</v>
      </c>
      <c r="AA55" s="29">
        <v>0</v>
      </c>
      <c r="AB55" s="29">
        <f t="shared" si="12"/>
        <v>0</v>
      </c>
      <c r="AC55" s="11">
        <f t="shared" si="13"/>
        <v>0</v>
      </c>
      <c r="AD55" s="4">
        <f t="shared" si="31"/>
        <v>8166.666666666667</v>
      </c>
      <c r="AE55" s="3">
        <f t="shared" si="14"/>
        <v>5384.6153846153848</v>
      </c>
      <c r="AF55" s="3">
        <f t="shared" si="15"/>
        <v>592.30769230769238</v>
      </c>
      <c r="AG55" s="1">
        <v>1666.6666666666667</v>
      </c>
      <c r="AH55" s="1">
        <f t="shared" si="16"/>
        <v>70892.307692307688</v>
      </c>
      <c r="AI55" s="1">
        <f t="shared" si="17"/>
        <v>327.3717948717948</v>
      </c>
      <c r="AJ55" s="3">
        <f t="shared" si="18"/>
        <v>4.0833333333333339</v>
      </c>
      <c r="AK55" s="4">
        <f t="shared" si="19"/>
        <v>7242.9038461538466</v>
      </c>
      <c r="AL55" s="3">
        <v>0</v>
      </c>
      <c r="AM55" s="4">
        <f t="shared" si="20"/>
        <v>7242.9038461538466</v>
      </c>
      <c r="AN55" s="1">
        <f t="shared" si="25"/>
        <v>1009.6153846153846</v>
      </c>
      <c r="AO55" s="46"/>
      <c r="AP55" s="55">
        <f t="shared" si="22"/>
        <v>9176.2820512820508</v>
      </c>
    </row>
    <row r="56" spans="1:42" x14ac:dyDescent="0.35">
      <c r="A56" s="49" t="s">
        <v>92</v>
      </c>
      <c r="B56" s="25" t="s">
        <v>194</v>
      </c>
      <c r="C56" s="59" t="s">
        <v>200</v>
      </c>
      <c r="D56" s="33" t="s">
        <v>257</v>
      </c>
      <c r="E56" s="19">
        <v>29812030100429</v>
      </c>
      <c r="F56" s="14" t="s">
        <v>36</v>
      </c>
      <c r="G56" s="30">
        <v>4000</v>
      </c>
      <c r="H56" s="30">
        <v>3000</v>
      </c>
      <c r="I56" s="30">
        <v>0</v>
      </c>
      <c r="J56" s="53">
        <v>1</v>
      </c>
      <c r="K56" s="9">
        <f t="shared" si="1"/>
        <v>3000</v>
      </c>
      <c r="L56" s="9">
        <v>0</v>
      </c>
      <c r="M56" s="9">
        <f t="shared" si="2"/>
        <v>30</v>
      </c>
      <c r="N56" s="9">
        <f t="shared" si="26"/>
        <v>0</v>
      </c>
      <c r="O56" s="10">
        <f t="shared" si="27"/>
        <v>133.33333333333334</v>
      </c>
      <c r="P56" s="10">
        <f t="shared" si="28"/>
        <v>100</v>
      </c>
      <c r="Q56" s="10">
        <f t="shared" si="29"/>
        <v>233.33333333333334</v>
      </c>
      <c r="R56" s="10">
        <f t="shared" si="30"/>
        <v>16.666666666666668</v>
      </c>
      <c r="S56" s="9">
        <v>37</v>
      </c>
      <c r="T56" s="9">
        <f t="shared" si="8"/>
        <v>616.66666666666674</v>
      </c>
      <c r="U56" s="9">
        <v>0</v>
      </c>
      <c r="V56" s="15">
        <f t="shared" si="9"/>
        <v>7616.666666666667</v>
      </c>
      <c r="W56" s="52">
        <v>0</v>
      </c>
      <c r="X56" s="29">
        <f t="shared" si="10"/>
        <v>0</v>
      </c>
      <c r="Y56" s="43">
        <v>0</v>
      </c>
      <c r="Z56" s="29">
        <f t="shared" si="24"/>
        <v>0</v>
      </c>
      <c r="AA56" s="29">
        <v>0</v>
      </c>
      <c r="AB56" s="29">
        <f t="shared" si="12"/>
        <v>0</v>
      </c>
      <c r="AC56" s="11">
        <f t="shared" si="13"/>
        <v>0</v>
      </c>
      <c r="AD56" s="4">
        <f t="shared" si="31"/>
        <v>7616.666666666667</v>
      </c>
      <c r="AE56" s="3">
        <f t="shared" si="14"/>
        <v>5384.6153846153848</v>
      </c>
      <c r="AF56" s="3">
        <f t="shared" si="15"/>
        <v>592.30769230769238</v>
      </c>
      <c r="AG56" s="1">
        <v>1666.6666666666667</v>
      </c>
      <c r="AH56" s="1">
        <f t="shared" si="16"/>
        <v>64292.307692307688</v>
      </c>
      <c r="AI56" s="1">
        <f t="shared" si="17"/>
        <v>241.1538461538461</v>
      </c>
      <c r="AJ56" s="3">
        <f t="shared" si="18"/>
        <v>3.8083333333333336</v>
      </c>
      <c r="AK56" s="4">
        <f t="shared" si="19"/>
        <v>6779.3967948717955</v>
      </c>
      <c r="AL56" s="3">
        <v>0</v>
      </c>
      <c r="AM56" s="4">
        <f t="shared" si="20"/>
        <v>6779.3967948717955</v>
      </c>
      <c r="AN56" s="1">
        <f t="shared" si="25"/>
        <v>1009.6153846153846</v>
      </c>
      <c r="AO56" s="46"/>
      <c r="AP56" s="55">
        <f t="shared" si="22"/>
        <v>8626.2820512820508</v>
      </c>
    </row>
    <row r="57" spans="1:42" x14ac:dyDescent="0.35">
      <c r="A57" s="49" t="s">
        <v>93</v>
      </c>
      <c r="B57" s="25" t="s">
        <v>166</v>
      </c>
      <c r="C57" s="59" t="s">
        <v>200</v>
      </c>
      <c r="D57" s="33" t="s">
        <v>258</v>
      </c>
      <c r="E57" s="19">
        <v>29707030100943</v>
      </c>
      <c r="F57" s="14" t="s">
        <v>36</v>
      </c>
      <c r="G57" s="30">
        <v>4000</v>
      </c>
      <c r="H57" s="30">
        <v>3000</v>
      </c>
      <c r="I57" s="30">
        <v>0</v>
      </c>
      <c r="J57" s="53">
        <v>1</v>
      </c>
      <c r="K57" s="9">
        <f t="shared" si="1"/>
        <v>3000</v>
      </c>
      <c r="L57" s="9">
        <v>0</v>
      </c>
      <c r="M57" s="9">
        <f t="shared" si="2"/>
        <v>30</v>
      </c>
      <c r="N57" s="9">
        <f t="shared" si="26"/>
        <v>0</v>
      </c>
      <c r="O57" s="10">
        <f t="shared" si="27"/>
        <v>133.33333333333334</v>
      </c>
      <c r="P57" s="10">
        <f t="shared" si="28"/>
        <v>100</v>
      </c>
      <c r="Q57" s="10">
        <f t="shared" si="29"/>
        <v>233.33333333333334</v>
      </c>
      <c r="R57" s="10">
        <f t="shared" si="30"/>
        <v>16.666666666666668</v>
      </c>
      <c r="S57" s="9">
        <v>33</v>
      </c>
      <c r="T57" s="9">
        <f t="shared" si="8"/>
        <v>550</v>
      </c>
      <c r="U57" s="9">
        <v>0</v>
      </c>
      <c r="V57" s="15">
        <f t="shared" si="9"/>
        <v>7550</v>
      </c>
      <c r="W57" s="52">
        <v>0</v>
      </c>
      <c r="X57" s="29">
        <f t="shared" si="10"/>
        <v>0</v>
      </c>
      <c r="Y57" s="43">
        <v>4</v>
      </c>
      <c r="Z57" s="29">
        <f t="shared" si="24"/>
        <v>533.33333333333337</v>
      </c>
      <c r="AA57" s="29">
        <v>0</v>
      </c>
      <c r="AB57" s="29">
        <f t="shared" si="12"/>
        <v>0</v>
      </c>
      <c r="AC57" s="11">
        <f t="shared" si="13"/>
        <v>533.33333333333337</v>
      </c>
      <c r="AD57" s="4">
        <f t="shared" si="31"/>
        <v>7016.666666666667</v>
      </c>
      <c r="AE57" s="3">
        <f t="shared" si="14"/>
        <v>5384.6153846153848</v>
      </c>
      <c r="AF57" s="3">
        <f t="shared" si="15"/>
        <v>592.30769230769238</v>
      </c>
      <c r="AG57" s="1">
        <v>1666.6666666666667</v>
      </c>
      <c r="AH57" s="1">
        <f t="shared" si="16"/>
        <v>57092.307692307688</v>
      </c>
      <c r="AI57" s="1">
        <f t="shared" si="17"/>
        <v>151.1538461538461</v>
      </c>
      <c r="AJ57" s="3">
        <f t="shared" si="18"/>
        <v>3.5083333333333337</v>
      </c>
      <c r="AK57" s="4">
        <f t="shared" si="19"/>
        <v>6269.6967948717956</v>
      </c>
      <c r="AL57" s="3">
        <v>0</v>
      </c>
      <c r="AM57" s="4">
        <f t="shared" si="20"/>
        <v>6269.6967948717956</v>
      </c>
      <c r="AN57" s="1">
        <f t="shared" si="25"/>
        <v>1009.6153846153846</v>
      </c>
      <c r="AO57" s="46"/>
      <c r="AP57" s="55">
        <f t="shared" si="22"/>
        <v>8026.2820512820517</v>
      </c>
    </row>
    <row r="58" spans="1:42" x14ac:dyDescent="0.35">
      <c r="A58" s="49" t="s">
        <v>94</v>
      </c>
      <c r="B58" s="25" t="s">
        <v>167</v>
      </c>
      <c r="C58" s="59" t="s">
        <v>200</v>
      </c>
      <c r="D58" s="33" t="s">
        <v>259</v>
      </c>
      <c r="E58" s="19">
        <v>30609192104563</v>
      </c>
      <c r="F58" s="14" t="s">
        <v>36</v>
      </c>
      <c r="G58" s="30">
        <v>4000</v>
      </c>
      <c r="H58" s="30">
        <v>3000</v>
      </c>
      <c r="I58" s="30">
        <v>0</v>
      </c>
      <c r="J58" s="53">
        <v>1</v>
      </c>
      <c r="K58" s="9">
        <f t="shared" si="1"/>
        <v>3000</v>
      </c>
      <c r="L58" s="9">
        <v>0</v>
      </c>
      <c r="M58" s="9">
        <f t="shared" si="2"/>
        <v>30</v>
      </c>
      <c r="N58" s="9">
        <f t="shared" si="26"/>
        <v>0</v>
      </c>
      <c r="O58" s="10">
        <f t="shared" si="27"/>
        <v>133.33333333333334</v>
      </c>
      <c r="P58" s="10">
        <f t="shared" si="28"/>
        <v>100</v>
      </c>
      <c r="Q58" s="10">
        <f t="shared" si="29"/>
        <v>233.33333333333334</v>
      </c>
      <c r="R58" s="10">
        <f t="shared" si="30"/>
        <v>16.666666666666668</v>
      </c>
      <c r="S58" s="9">
        <v>35</v>
      </c>
      <c r="T58" s="9">
        <f t="shared" si="8"/>
        <v>583.33333333333337</v>
      </c>
      <c r="U58" s="9">
        <v>0</v>
      </c>
      <c r="V58" s="15">
        <f t="shared" si="9"/>
        <v>7583.333333333333</v>
      </c>
      <c r="W58" s="52">
        <v>0</v>
      </c>
      <c r="X58" s="29">
        <f t="shared" si="10"/>
        <v>0</v>
      </c>
      <c r="Y58" s="43">
        <v>4</v>
      </c>
      <c r="Z58" s="29">
        <f t="shared" si="24"/>
        <v>533.33333333333337</v>
      </c>
      <c r="AA58" s="29">
        <v>0</v>
      </c>
      <c r="AB58" s="29">
        <f t="shared" si="12"/>
        <v>0</v>
      </c>
      <c r="AC58" s="11">
        <f t="shared" si="13"/>
        <v>533.33333333333337</v>
      </c>
      <c r="AD58" s="4">
        <f t="shared" si="31"/>
        <v>7050</v>
      </c>
      <c r="AE58" s="3">
        <f t="shared" si="14"/>
        <v>5384.6153846153848</v>
      </c>
      <c r="AF58" s="3">
        <f t="shared" si="15"/>
        <v>592.30769230769238</v>
      </c>
      <c r="AG58" s="1">
        <v>1666.6666666666667</v>
      </c>
      <c r="AH58" s="1">
        <f t="shared" si="16"/>
        <v>57492.307692307688</v>
      </c>
      <c r="AI58" s="1">
        <f t="shared" si="17"/>
        <v>156.1538461538461</v>
      </c>
      <c r="AJ58" s="3">
        <f t="shared" si="18"/>
        <v>3.5249999999999999</v>
      </c>
      <c r="AK58" s="4">
        <f t="shared" si="19"/>
        <v>6298.0134615384623</v>
      </c>
      <c r="AL58" s="3">
        <v>0</v>
      </c>
      <c r="AM58" s="4">
        <f t="shared" si="20"/>
        <v>6298.0134615384623</v>
      </c>
      <c r="AN58" s="1">
        <f t="shared" si="25"/>
        <v>1009.6153846153846</v>
      </c>
      <c r="AO58" s="46"/>
      <c r="AP58" s="55">
        <f t="shared" si="22"/>
        <v>8059.6153846153848</v>
      </c>
    </row>
    <row r="59" spans="1:42" x14ac:dyDescent="0.35">
      <c r="A59" s="49" t="s">
        <v>95</v>
      </c>
      <c r="B59" s="25" t="s">
        <v>168</v>
      </c>
      <c r="C59" s="40" t="s">
        <v>33</v>
      </c>
      <c r="D59" s="33" t="s">
        <v>260</v>
      </c>
      <c r="E59" s="19">
        <v>30203052701042</v>
      </c>
      <c r="F59" s="14" t="s">
        <v>36</v>
      </c>
      <c r="G59" s="30">
        <v>4000</v>
      </c>
      <c r="H59" s="30">
        <v>3000</v>
      </c>
      <c r="I59" s="30">
        <v>900</v>
      </c>
      <c r="J59" s="53">
        <v>1</v>
      </c>
      <c r="K59" s="9">
        <f t="shared" si="1"/>
        <v>3000</v>
      </c>
      <c r="L59" s="9">
        <v>0</v>
      </c>
      <c r="M59" s="9">
        <f t="shared" si="2"/>
        <v>30</v>
      </c>
      <c r="N59" s="9">
        <f t="shared" si="26"/>
        <v>0</v>
      </c>
      <c r="O59" s="10">
        <f t="shared" si="27"/>
        <v>133.33333333333334</v>
      </c>
      <c r="P59" s="10">
        <f t="shared" si="28"/>
        <v>100</v>
      </c>
      <c r="Q59" s="10">
        <f t="shared" si="29"/>
        <v>233.33333333333334</v>
      </c>
      <c r="R59" s="10">
        <f t="shared" si="30"/>
        <v>16.666666666666668</v>
      </c>
      <c r="S59" s="9">
        <v>16</v>
      </c>
      <c r="T59" s="9">
        <f t="shared" si="8"/>
        <v>266.66666666666669</v>
      </c>
      <c r="U59" s="9">
        <v>0</v>
      </c>
      <c r="V59" s="15">
        <f t="shared" si="9"/>
        <v>8166.666666666667</v>
      </c>
      <c r="W59" s="52">
        <v>0</v>
      </c>
      <c r="X59" s="29">
        <f t="shared" si="10"/>
        <v>0</v>
      </c>
      <c r="Y59" s="43">
        <v>0</v>
      </c>
      <c r="Z59" s="29">
        <f t="shared" si="24"/>
        <v>0</v>
      </c>
      <c r="AA59" s="29">
        <v>0</v>
      </c>
      <c r="AB59" s="29">
        <f t="shared" si="12"/>
        <v>0</v>
      </c>
      <c r="AC59" s="11">
        <f t="shared" si="13"/>
        <v>0</v>
      </c>
      <c r="AD59" s="4">
        <f t="shared" si="31"/>
        <v>8166.666666666667</v>
      </c>
      <c r="AE59" s="3">
        <f t="shared" si="14"/>
        <v>5384.6153846153848</v>
      </c>
      <c r="AF59" s="3">
        <f t="shared" si="15"/>
        <v>592.30769230769238</v>
      </c>
      <c r="AG59" s="1">
        <v>1666.6666666666667</v>
      </c>
      <c r="AH59" s="1">
        <f t="shared" si="16"/>
        <v>70892.307692307688</v>
      </c>
      <c r="AI59" s="1">
        <f t="shared" si="17"/>
        <v>327.3717948717948</v>
      </c>
      <c r="AJ59" s="3">
        <f t="shared" si="18"/>
        <v>4.0833333333333339</v>
      </c>
      <c r="AK59" s="4">
        <f t="shared" si="19"/>
        <v>7242.9038461538466</v>
      </c>
      <c r="AL59" s="3">
        <v>0</v>
      </c>
      <c r="AM59" s="4">
        <f t="shared" si="20"/>
        <v>7242.9038461538466</v>
      </c>
      <c r="AN59" s="1">
        <f t="shared" si="25"/>
        <v>1009.6153846153846</v>
      </c>
      <c r="AO59" s="46"/>
      <c r="AP59" s="55">
        <f t="shared" si="22"/>
        <v>9176.2820512820508</v>
      </c>
    </row>
    <row r="60" spans="1:42" x14ac:dyDescent="0.35">
      <c r="A60" s="49" t="s">
        <v>96</v>
      </c>
      <c r="B60" s="25" t="s">
        <v>169</v>
      </c>
      <c r="C60" s="59" t="s">
        <v>200</v>
      </c>
      <c r="D60" s="33" t="s">
        <v>261</v>
      </c>
      <c r="E60" s="19">
        <v>30404150101342</v>
      </c>
      <c r="F60" s="14" t="s">
        <v>36</v>
      </c>
      <c r="G60" s="30">
        <v>4000</v>
      </c>
      <c r="H60" s="30">
        <v>3000</v>
      </c>
      <c r="I60" s="30">
        <v>0</v>
      </c>
      <c r="J60" s="53">
        <v>1</v>
      </c>
      <c r="K60" s="9">
        <f t="shared" si="1"/>
        <v>3000</v>
      </c>
      <c r="L60" s="9">
        <v>0</v>
      </c>
      <c r="M60" s="9">
        <f t="shared" si="2"/>
        <v>30</v>
      </c>
      <c r="N60" s="9">
        <f t="shared" si="26"/>
        <v>0</v>
      </c>
      <c r="O60" s="10">
        <f t="shared" si="27"/>
        <v>133.33333333333334</v>
      </c>
      <c r="P60" s="10">
        <f t="shared" si="28"/>
        <v>100</v>
      </c>
      <c r="Q60" s="10">
        <f t="shared" si="29"/>
        <v>233.33333333333334</v>
      </c>
      <c r="R60" s="10">
        <f t="shared" si="30"/>
        <v>16.666666666666668</v>
      </c>
      <c r="S60" s="9">
        <v>34</v>
      </c>
      <c r="T60" s="9">
        <f t="shared" si="8"/>
        <v>566.66666666666674</v>
      </c>
      <c r="U60" s="9">
        <v>0</v>
      </c>
      <c r="V60" s="15">
        <f t="shared" si="9"/>
        <v>7566.666666666667</v>
      </c>
      <c r="W60" s="52">
        <v>0</v>
      </c>
      <c r="X60" s="29">
        <f t="shared" si="10"/>
        <v>0</v>
      </c>
      <c r="Y60" s="43">
        <v>0</v>
      </c>
      <c r="Z60" s="29">
        <f t="shared" si="24"/>
        <v>0</v>
      </c>
      <c r="AA60" s="29">
        <v>0</v>
      </c>
      <c r="AB60" s="29">
        <f t="shared" si="12"/>
        <v>0</v>
      </c>
      <c r="AC60" s="11">
        <f t="shared" si="13"/>
        <v>0</v>
      </c>
      <c r="AD60" s="4">
        <f t="shared" si="31"/>
        <v>7566.666666666667</v>
      </c>
      <c r="AE60" s="3">
        <f t="shared" si="14"/>
        <v>5384.6153846153848</v>
      </c>
      <c r="AF60" s="3">
        <f t="shared" si="15"/>
        <v>592.30769230769238</v>
      </c>
      <c r="AG60" s="1">
        <v>1666.6666666666667</v>
      </c>
      <c r="AH60" s="1">
        <f t="shared" si="16"/>
        <v>63692.307692307688</v>
      </c>
      <c r="AI60" s="1">
        <f t="shared" si="17"/>
        <v>233.6538461538461</v>
      </c>
      <c r="AJ60" s="3">
        <f t="shared" si="18"/>
        <v>3.7833333333333337</v>
      </c>
      <c r="AK60" s="4">
        <f t="shared" si="19"/>
        <v>6736.9217948717951</v>
      </c>
      <c r="AL60" s="3">
        <v>0</v>
      </c>
      <c r="AM60" s="4">
        <f t="shared" si="20"/>
        <v>6736.9217948717951</v>
      </c>
      <c r="AN60" s="1">
        <f t="shared" si="25"/>
        <v>1009.6153846153846</v>
      </c>
      <c r="AO60" s="46"/>
      <c r="AP60" s="55">
        <f t="shared" si="22"/>
        <v>8576.2820512820508</v>
      </c>
    </row>
    <row r="61" spans="1:42" x14ac:dyDescent="0.35">
      <c r="A61" s="49" t="s">
        <v>97</v>
      </c>
      <c r="B61" s="25" t="s">
        <v>170</v>
      </c>
      <c r="C61" s="59" t="s">
        <v>200</v>
      </c>
      <c r="D61" s="33" t="s">
        <v>262</v>
      </c>
      <c r="E61" s="19">
        <v>28405210100305</v>
      </c>
      <c r="F61" s="14" t="s">
        <v>36</v>
      </c>
      <c r="G61" s="30">
        <v>4000</v>
      </c>
      <c r="H61" s="30">
        <v>3000</v>
      </c>
      <c r="I61" s="30">
        <v>0</v>
      </c>
      <c r="J61" s="53">
        <v>1</v>
      </c>
      <c r="K61" s="9">
        <f t="shared" si="1"/>
        <v>3000</v>
      </c>
      <c r="L61" s="9">
        <v>0</v>
      </c>
      <c r="M61" s="9">
        <f t="shared" si="2"/>
        <v>30</v>
      </c>
      <c r="N61" s="9">
        <f t="shared" si="26"/>
        <v>0</v>
      </c>
      <c r="O61" s="10">
        <f t="shared" si="27"/>
        <v>133.33333333333334</v>
      </c>
      <c r="P61" s="10">
        <f t="shared" si="28"/>
        <v>100</v>
      </c>
      <c r="Q61" s="10">
        <f t="shared" si="29"/>
        <v>233.33333333333334</v>
      </c>
      <c r="R61" s="10">
        <f t="shared" si="30"/>
        <v>16.666666666666668</v>
      </c>
      <c r="S61" s="9">
        <v>34</v>
      </c>
      <c r="T61" s="9">
        <f t="shared" si="8"/>
        <v>566.66666666666674</v>
      </c>
      <c r="U61" s="9">
        <v>0</v>
      </c>
      <c r="V61" s="15">
        <f t="shared" si="9"/>
        <v>7566.666666666667</v>
      </c>
      <c r="W61" s="52">
        <v>0</v>
      </c>
      <c r="X61" s="29">
        <f t="shared" si="10"/>
        <v>0</v>
      </c>
      <c r="Y61" s="43">
        <v>0</v>
      </c>
      <c r="Z61" s="29">
        <f t="shared" si="24"/>
        <v>0</v>
      </c>
      <c r="AA61" s="29">
        <v>0</v>
      </c>
      <c r="AB61" s="29">
        <f t="shared" si="12"/>
        <v>0</v>
      </c>
      <c r="AC61" s="11">
        <f t="shared" si="13"/>
        <v>0</v>
      </c>
      <c r="AD61" s="4">
        <f t="shared" si="31"/>
        <v>7566.666666666667</v>
      </c>
      <c r="AE61" s="3">
        <f t="shared" si="14"/>
        <v>5384.6153846153848</v>
      </c>
      <c r="AF61" s="3">
        <f t="shared" si="15"/>
        <v>592.30769230769238</v>
      </c>
      <c r="AG61" s="1">
        <v>1666.6666666666667</v>
      </c>
      <c r="AH61" s="1">
        <f t="shared" si="16"/>
        <v>63692.307692307688</v>
      </c>
      <c r="AI61" s="1">
        <f t="shared" si="17"/>
        <v>233.6538461538461</v>
      </c>
      <c r="AJ61" s="3">
        <f t="shared" si="18"/>
        <v>3.7833333333333337</v>
      </c>
      <c r="AK61" s="4">
        <f t="shared" si="19"/>
        <v>6736.9217948717951</v>
      </c>
      <c r="AL61" s="3">
        <v>0</v>
      </c>
      <c r="AM61" s="4">
        <f t="shared" si="20"/>
        <v>6736.9217948717951</v>
      </c>
      <c r="AN61" s="1">
        <f t="shared" si="25"/>
        <v>1009.6153846153846</v>
      </c>
      <c r="AO61" s="46"/>
      <c r="AP61" s="55">
        <f t="shared" si="22"/>
        <v>8576.2820512820508</v>
      </c>
    </row>
    <row r="62" spans="1:42" x14ac:dyDescent="0.35">
      <c r="A62" s="49" t="s">
        <v>98</v>
      </c>
      <c r="B62" s="25" t="s">
        <v>171</v>
      </c>
      <c r="C62" s="59" t="s">
        <v>200</v>
      </c>
      <c r="D62" s="33" t="s">
        <v>263</v>
      </c>
      <c r="E62" s="19">
        <v>27901130100448</v>
      </c>
      <c r="F62" s="14" t="s">
        <v>36</v>
      </c>
      <c r="G62" s="30">
        <v>4000</v>
      </c>
      <c r="H62" s="30">
        <v>3000</v>
      </c>
      <c r="I62" s="30">
        <v>0</v>
      </c>
      <c r="J62" s="53">
        <v>1</v>
      </c>
      <c r="K62" s="9">
        <f t="shared" si="1"/>
        <v>3000</v>
      </c>
      <c r="L62" s="9">
        <v>0</v>
      </c>
      <c r="M62" s="9">
        <f t="shared" si="2"/>
        <v>30</v>
      </c>
      <c r="N62" s="9">
        <f t="shared" si="26"/>
        <v>0</v>
      </c>
      <c r="O62" s="10">
        <f t="shared" si="27"/>
        <v>133.33333333333334</v>
      </c>
      <c r="P62" s="10">
        <f t="shared" si="28"/>
        <v>100</v>
      </c>
      <c r="Q62" s="10">
        <f t="shared" si="29"/>
        <v>233.33333333333334</v>
      </c>
      <c r="R62" s="10">
        <f t="shared" si="30"/>
        <v>16.666666666666668</v>
      </c>
      <c r="S62" s="9">
        <v>34</v>
      </c>
      <c r="T62" s="9">
        <f t="shared" si="8"/>
        <v>566.66666666666674</v>
      </c>
      <c r="U62" s="9">
        <v>0</v>
      </c>
      <c r="V62" s="15">
        <f t="shared" si="9"/>
        <v>7566.666666666667</v>
      </c>
      <c r="W62" s="52">
        <v>0</v>
      </c>
      <c r="X62" s="29">
        <f t="shared" si="10"/>
        <v>0</v>
      </c>
      <c r="Y62" s="43">
        <v>0</v>
      </c>
      <c r="Z62" s="29">
        <f t="shared" si="24"/>
        <v>0</v>
      </c>
      <c r="AA62" s="29">
        <v>0</v>
      </c>
      <c r="AB62" s="29">
        <f t="shared" si="12"/>
        <v>0</v>
      </c>
      <c r="AC62" s="11">
        <f t="shared" si="13"/>
        <v>0</v>
      </c>
      <c r="AD62" s="4">
        <f t="shared" si="31"/>
        <v>7566.666666666667</v>
      </c>
      <c r="AE62" s="3">
        <f t="shared" si="14"/>
        <v>5384.6153846153848</v>
      </c>
      <c r="AF62" s="3">
        <f t="shared" si="15"/>
        <v>592.30769230769238</v>
      </c>
      <c r="AG62" s="1">
        <v>1666.6666666666667</v>
      </c>
      <c r="AH62" s="1">
        <f t="shared" si="16"/>
        <v>63692.307692307688</v>
      </c>
      <c r="AI62" s="1">
        <f t="shared" si="17"/>
        <v>233.6538461538461</v>
      </c>
      <c r="AJ62" s="3">
        <f t="shared" si="18"/>
        <v>3.7833333333333337</v>
      </c>
      <c r="AK62" s="4">
        <f t="shared" si="19"/>
        <v>6736.9217948717951</v>
      </c>
      <c r="AL62" s="3">
        <v>0</v>
      </c>
      <c r="AM62" s="4">
        <f t="shared" si="20"/>
        <v>6736.9217948717951</v>
      </c>
      <c r="AN62" s="1">
        <f t="shared" si="25"/>
        <v>1009.6153846153846</v>
      </c>
      <c r="AO62" s="46"/>
      <c r="AP62" s="55">
        <f t="shared" si="22"/>
        <v>8576.2820512820508</v>
      </c>
    </row>
    <row r="63" spans="1:42" x14ac:dyDescent="0.35">
      <c r="A63" s="49" t="s">
        <v>99</v>
      </c>
      <c r="B63" s="26" t="s">
        <v>172</v>
      </c>
      <c r="C63" s="40" t="s">
        <v>33</v>
      </c>
      <c r="D63" s="32" t="s">
        <v>264</v>
      </c>
      <c r="E63" s="19">
        <v>29808080106447</v>
      </c>
      <c r="F63" s="14" t="s">
        <v>36</v>
      </c>
      <c r="G63" s="30">
        <v>4000</v>
      </c>
      <c r="H63" s="30">
        <v>3000</v>
      </c>
      <c r="I63" s="30">
        <v>0</v>
      </c>
      <c r="J63" s="53">
        <v>1</v>
      </c>
      <c r="K63" s="9">
        <f t="shared" si="1"/>
        <v>3000</v>
      </c>
      <c r="L63" s="9">
        <v>0</v>
      </c>
      <c r="M63" s="9">
        <f t="shared" si="2"/>
        <v>30</v>
      </c>
      <c r="N63" s="9">
        <f t="shared" si="26"/>
        <v>0</v>
      </c>
      <c r="O63" s="10">
        <f t="shared" si="27"/>
        <v>133.33333333333334</v>
      </c>
      <c r="P63" s="10">
        <f t="shared" si="28"/>
        <v>100</v>
      </c>
      <c r="Q63" s="10">
        <f t="shared" si="29"/>
        <v>233.33333333333334</v>
      </c>
      <c r="R63" s="10">
        <f t="shared" si="30"/>
        <v>16.666666666666668</v>
      </c>
      <c r="S63" s="9">
        <v>5</v>
      </c>
      <c r="T63" s="9">
        <f t="shared" si="8"/>
        <v>83.333333333333343</v>
      </c>
      <c r="U63" s="9">
        <v>0</v>
      </c>
      <c r="V63" s="15">
        <f t="shared" si="9"/>
        <v>7083.333333333333</v>
      </c>
      <c r="W63" s="52">
        <v>0</v>
      </c>
      <c r="X63" s="29">
        <f t="shared" si="10"/>
        <v>0</v>
      </c>
      <c r="Y63" s="43">
        <v>0</v>
      </c>
      <c r="Z63" s="29">
        <f t="shared" si="24"/>
        <v>0</v>
      </c>
      <c r="AA63" s="29">
        <v>0</v>
      </c>
      <c r="AB63" s="29">
        <f t="shared" si="12"/>
        <v>0</v>
      </c>
      <c r="AC63" s="11">
        <f t="shared" si="13"/>
        <v>0</v>
      </c>
      <c r="AD63" s="4">
        <f t="shared" si="31"/>
        <v>7083.333333333333</v>
      </c>
      <c r="AE63" s="3">
        <f t="shared" si="14"/>
        <v>5384.6153846153848</v>
      </c>
      <c r="AF63" s="3">
        <f t="shared" si="15"/>
        <v>592.30769230769238</v>
      </c>
      <c r="AG63" s="1">
        <v>1666.6666666666667</v>
      </c>
      <c r="AH63" s="1">
        <f t="shared" si="16"/>
        <v>57892.307692307688</v>
      </c>
      <c r="AI63" s="1">
        <f t="shared" si="17"/>
        <v>161.1538461538461</v>
      </c>
      <c r="AJ63" s="3">
        <f t="shared" si="18"/>
        <v>3.5416666666666665</v>
      </c>
      <c r="AK63" s="4">
        <f t="shared" si="19"/>
        <v>6326.3301282051279</v>
      </c>
      <c r="AL63" s="3">
        <v>0</v>
      </c>
      <c r="AM63" s="4">
        <f t="shared" si="20"/>
        <v>6326.3301282051279</v>
      </c>
      <c r="AN63" s="1">
        <f t="shared" si="25"/>
        <v>1009.6153846153846</v>
      </c>
      <c r="AO63" s="46"/>
      <c r="AP63" s="55">
        <f t="shared" si="22"/>
        <v>8092.9487179487178</v>
      </c>
    </row>
    <row r="64" spans="1:42" x14ac:dyDescent="0.35">
      <c r="A64" s="49" t="s">
        <v>100</v>
      </c>
      <c r="B64" s="25" t="s">
        <v>173</v>
      </c>
      <c r="C64" s="59" t="s">
        <v>200</v>
      </c>
      <c r="D64" s="33" t="s">
        <v>265</v>
      </c>
      <c r="E64" s="19">
        <v>29707252100887</v>
      </c>
      <c r="F64" s="14" t="s">
        <v>36</v>
      </c>
      <c r="G64" s="30">
        <v>4000</v>
      </c>
      <c r="H64" s="30">
        <v>3000</v>
      </c>
      <c r="I64" s="30">
        <v>0</v>
      </c>
      <c r="J64" s="53">
        <v>1</v>
      </c>
      <c r="K64" s="9">
        <f t="shared" si="1"/>
        <v>3000</v>
      </c>
      <c r="L64" s="9">
        <v>0</v>
      </c>
      <c r="M64" s="9">
        <f t="shared" si="2"/>
        <v>30</v>
      </c>
      <c r="N64" s="9">
        <f t="shared" si="26"/>
        <v>0</v>
      </c>
      <c r="O64" s="10">
        <f t="shared" si="27"/>
        <v>133.33333333333334</v>
      </c>
      <c r="P64" s="10">
        <f t="shared" si="28"/>
        <v>100</v>
      </c>
      <c r="Q64" s="10">
        <f t="shared" si="29"/>
        <v>233.33333333333334</v>
      </c>
      <c r="R64" s="10">
        <f t="shared" si="30"/>
        <v>16.666666666666668</v>
      </c>
      <c r="S64" s="9">
        <v>37</v>
      </c>
      <c r="T64" s="9">
        <f t="shared" si="8"/>
        <v>616.66666666666674</v>
      </c>
      <c r="U64" s="9">
        <v>0</v>
      </c>
      <c r="V64" s="15">
        <f t="shared" si="9"/>
        <v>7616.666666666667</v>
      </c>
      <c r="W64" s="52">
        <v>0</v>
      </c>
      <c r="X64" s="29">
        <f t="shared" si="10"/>
        <v>0</v>
      </c>
      <c r="Y64" s="43">
        <v>0</v>
      </c>
      <c r="Z64" s="29">
        <f t="shared" si="24"/>
        <v>0</v>
      </c>
      <c r="AA64" s="29">
        <v>0</v>
      </c>
      <c r="AB64" s="29">
        <f t="shared" si="12"/>
        <v>0</v>
      </c>
      <c r="AC64" s="11">
        <f t="shared" si="13"/>
        <v>0</v>
      </c>
      <c r="AD64" s="4">
        <f t="shared" si="31"/>
        <v>7616.666666666667</v>
      </c>
      <c r="AE64" s="3">
        <f t="shared" si="14"/>
        <v>5384.6153846153848</v>
      </c>
      <c r="AF64" s="3">
        <f t="shared" si="15"/>
        <v>592.30769230769238</v>
      </c>
      <c r="AG64" s="1">
        <v>1666.6666666666667</v>
      </c>
      <c r="AH64" s="1">
        <f t="shared" si="16"/>
        <v>64292.307692307688</v>
      </c>
      <c r="AI64" s="1">
        <f t="shared" si="17"/>
        <v>241.1538461538461</v>
      </c>
      <c r="AJ64" s="3">
        <f t="shared" si="18"/>
        <v>3.8083333333333336</v>
      </c>
      <c r="AK64" s="4">
        <f t="shared" si="19"/>
        <v>6779.3967948717955</v>
      </c>
      <c r="AL64" s="3">
        <v>0</v>
      </c>
      <c r="AM64" s="4">
        <f t="shared" si="20"/>
        <v>6779.3967948717955</v>
      </c>
      <c r="AN64" s="1">
        <f t="shared" si="25"/>
        <v>1009.6153846153846</v>
      </c>
      <c r="AO64" s="46"/>
      <c r="AP64" s="55">
        <f t="shared" si="22"/>
        <v>8626.2820512820508</v>
      </c>
    </row>
    <row r="65" spans="1:42" x14ac:dyDescent="0.35">
      <c r="A65" s="49" t="s">
        <v>101</v>
      </c>
      <c r="B65" s="25" t="s">
        <v>174</v>
      </c>
      <c r="C65" s="40" t="s">
        <v>33</v>
      </c>
      <c r="D65" s="41" t="s">
        <v>266</v>
      </c>
      <c r="E65" s="19">
        <v>29701312100522</v>
      </c>
      <c r="F65" s="14" t="s">
        <v>36</v>
      </c>
      <c r="G65" s="30">
        <v>4000</v>
      </c>
      <c r="H65" s="30">
        <v>3000</v>
      </c>
      <c r="I65" s="30">
        <v>850</v>
      </c>
      <c r="J65" s="53">
        <v>1</v>
      </c>
      <c r="K65" s="9">
        <f t="shared" si="1"/>
        <v>3000</v>
      </c>
      <c r="L65" s="9">
        <v>0</v>
      </c>
      <c r="M65" s="9">
        <f t="shared" si="2"/>
        <v>30</v>
      </c>
      <c r="N65" s="9">
        <f t="shared" si="26"/>
        <v>0</v>
      </c>
      <c r="O65" s="10">
        <f t="shared" si="27"/>
        <v>133.33333333333334</v>
      </c>
      <c r="P65" s="10">
        <f t="shared" si="28"/>
        <v>100</v>
      </c>
      <c r="Q65" s="10">
        <f t="shared" si="29"/>
        <v>233.33333333333334</v>
      </c>
      <c r="R65" s="10">
        <f t="shared" si="30"/>
        <v>16.666666666666668</v>
      </c>
      <c r="S65" s="9">
        <v>16</v>
      </c>
      <c r="T65" s="9">
        <f t="shared" si="8"/>
        <v>266.66666666666669</v>
      </c>
      <c r="U65" s="9">
        <v>0</v>
      </c>
      <c r="V65" s="15">
        <f t="shared" si="9"/>
        <v>8116.666666666667</v>
      </c>
      <c r="W65" s="52">
        <v>0</v>
      </c>
      <c r="X65" s="29">
        <f t="shared" si="10"/>
        <v>0</v>
      </c>
      <c r="Y65" s="43">
        <v>0</v>
      </c>
      <c r="Z65" s="29">
        <f t="shared" si="24"/>
        <v>0</v>
      </c>
      <c r="AA65" s="29">
        <v>0</v>
      </c>
      <c r="AB65" s="29">
        <f t="shared" si="12"/>
        <v>0</v>
      </c>
      <c r="AC65" s="11">
        <f t="shared" si="13"/>
        <v>0</v>
      </c>
      <c r="AD65" s="4">
        <f t="shared" si="31"/>
        <v>8116.666666666667</v>
      </c>
      <c r="AE65" s="3">
        <f t="shared" si="14"/>
        <v>5384.6153846153848</v>
      </c>
      <c r="AF65" s="3">
        <f t="shared" si="15"/>
        <v>592.30769230769238</v>
      </c>
      <c r="AG65" s="1">
        <v>1666.6666666666667</v>
      </c>
      <c r="AH65" s="1">
        <f t="shared" si="16"/>
        <v>70292.307692307688</v>
      </c>
      <c r="AI65" s="1">
        <f t="shared" si="17"/>
        <v>317.3717948717948</v>
      </c>
      <c r="AJ65" s="3">
        <f t="shared" si="18"/>
        <v>4.0583333333333336</v>
      </c>
      <c r="AK65" s="4">
        <f t="shared" si="19"/>
        <v>7202.9288461538463</v>
      </c>
      <c r="AL65" s="3">
        <v>0</v>
      </c>
      <c r="AM65" s="4">
        <f t="shared" si="20"/>
        <v>7202.9288461538463</v>
      </c>
      <c r="AN65" s="1">
        <f t="shared" si="25"/>
        <v>1009.6153846153846</v>
      </c>
      <c r="AO65" s="46"/>
      <c r="AP65" s="55">
        <f t="shared" si="22"/>
        <v>9126.2820512820508</v>
      </c>
    </row>
    <row r="66" spans="1:42" x14ac:dyDescent="0.35">
      <c r="A66" s="49" t="s">
        <v>102</v>
      </c>
      <c r="B66" s="25" t="s">
        <v>175</v>
      </c>
      <c r="C66" s="59" t="s">
        <v>200</v>
      </c>
      <c r="D66" s="41" t="s">
        <v>267</v>
      </c>
      <c r="E66" s="19">
        <v>29911050102167</v>
      </c>
      <c r="F66" s="14" t="s">
        <v>36</v>
      </c>
      <c r="G66" s="30">
        <v>4000</v>
      </c>
      <c r="H66" s="30">
        <v>3000</v>
      </c>
      <c r="I66" s="30">
        <v>0</v>
      </c>
      <c r="J66" s="53">
        <v>1</v>
      </c>
      <c r="K66" s="9">
        <f t="shared" si="1"/>
        <v>3000</v>
      </c>
      <c r="L66" s="9">
        <v>0</v>
      </c>
      <c r="M66" s="9">
        <f t="shared" si="2"/>
        <v>30</v>
      </c>
      <c r="N66" s="9">
        <f t="shared" si="26"/>
        <v>0</v>
      </c>
      <c r="O66" s="10">
        <f t="shared" si="27"/>
        <v>133.33333333333334</v>
      </c>
      <c r="P66" s="10">
        <f t="shared" si="28"/>
        <v>100</v>
      </c>
      <c r="Q66" s="10">
        <f t="shared" si="29"/>
        <v>233.33333333333334</v>
      </c>
      <c r="R66" s="10">
        <f t="shared" si="30"/>
        <v>16.666666666666668</v>
      </c>
      <c r="S66" s="9">
        <v>37</v>
      </c>
      <c r="T66" s="9">
        <f t="shared" si="8"/>
        <v>616.66666666666674</v>
      </c>
      <c r="U66" s="9">
        <v>0</v>
      </c>
      <c r="V66" s="15">
        <f t="shared" si="9"/>
        <v>7616.666666666667</v>
      </c>
      <c r="W66" s="52">
        <v>0</v>
      </c>
      <c r="X66" s="29">
        <f t="shared" si="10"/>
        <v>0</v>
      </c>
      <c r="Y66" s="43">
        <v>0</v>
      </c>
      <c r="Z66" s="29">
        <f t="shared" si="24"/>
        <v>0</v>
      </c>
      <c r="AA66" s="29">
        <v>0</v>
      </c>
      <c r="AB66" s="29">
        <f t="shared" si="12"/>
        <v>0</v>
      </c>
      <c r="AC66" s="11">
        <f t="shared" si="13"/>
        <v>0</v>
      </c>
      <c r="AD66" s="4">
        <f t="shared" si="31"/>
        <v>7616.666666666667</v>
      </c>
      <c r="AE66" s="3">
        <f t="shared" si="14"/>
        <v>5384.6153846153848</v>
      </c>
      <c r="AF66" s="3">
        <f t="shared" si="15"/>
        <v>592.30769230769238</v>
      </c>
      <c r="AG66" s="1">
        <v>1666.6666666666667</v>
      </c>
      <c r="AH66" s="1">
        <f t="shared" si="16"/>
        <v>64292.307692307688</v>
      </c>
      <c r="AI66" s="1">
        <f t="shared" si="17"/>
        <v>241.1538461538461</v>
      </c>
      <c r="AJ66" s="3">
        <f t="shared" si="18"/>
        <v>3.8083333333333336</v>
      </c>
      <c r="AK66" s="4">
        <f t="shared" si="19"/>
        <v>6779.3967948717955</v>
      </c>
      <c r="AL66" s="3">
        <v>0</v>
      </c>
      <c r="AM66" s="4">
        <f t="shared" si="20"/>
        <v>6779.3967948717955</v>
      </c>
      <c r="AN66" s="1">
        <f t="shared" si="25"/>
        <v>1009.6153846153846</v>
      </c>
      <c r="AO66" s="46"/>
      <c r="AP66" s="55">
        <f t="shared" si="22"/>
        <v>8626.2820512820508</v>
      </c>
    </row>
    <row r="67" spans="1:42" x14ac:dyDescent="0.35">
      <c r="A67" s="49" t="s">
        <v>103</v>
      </c>
      <c r="B67" s="25" t="s">
        <v>176</v>
      </c>
      <c r="C67" s="59" t="s">
        <v>200</v>
      </c>
      <c r="D67" s="41" t="s">
        <v>268</v>
      </c>
      <c r="E67" s="19">
        <v>29508232102864</v>
      </c>
      <c r="F67" s="20" t="s">
        <v>36</v>
      </c>
      <c r="G67" s="30">
        <v>4000</v>
      </c>
      <c r="H67" s="30">
        <v>3000</v>
      </c>
      <c r="I67" s="30">
        <v>0</v>
      </c>
      <c r="J67" s="53">
        <v>1</v>
      </c>
      <c r="K67" s="9">
        <f t="shared" si="1"/>
        <v>3000</v>
      </c>
      <c r="L67" s="9">
        <v>0</v>
      </c>
      <c r="M67" s="9">
        <f t="shared" si="2"/>
        <v>30</v>
      </c>
      <c r="N67" s="9">
        <f t="shared" si="26"/>
        <v>0</v>
      </c>
      <c r="O67" s="10">
        <f t="shared" si="27"/>
        <v>133.33333333333334</v>
      </c>
      <c r="P67" s="10">
        <f t="shared" si="28"/>
        <v>100</v>
      </c>
      <c r="Q67" s="10">
        <f t="shared" si="29"/>
        <v>233.33333333333334</v>
      </c>
      <c r="R67" s="10">
        <f t="shared" si="30"/>
        <v>16.666666666666668</v>
      </c>
      <c r="S67" s="9">
        <v>33</v>
      </c>
      <c r="T67" s="9">
        <f t="shared" si="8"/>
        <v>550</v>
      </c>
      <c r="U67" s="9">
        <v>0</v>
      </c>
      <c r="V67" s="15">
        <f t="shared" si="9"/>
        <v>7550</v>
      </c>
      <c r="W67" s="52">
        <v>0</v>
      </c>
      <c r="X67" s="29">
        <f t="shared" si="10"/>
        <v>0</v>
      </c>
      <c r="Y67" s="43">
        <v>2</v>
      </c>
      <c r="Z67" s="29">
        <f t="shared" si="24"/>
        <v>266.66666666666669</v>
      </c>
      <c r="AA67" s="29">
        <v>0</v>
      </c>
      <c r="AB67" s="29">
        <f t="shared" si="12"/>
        <v>0</v>
      </c>
      <c r="AC67" s="11">
        <f t="shared" si="13"/>
        <v>266.66666666666669</v>
      </c>
      <c r="AD67" s="4">
        <f t="shared" si="31"/>
        <v>7283.333333333333</v>
      </c>
      <c r="AE67" s="3">
        <f t="shared" si="14"/>
        <v>5384.6153846153848</v>
      </c>
      <c r="AF67" s="3">
        <f t="shared" si="15"/>
        <v>592.30769230769238</v>
      </c>
      <c r="AG67" s="1">
        <v>1666.6666666666667</v>
      </c>
      <c r="AH67" s="1">
        <f t="shared" si="16"/>
        <v>60292.307692307688</v>
      </c>
      <c r="AI67" s="1">
        <f t="shared" si="17"/>
        <v>191.1538461538461</v>
      </c>
      <c r="AJ67" s="3">
        <f t="shared" si="18"/>
        <v>3.6416666666666666</v>
      </c>
      <c r="AK67" s="4">
        <f t="shared" si="19"/>
        <v>6496.2301282051285</v>
      </c>
      <c r="AL67" s="3">
        <v>0</v>
      </c>
      <c r="AM67" s="4">
        <f t="shared" si="20"/>
        <v>6496.2301282051285</v>
      </c>
      <c r="AN67" s="1">
        <f t="shared" si="25"/>
        <v>1009.6153846153846</v>
      </c>
      <c r="AO67" s="46"/>
      <c r="AP67" s="55">
        <f t="shared" si="22"/>
        <v>8292.9487179487169</v>
      </c>
    </row>
    <row r="68" spans="1:42" customFormat="1" x14ac:dyDescent="0.35">
      <c r="A68" s="49" t="s">
        <v>104</v>
      </c>
      <c r="B68" s="25" t="s">
        <v>178</v>
      </c>
      <c r="C68" s="40" t="s">
        <v>33</v>
      </c>
      <c r="D68" s="41" t="s">
        <v>269</v>
      </c>
      <c r="E68" s="19">
        <v>29908280106047</v>
      </c>
      <c r="F68" s="14" t="s">
        <v>36</v>
      </c>
      <c r="G68" s="30">
        <v>4000</v>
      </c>
      <c r="H68" s="30">
        <v>3000</v>
      </c>
      <c r="I68" s="30">
        <v>850</v>
      </c>
      <c r="J68" s="53">
        <v>1</v>
      </c>
      <c r="K68" s="9">
        <f t="shared" ref="K68:K81" si="32">+H68*J68</f>
        <v>3000</v>
      </c>
      <c r="L68" s="9">
        <v>0</v>
      </c>
      <c r="M68" s="9">
        <f t="shared" ref="M68:M81" si="33">30-W68</f>
        <v>30</v>
      </c>
      <c r="N68" s="9">
        <f t="shared" si="26"/>
        <v>0</v>
      </c>
      <c r="O68" s="10">
        <f t="shared" si="27"/>
        <v>133.33333333333334</v>
      </c>
      <c r="P68" s="10">
        <f t="shared" si="28"/>
        <v>100</v>
      </c>
      <c r="Q68" s="10">
        <f t="shared" si="29"/>
        <v>233.33333333333334</v>
      </c>
      <c r="R68" s="10">
        <f t="shared" si="30"/>
        <v>16.666666666666668</v>
      </c>
      <c r="S68" s="9">
        <v>16</v>
      </c>
      <c r="T68" s="9">
        <f t="shared" ref="T68:T81" si="34">+R68*S68</f>
        <v>266.66666666666669</v>
      </c>
      <c r="U68" s="9">
        <v>0</v>
      </c>
      <c r="V68" s="15">
        <f t="shared" ref="V68:V81" si="35">G68+K68+N68+T68+U68+I68</f>
        <v>8116.666666666667</v>
      </c>
      <c r="W68" s="52">
        <v>0</v>
      </c>
      <c r="X68" s="29">
        <f t="shared" ref="X68:X81" si="36">Q68*W68</f>
        <v>0</v>
      </c>
      <c r="Y68" s="43">
        <v>2</v>
      </c>
      <c r="Z68" s="29">
        <f t="shared" si="24"/>
        <v>266.66666666666669</v>
      </c>
      <c r="AA68" s="29">
        <v>0</v>
      </c>
      <c r="AB68" s="29">
        <f t="shared" ref="AB68:AB81" si="37">P68*AA68</f>
        <v>0</v>
      </c>
      <c r="AC68" s="11">
        <f t="shared" ref="AC68:AC81" si="38">X68+Z68+AB68</f>
        <v>266.66666666666669</v>
      </c>
      <c r="AD68" s="4">
        <f t="shared" si="31"/>
        <v>7850</v>
      </c>
      <c r="AE68" s="3">
        <f t="shared" ref="AE68:AE79" si="39">7000/1.3</f>
        <v>5384.6153846153848</v>
      </c>
      <c r="AF68" s="3">
        <f t="shared" ref="AF68:AF79" si="40">+AE68*0.11</f>
        <v>592.30769230769238</v>
      </c>
      <c r="AG68" s="1">
        <v>1666.6666666666667</v>
      </c>
      <c r="AH68" s="1">
        <f t="shared" ref="AH68:AH79" si="41">(AD68-AF68-AG68)*12</f>
        <v>67092.307692307688</v>
      </c>
      <c r="AI68" s="1">
        <f t="shared" ref="AI68:AI79" si="42">IF(AND(AH68&gt;40000,AH68&lt;=55000),(AH68-40000)*10%,
IF(AND(AH68&gt;55000,AH68&lt;=70000),(AH68-55000)*15%+15000*10%,
IF(AND(AH68&gt;70000,AH68&lt;=200000),(AH68-70000)*20%+15000*10%+15000*15%,
IF(AND(AH68&gt;200000,AH68&lt;=400000),(AH68-200000)*22.5%+15000*10%+15000*15%+130000*20%,
IF(AND(AH68&gt;400000,AH68&lt;=600000),(AH68-400000)*25%+15000*10%+15000*15%+130000*20%+200000*22.5%,
IF(AND(AH68&gt;600000,AH68&lt;=700000),(AH68-400000)*25%+55000*10%+15000*15%+130000*20%+200000*22.5%,
IF(AND(AH68&gt;700000,AH68&lt;=800000),(AH68-400000)*25%+70000*15%+130000*20%+200000*22.5%,
IF(AND(AH68&gt;800000,AH68&lt;=900000),(AH68-400000)*25%+200000*20%+200000*22.5%,
IF(AND(AH68&gt;900000,AH68&lt;=1200000),(AH68-400000)*25%+400000*22.5%,
IF(AH68&gt;1200000,(AH68-1200000)*27.5%+1200000*25%))))))))))/12</f>
        <v>276.15384615384613</v>
      </c>
      <c r="AJ68" s="3">
        <f t="shared" ref="AJ68:AJ79" si="43">+AD68*0.0005</f>
        <v>3.9250000000000003</v>
      </c>
      <c r="AK68" s="4">
        <f t="shared" ref="AK68:AK81" si="44">+AD68-AF68-AI68-AJ68</f>
        <v>6977.6134615384617</v>
      </c>
      <c r="AL68" s="3">
        <v>0</v>
      </c>
      <c r="AM68" s="4">
        <f t="shared" ref="AM68:AM78" si="45">+AK68-AL68</f>
        <v>6977.6134615384617</v>
      </c>
      <c r="AN68" s="1">
        <f t="shared" si="25"/>
        <v>1009.6153846153846</v>
      </c>
      <c r="AO68" s="46"/>
      <c r="AP68" s="55">
        <f t="shared" ref="AP68:AP81" si="46">AD68+AN68</f>
        <v>8859.6153846153848</v>
      </c>
    </row>
    <row r="69" spans="1:42" customFormat="1" x14ac:dyDescent="0.35">
      <c r="A69" s="49" t="s">
        <v>105</v>
      </c>
      <c r="B69" s="25" t="s">
        <v>177</v>
      </c>
      <c r="C69" s="59" t="s">
        <v>200</v>
      </c>
      <c r="D69" s="41" t="s">
        <v>270</v>
      </c>
      <c r="E69" s="19">
        <v>29402250102542</v>
      </c>
      <c r="F69" s="14" t="s">
        <v>36</v>
      </c>
      <c r="G69" s="30">
        <v>4000</v>
      </c>
      <c r="H69" s="30">
        <v>3000</v>
      </c>
      <c r="I69" s="30">
        <v>0</v>
      </c>
      <c r="J69" s="53">
        <v>1</v>
      </c>
      <c r="K69" s="9">
        <f t="shared" si="32"/>
        <v>3000</v>
      </c>
      <c r="L69" s="9">
        <v>0</v>
      </c>
      <c r="M69" s="9">
        <f t="shared" si="33"/>
        <v>30</v>
      </c>
      <c r="N69" s="9">
        <f t="shared" si="26"/>
        <v>0</v>
      </c>
      <c r="O69" s="10">
        <f t="shared" si="27"/>
        <v>133.33333333333334</v>
      </c>
      <c r="P69" s="10">
        <f t="shared" si="28"/>
        <v>100</v>
      </c>
      <c r="Q69" s="10">
        <f t="shared" si="29"/>
        <v>233.33333333333334</v>
      </c>
      <c r="R69" s="10">
        <f t="shared" si="30"/>
        <v>16.666666666666668</v>
      </c>
      <c r="S69" s="9">
        <v>31</v>
      </c>
      <c r="T69" s="9">
        <f t="shared" si="34"/>
        <v>516.66666666666674</v>
      </c>
      <c r="U69" s="9">
        <v>0</v>
      </c>
      <c r="V69" s="15">
        <f t="shared" si="35"/>
        <v>7516.666666666667</v>
      </c>
      <c r="W69" s="52">
        <v>0</v>
      </c>
      <c r="X69" s="29">
        <f t="shared" si="36"/>
        <v>0</v>
      </c>
      <c r="Y69" s="43">
        <v>0</v>
      </c>
      <c r="Z69" s="29">
        <f t="shared" si="24"/>
        <v>0</v>
      </c>
      <c r="AA69" s="29">
        <v>0</v>
      </c>
      <c r="AB69" s="29">
        <f t="shared" si="37"/>
        <v>0</v>
      </c>
      <c r="AC69" s="11">
        <f t="shared" si="38"/>
        <v>0</v>
      </c>
      <c r="AD69" s="4">
        <f t="shared" si="31"/>
        <v>7516.666666666667</v>
      </c>
      <c r="AE69" s="3">
        <f t="shared" si="39"/>
        <v>5384.6153846153848</v>
      </c>
      <c r="AF69" s="3">
        <f t="shared" si="40"/>
        <v>592.30769230769238</v>
      </c>
      <c r="AG69" s="1">
        <v>1666.6666666666667</v>
      </c>
      <c r="AH69" s="1">
        <f t="shared" si="41"/>
        <v>63092.307692307688</v>
      </c>
      <c r="AI69" s="1">
        <f t="shared" si="42"/>
        <v>226.1538461538461</v>
      </c>
      <c r="AJ69" s="3">
        <f t="shared" si="43"/>
        <v>3.7583333333333337</v>
      </c>
      <c r="AK69" s="4">
        <f t="shared" si="44"/>
        <v>6694.4467948717956</v>
      </c>
      <c r="AL69" s="3">
        <v>0</v>
      </c>
      <c r="AM69" s="4">
        <f t="shared" si="45"/>
        <v>6694.4467948717956</v>
      </c>
      <c r="AN69" s="1">
        <f t="shared" si="25"/>
        <v>1009.6153846153846</v>
      </c>
      <c r="AO69" s="46"/>
      <c r="AP69" s="55">
        <f t="shared" si="46"/>
        <v>8526.2820512820508</v>
      </c>
    </row>
    <row r="70" spans="1:42" customFormat="1" x14ac:dyDescent="0.35">
      <c r="A70" s="49" t="s">
        <v>106</v>
      </c>
      <c r="B70" s="25" t="s">
        <v>179</v>
      </c>
      <c r="C70" s="59" t="s">
        <v>200</v>
      </c>
      <c r="D70" s="41" t="s">
        <v>271</v>
      </c>
      <c r="E70" s="19">
        <v>29805300101043</v>
      </c>
      <c r="F70" s="14" t="s">
        <v>197</v>
      </c>
      <c r="G70" s="30">
        <v>5000</v>
      </c>
      <c r="H70" s="30">
        <v>3000</v>
      </c>
      <c r="I70" s="30">
        <v>650</v>
      </c>
      <c r="J70" s="53">
        <v>1</v>
      </c>
      <c r="K70" s="9">
        <f t="shared" si="32"/>
        <v>3000</v>
      </c>
      <c r="L70" s="9">
        <v>0</v>
      </c>
      <c r="M70" s="9">
        <f t="shared" si="33"/>
        <v>30</v>
      </c>
      <c r="N70" s="9">
        <f t="shared" si="26"/>
        <v>0</v>
      </c>
      <c r="O70" s="10">
        <f t="shared" si="27"/>
        <v>166.66666666666666</v>
      </c>
      <c r="P70" s="10">
        <f t="shared" si="28"/>
        <v>100</v>
      </c>
      <c r="Q70" s="10">
        <f t="shared" si="29"/>
        <v>266.66666666666669</v>
      </c>
      <c r="R70" s="10">
        <f t="shared" si="30"/>
        <v>20.833333333333332</v>
      </c>
      <c r="S70" s="9">
        <v>38</v>
      </c>
      <c r="T70" s="9">
        <f t="shared" si="34"/>
        <v>791.66666666666663</v>
      </c>
      <c r="U70" s="9">
        <v>0</v>
      </c>
      <c r="V70" s="15">
        <f t="shared" si="35"/>
        <v>9441.6666666666661</v>
      </c>
      <c r="W70" s="52">
        <v>0</v>
      </c>
      <c r="X70" s="29">
        <f t="shared" si="36"/>
        <v>0</v>
      </c>
      <c r="Y70" s="43">
        <v>0</v>
      </c>
      <c r="Z70" s="29">
        <f t="shared" si="24"/>
        <v>0</v>
      </c>
      <c r="AA70" s="29">
        <v>0</v>
      </c>
      <c r="AB70" s="29">
        <f t="shared" si="37"/>
        <v>0</v>
      </c>
      <c r="AC70" s="11">
        <f t="shared" si="38"/>
        <v>0</v>
      </c>
      <c r="AD70" s="4">
        <f t="shared" si="31"/>
        <v>9441.6666666666661</v>
      </c>
      <c r="AE70" s="3">
        <f t="shared" si="39"/>
        <v>5384.6153846153848</v>
      </c>
      <c r="AF70" s="3">
        <f t="shared" si="40"/>
        <v>592.30769230769238</v>
      </c>
      <c r="AG70" s="1">
        <v>1666.6666666666667</v>
      </c>
      <c r="AH70" s="1">
        <f t="shared" si="41"/>
        <v>86192.307692307673</v>
      </c>
      <c r="AI70" s="1">
        <f t="shared" si="42"/>
        <v>582.37179487179458</v>
      </c>
      <c r="AJ70" s="3">
        <f t="shared" si="43"/>
        <v>4.7208333333333332</v>
      </c>
      <c r="AK70" s="4">
        <f t="shared" si="44"/>
        <v>8262.266346153845</v>
      </c>
      <c r="AL70" s="3"/>
      <c r="AM70" s="4">
        <f t="shared" si="45"/>
        <v>8262.266346153845</v>
      </c>
      <c r="AN70" s="1">
        <f t="shared" si="25"/>
        <v>1009.6153846153846</v>
      </c>
      <c r="AO70" s="46"/>
      <c r="AP70" s="55">
        <f t="shared" si="46"/>
        <v>10451.282051282051</v>
      </c>
    </row>
    <row r="71" spans="1:42" customFormat="1" x14ac:dyDescent="0.35">
      <c r="A71" s="49" t="s">
        <v>107</v>
      </c>
      <c r="B71" s="25" t="s">
        <v>180</v>
      </c>
      <c r="C71" s="40" t="s">
        <v>33</v>
      </c>
      <c r="D71" s="41" t="s">
        <v>272</v>
      </c>
      <c r="E71" s="19">
        <v>29805022103129</v>
      </c>
      <c r="F71" s="51" t="s">
        <v>36</v>
      </c>
      <c r="G71" s="30">
        <v>4000</v>
      </c>
      <c r="H71" s="30">
        <v>3000</v>
      </c>
      <c r="I71" s="30">
        <v>950</v>
      </c>
      <c r="J71" s="53">
        <v>1</v>
      </c>
      <c r="K71" s="9">
        <f t="shared" si="32"/>
        <v>3000</v>
      </c>
      <c r="L71" s="9">
        <v>0</v>
      </c>
      <c r="M71" s="9">
        <f t="shared" si="33"/>
        <v>30</v>
      </c>
      <c r="N71" s="9">
        <f t="shared" si="26"/>
        <v>0</v>
      </c>
      <c r="O71" s="10">
        <f t="shared" si="27"/>
        <v>133.33333333333334</v>
      </c>
      <c r="P71" s="10">
        <f t="shared" si="28"/>
        <v>100</v>
      </c>
      <c r="Q71" s="10">
        <f t="shared" si="29"/>
        <v>233.33333333333334</v>
      </c>
      <c r="R71" s="10">
        <f t="shared" si="30"/>
        <v>16.666666666666668</v>
      </c>
      <c r="S71" s="9">
        <v>16</v>
      </c>
      <c r="T71" s="9">
        <f t="shared" si="34"/>
        <v>266.66666666666669</v>
      </c>
      <c r="U71" s="9">
        <v>0</v>
      </c>
      <c r="V71" s="15">
        <f t="shared" si="35"/>
        <v>8216.6666666666679</v>
      </c>
      <c r="W71" s="52">
        <v>0</v>
      </c>
      <c r="X71" s="29">
        <f t="shared" si="36"/>
        <v>0</v>
      </c>
      <c r="Y71" s="43">
        <v>0</v>
      </c>
      <c r="Z71" s="29">
        <f t="shared" si="24"/>
        <v>0</v>
      </c>
      <c r="AA71" s="29">
        <v>0</v>
      </c>
      <c r="AB71" s="29">
        <f t="shared" si="37"/>
        <v>0</v>
      </c>
      <c r="AC71" s="11">
        <f t="shared" si="38"/>
        <v>0</v>
      </c>
      <c r="AD71" s="4">
        <f t="shared" si="31"/>
        <v>8216.6666666666679</v>
      </c>
      <c r="AE71" s="3">
        <f t="shared" si="39"/>
        <v>5384.6153846153848</v>
      </c>
      <c r="AF71" s="3">
        <f t="shared" si="40"/>
        <v>592.30769230769238</v>
      </c>
      <c r="AG71" s="1">
        <v>1666.6666666666667</v>
      </c>
      <c r="AH71" s="1">
        <f t="shared" si="41"/>
        <v>71492.307692307702</v>
      </c>
      <c r="AI71" s="1">
        <f t="shared" si="42"/>
        <v>337.37179487179503</v>
      </c>
      <c r="AJ71" s="3">
        <f t="shared" si="43"/>
        <v>4.1083333333333343</v>
      </c>
      <c r="AK71" s="4">
        <f t="shared" si="44"/>
        <v>7282.878846153847</v>
      </c>
      <c r="AL71" s="3">
        <v>0</v>
      </c>
      <c r="AM71" s="4">
        <f t="shared" si="45"/>
        <v>7282.878846153847</v>
      </c>
      <c r="AN71" s="1">
        <f t="shared" si="25"/>
        <v>1009.6153846153846</v>
      </c>
      <c r="AO71" s="46"/>
      <c r="AP71" s="55">
        <f t="shared" si="46"/>
        <v>9226.2820512820526</v>
      </c>
    </row>
    <row r="72" spans="1:42" customFormat="1" x14ac:dyDescent="0.35">
      <c r="A72" s="49" t="s">
        <v>108</v>
      </c>
      <c r="B72" s="25" t="s">
        <v>181</v>
      </c>
      <c r="C72" s="40" t="s">
        <v>33</v>
      </c>
      <c r="D72" s="41" t="s">
        <v>273</v>
      </c>
      <c r="E72" s="19">
        <v>29903220103861</v>
      </c>
      <c r="F72" s="14" t="s">
        <v>36</v>
      </c>
      <c r="G72" s="30">
        <v>4000</v>
      </c>
      <c r="H72" s="30">
        <v>3000</v>
      </c>
      <c r="I72" s="30">
        <v>0</v>
      </c>
      <c r="J72" s="53">
        <v>1</v>
      </c>
      <c r="K72" s="9">
        <f t="shared" si="32"/>
        <v>3000</v>
      </c>
      <c r="L72" s="9">
        <v>0</v>
      </c>
      <c r="M72" s="9">
        <f t="shared" si="33"/>
        <v>30</v>
      </c>
      <c r="N72" s="9">
        <f t="shared" si="26"/>
        <v>0</v>
      </c>
      <c r="O72" s="10">
        <f t="shared" si="27"/>
        <v>133.33333333333334</v>
      </c>
      <c r="P72" s="10">
        <f t="shared" si="28"/>
        <v>100</v>
      </c>
      <c r="Q72" s="10">
        <f t="shared" si="29"/>
        <v>233.33333333333334</v>
      </c>
      <c r="R72" s="10">
        <f t="shared" si="30"/>
        <v>16.666666666666668</v>
      </c>
      <c r="S72" s="9">
        <v>36</v>
      </c>
      <c r="T72" s="9">
        <f t="shared" si="34"/>
        <v>600</v>
      </c>
      <c r="U72" s="9">
        <v>0</v>
      </c>
      <c r="V72" s="15">
        <f t="shared" si="35"/>
        <v>7600</v>
      </c>
      <c r="W72" s="52">
        <v>0</v>
      </c>
      <c r="X72" s="29">
        <f t="shared" si="36"/>
        <v>0</v>
      </c>
      <c r="Y72" s="43">
        <v>2</v>
      </c>
      <c r="Z72" s="29">
        <f t="shared" si="24"/>
        <v>266.66666666666669</v>
      </c>
      <c r="AA72" s="29">
        <v>0</v>
      </c>
      <c r="AB72" s="29">
        <f t="shared" si="37"/>
        <v>0</v>
      </c>
      <c r="AC72" s="11">
        <f t="shared" si="38"/>
        <v>266.66666666666669</v>
      </c>
      <c r="AD72" s="4">
        <f t="shared" si="31"/>
        <v>7333.333333333333</v>
      </c>
      <c r="AE72" s="3">
        <f t="shared" si="39"/>
        <v>5384.6153846153848</v>
      </c>
      <c r="AF72" s="3">
        <f t="shared" si="40"/>
        <v>592.30769230769238</v>
      </c>
      <c r="AG72" s="1">
        <v>1666.6666666666667</v>
      </c>
      <c r="AH72" s="1">
        <f t="shared" si="41"/>
        <v>60892.307692307688</v>
      </c>
      <c r="AI72" s="1">
        <f t="shared" si="42"/>
        <v>198.6538461538461</v>
      </c>
      <c r="AJ72" s="3">
        <f t="shared" si="43"/>
        <v>3.6666666666666665</v>
      </c>
      <c r="AK72" s="4">
        <f t="shared" si="44"/>
        <v>6538.7051282051279</v>
      </c>
      <c r="AL72" s="3">
        <v>0</v>
      </c>
      <c r="AM72" s="4">
        <f t="shared" si="45"/>
        <v>6538.7051282051279</v>
      </c>
      <c r="AN72" s="1">
        <f t="shared" si="25"/>
        <v>1009.6153846153846</v>
      </c>
      <c r="AO72" s="46"/>
      <c r="AP72" s="55">
        <f t="shared" si="46"/>
        <v>8342.9487179487169</v>
      </c>
    </row>
    <row r="73" spans="1:42" customFormat="1" x14ac:dyDescent="0.35">
      <c r="A73" s="49" t="s">
        <v>109</v>
      </c>
      <c r="B73" s="25" t="s">
        <v>182</v>
      </c>
      <c r="C73" s="59" t="s">
        <v>200</v>
      </c>
      <c r="D73" s="41" t="s">
        <v>274</v>
      </c>
      <c r="E73" s="19">
        <v>30108052604516</v>
      </c>
      <c r="F73" s="14" t="s">
        <v>36</v>
      </c>
      <c r="G73" s="30">
        <v>4000</v>
      </c>
      <c r="H73" s="30">
        <v>3000</v>
      </c>
      <c r="I73" s="30">
        <v>0</v>
      </c>
      <c r="J73" s="53">
        <v>1</v>
      </c>
      <c r="K73" s="9">
        <f t="shared" si="32"/>
        <v>3000</v>
      </c>
      <c r="L73" s="9">
        <v>0</v>
      </c>
      <c r="M73" s="9">
        <f t="shared" si="33"/>
        <v>30</v>
      </c>
      <c r="N73" s="9">
        <f t="shared" si="26"/>
        <v>0</v>
      </c>
      <c r="O73" s="10">
        <f t="shared" si="27"/>
        <v>133.33333333333334</v>
      </c>
      <c r="P73" s="10">
        <f t="shared" si="28"/>
        <v>100</v>
      </c>
      <c r="Q73" s="10">
        <f t="shared" si="29"/>
        <v>233.33333333333334</v>
      </c>
      <c r="R73" s="10">
        <f t="shared" si="30"/>
        <v>16.666666666666668</v>
      </c>
      <c r="S73" s="9">
        <v>26</v>
      </c>
      <c r="T73" s="9">
        <f t="shared" si="34"/>
        <v>433.33333333333337</v>
      </c>
      <c r="U73" s="9">
        <v>0</v>
      </c>
      <c r="V73" s="15">
        <f t="shared" si="35"/>
        <v>7433.333333333333</v>
      </c>
      <c r="W73" s="52">
        <v>0</v>
      </c>
      <c r="X73" s="29">
        <f t="shared" si="36"/>
        <v>0</v>
      </c>
      <c r="Y73" s="43">
        <v>0</v>
      </c>
      <c r="Z73" s="29">
        <f t="shared" si="24"/>
        <v>0</v>
      </c>
      <c r="AA73" s="29">
        <v>0</v>
      </c>
      <c r="AB73" s="29">
        <f t="shared" si="37"/>
        <v>0</v>
      </c>
      <c r="AC73" s="11">
        <f t="shared" si="38"/>
        <v>0</v>
      </c>
      <c r="AD73" s="4">
        <f t="shared" si="31"/>
        <v>7433.333333333333</v>
      </c>
      <c r="AE73" s="3">
        <f t="shared" si="39"/>
        <v>5384.6153846153848</v>
      </c>
      <c r="AF73" s="3">
        <f t="shared" si="40"/>
        <v>592.30769230769238</v>
      </c>
      <c r="AG73" s="1">
        <v>1666.6666666666667</v>
      </c>
      <c r="AH73" s="1">
        <f t="shared" si="41"/>
        <v>62092.307692307688</v>
      </c>
      <c r="AI73" s="1">
        <f t="shared" si="42"/>
        <v>213.6538461538461</v>
      </c>
      <c r="AJ73" s="3">
        <f t="shared" si="43"/>
        <v>3.7166666666666668</v>
      </c>
      <c r="AK73" s="4">
        <f t="shared" si="44"/>
        <v>6623.6551282051287</v>
      </c>
      <c r="AL73" s="3">
        <v>0</v>
      </c>
      <c r="AM73" s="4">
        <f t="shared" si="45"/>
        <v>6623.6551282051287</v>
      </c>
      <c r="AN73" s="1">
        <f t="shared" si="25"/>
        <v>1009.6153846153846</v>
      </c>
      <c r="AO73" s="46"/>
      <c r="AP73" s="55">
        <f t="shared" si="46"/>
        <v>8442.9487179487169</v>
      </c>
    </row>
    <row r="74" spans="1:42" customFormat="1" x14ac:dyDescent="0.35">
      <c r="A74" s="49" t="s">
        <v>110</v>
      </c>
      <c r="B74" s="25" t="s">
        <v>184</v>
      </c>
      <c r="C74" s="59" t="s">
        <v>200</v>
      </c>
      <c r="D74" s="41" t="s">
        <v>275</v>
      </c>
      <c r="E74" s="19">
        <v>29609132101306</v>
      </c>
      <c r="F74" s="14" t="s">
        <v>197</v>
      </c>
      <c r="G74" s="30">
        <v>5000</v>
      </c>
      <c r="H74" s="30">
        <v>3000</v>
      </c>
      <c r="I74" s="30">
        <v>0</v>
      </c>
      <c r="J74" s="53">
        <v>1</v>
      </c>
      <c r="K74" s="9">
        <f t="shared" si="32"/>
        <v>3000</v>
      </c>
      <c r="L74" s="9">
        <v>0</v>
      </c>
      <c r="M74" s="9">
        <f t="shared" si="33"/>
        <v>30</v>
      </c>
      <c r="N74" s="9">
        <f t="shared" si="26"/>
        <v>0</v>
      </c>
      <c r="O74" s="10">
        <f t="shared" si="27"/>
        <v>166.66666666666666</v>
      </c>
      <c r="P74" s="10">
        <f t="shared" si="28"/>
        <v>100</v>
      </c>
      <c r="Q74" s="10">
        <f t="shared" si="29"/>
        <v>266.66666666666669</v>
      </c>
      <c r="R74" s="10">
        <f t="shared" si="30"/>
        <v>20.833333333333332</v>
      </c>
      <c r="S74" s="9">
        <v>34</v>
      </c>
      <c r="T74" s="9">
        <f t="shared" si="34"/>
        <v>708.33333333333326</v>
      </c>
      <c r="U74" s="9">
        <v>0</v>
      </c>
      <c r="V74" s="15">
        <f t="shared" si="35"/>
        <v>8708.3333333333339</v>
      </c>
      <c r="W74" s="52">
        <v>0</v>
      </c>
      <c r="X74" s="29">
        <f t="shared" si="36"/>
        <v>0</v>
      </c>
      <c r="Y74" s="43">
        <v>2</v>
      </c>
      <c r="Z74" s="29">
        <f t="shared" si="24"/>
        <v>333.33333333333331</v>
      </c>
      <c r="AA74" s="29">
        <v>0</v>
      </c>
      <c r="AB74" s="29">
        <f t="shared" si="37"/>
        <v>0</v>
      </c>
      <c r="AC74" s="11">
        <f t="shared" si="38"/>
        <v>333.33333333333331</v>
      </c>
      <c r="AD74" s="4">
        <f t="shared" si="31"/>
        <v>8375</v>
      </c>
      <c r="AE74" s="3">
        <f t="shared" si="39"/>
        <v>5384.6153846153848</v>
      </c>
      <c r="AF74" s="3">
        <f t="shared" si="40"/>
        <v>592.30769230769238</v>
      </c>
      <c r="AG74" s="1">
        <v>1666.6666666666667</v>
      </c>
      <c r="AH74" s="1">
        <f t="shared" si="41"/>
        <v>73392.307692307688</v>
      </c>
      <c r="AI74" s="1">
        <f t="shared" si="42"/>
        <v>369.03846153846143</v>
      </c>
      <c r="AJ74" s="3">
        <f t="shared" si="43"/>
        <v>4.1875</v>
      </c>
      <c r="AK74" s="4">
        <f t="shared" si="44"/>
        <v>7409.4663461538457</v>
      </c>
      <c r="AL74" s="3">
        <v>0</v>
      </c>
      <c r="AM74" s="4">
        <f t="shared" si="45"/>
        <v>7409.4663461538457</v>
      </c>
      <c r="AN74" s="1">
        <f t="shared" si="25"/>
        <v>1009.6153846153846</v>
      </c>
      <c r="AO74" s="46"/>
      <c r="AP74" s="55">
        <f t="shared" si="46"/>
        <v>9384.6153846153848</v>
      </c>
    </row>
    <row r="75" spans="1:42" customFormat="1" x14ac:dyDescent="0.35">
      <c r="A75" s="49" t="s">
        <v>111</v>
      </c>
      <c r="B75" s="25" t="s">
        <v>185</v>
      </c>
      <c r="C75" s="59" t="s">
        <v>200</v>
      </c>
      <c r="D75" s="41" t="s">
        <v>276</v>
      </c>
      <c r="E75" s="19">
        <v>30211172102986</v>
      </c>
      <c r="F75" s="14" t="s">
        <v>36</v>
      </c>
      <c r="G75" s="30">
        <v>4000</v>
      </c>
      <c r="H75" s="30">
        <v>3000</v>
      </c>
      <c r="I75" s="30">
        <v>0</v>
      </c>
      <c r="J75" s="53">
        <v>1</v>
      </c>
      <c r="K75" s="9">
        <f t="shared" si="32"/>
        <v>3000</v>
      </c>
      <c r="L75" s="9">
        <v>0</v>
      </c>
      <c r="M75" s="9">
        <f t="shared" si="33"/>
        <v>30</v>
      </c>
      <c r="N75" s="9">
        <f t="shared" si="26"/>
        <v>0</v>
      </c>
      <c r="O75" s="10">
        <f t="shared" si="27"/>
        <v>133.33333333333334</v>
      </c>
      <c r="P75" s="10">
        <f t="shared" si="28"/>
        <v>100</v>
      </c>
      <c r="Q75" s="10">
        <f t="shared" si="29"/>
        <v>233.33333333333334</v>
      </c>
      <c r="R75" s="10">
        <f t="shared" si="30"/>
        <v>16.666666666666668</v>
      </c>
      <c r="S75" s="9">
        <v>37</v>
      </c>
      <c r="T75" s="9">
        <f t="shared" si="34"/>
        <v>616.66666666666674</v>
      </c>
      <c r="U75" s="9">
        <v>0</v>
      </c>
      <c r="V75" s="15">
        <f t="shared" si="35"/>
        <v>7616.666666666667</v>
      </c>
      <c r="W75" s="52">
        <v>0</v>
      </c>
      <c r="X75" s="29">
        <f t="shared" si="36"/>
        <v>0</v>
      </c>
      <c r="Y75" s="43">
        <v>0</v>
      </c>
      <c r="Z75" s="29">
        <f t="shared" si="24"/>
        <v>0</v>
      </c>
      <c r="AA75" s="29">
        <v>0</v>
      </c>
      <c r="AB75" s="29">
        <f t="shared" si="37"/>
        <v>0</v>
      </c>
      <c r="AC75" s="11">
        <f t="shared" si="38"/>
        <v>0</v>
      </c>
      <c r="AD75" s="4">
        <f t="shared" si="31"/>
        <v>7616.666666666667</v>
      </c>
      <c r="AE75" s="3">
        <f t="shared" si="39"/>
        <v>5384.6153846153848</v>
      </c>
      <c r="AF75" s="3">
        <f t="shared" si="40"/>
        <v>592.30769230769238</v>
      </c>
      <c r="AG75" s="1">
        <v>1666.6666666666667</v>
      </c>
      <c r="AH75" s="1">
        <f t="shared" si="41"/>
        <v>64292.307692307688</v>
      </c>
      <c r="AI75" s="1">
        <f t="shared" si="42"/>
        <v>241.1538461538461</v>
      </c>
      <c r="AJ75" s="3">
        <f t="shared" si="43"/>
        <v>3.8083333333333336</v>
      </c>
      <c r="AK75" s="4">
        <f t="shared" si="44"/>
        <v>6779.3967948717955</v>
      </c>
      <c r="AL75" s="3">
        <v>0</v>
      </c>
      <c r="AM75" s="4">
        <f t="shared" si="45"/>
        <v>6779.3967948717955</v>
      </c>
      <c r="AN75" s="1">
        <f t="shared" si="25"/>
        <v>1009.6153846153846</v>
      </c>
      <c r="AO75" s="46"/>
      <c r="AP75" s="55">
        <f t="shared" si="46"/>
        <v>8626.2820512820508</v>
      </c>
    </row>
    <row r="76" spans="1:42" customFormat="1" x14ac:dyDescent="0.35">
      <c r="A76" s="49" t="s">
        <v>112</v>
      </c>
      <c r="B76" s="25" t="s">
        <v>183</v>
      </c>
      <c r="C76" s="59" t="s">
        <v>200</v>
      </c>
      <c r="D76" s="41" t="s">
        <v>277</v>
      </c>
      <c r="E76" s="19">
        <v>29505280104161</v>
      </c>
      <c r="F76" s="51" t="s">
        <v>36</v>
      </c>
      <c r="G76" s="30">
        <v>4000</v>
      </c>
      <c r="H76" s="30">
        <v>3000</v>
      </c>
      <c r="I76" s="30">
        <v>0</v>
      </c>
      <c r="J76" s="53">
        <v>1</v>
      </c>
      <c r="K76" s="9">
        <f t="shared" si="32"/>
        <v>3000</v>
      </c>
      <c r="L76" s="9">
        <v>0</v>
      </c>
      <c r="M76" s="9">
        <f t="shared" si="33"/>
        <v>30</v>
      </c>
      <c r="N76" s="9">
        <f t="shared" si="26"/>
        <v>0</v>
      </c>
      <c r="O76" s="10">
        <f t="shared" si="27"/>
        <v>133.33333333333334</v>
      </c>
      <c r="P76" s="10">
        <f t="shared" si="28"/>
        <v>100</v>
      </c>
      <c r="Q76" s="10">
        <f t="shared" si="29"/>
        <v>233.33333333333334</v>
      </c>
      <c r="R76" s="10">
        <f t="shared" si="30"/>
        <v>16.666666666666668</v>
      </c>
      <c r="S76" s="9">
        <v>36</v>
      </c>
      <c r="T76" s="9">
        <f t="shared" si="34"/>
        <v>600</v>
      </c>
      <c r="U76" s="9">
        <v>0</v>
      </c>
      <c r="V76" s="15">
        <f t="shared" si="35"/>
        <v>7600</v>
      </c>
      <c r="W76" s="52">
        <v>0</v>
      </c>
      <c r="X76" s="29">
        <f t="shared" si="36"/>
        <v>0</v>
      </c>
      <c r="Y76" s="43">
        <v>0</v>
      </c>
      <c r="Z76" s="29">
        <f t="shared" si="24"/>
        <v>0</v>
      </c>
      <c r="AA76" s="29">
        <v>0</v>
      </c>
      <c r="AB76" s="29">
        <f t="shared" si="37"/>
        <v>0</v>
      </c>
      <c r="AC76" s="11">
        <f t="shared" si="38"/>
        <v>0</v>
      </c>
      <c r="AD76" s="4">
        <f t="shared" si="31"/>
        <v>7600</v>
      </c>
      <c r="AE76" s="3">
        <f t="shared" si="39"/>
        <v>5384.6153846153848</v>
      </c>
      <c r="AF76" s="3">
        <f t="shared" si="40"/>
        <v>592.30769230769238</v>
      </c>
      <c r="AG76" s="1">
        <v>1666.6666666666667</v>
      </c>
      <c r="AH76" s="1">
        <f t="shared" si="41"/>
        <v>64092.307692307688</v>
      </c>
      <c r="AI76" s="1">
        <f t="shared" si="42"/>
        <v>238.6538461538461</v>
      </c>
      <c r="AJ76" s="3">
        <f t="shared" si="43"/>
        <v>3.8000000000000003</v>
      </c>
      <c r="AK76" s="4">
        <f t="shared" si="44"/>
        <v>6765.2384615384617</v>
      </c>
      <c r="AL76" s="3">
        <v>0</v>
      </c>
      <c r="AM76" s="4">
        <f t="shared" si="45"/>
        <v>6765.2384615384617</v>
      </c>
      <c r="AN76" s="1">
        <f t="shared" si="25"/>
        <v>1009.6153846153846</v>
      </c>
      <c r="AO76" s="46"/>
      <c r="AP76" s="55">
        <f t="shared" si="46"/>
        <v>8609.6153846153848</v>
      </c>
    </row>
    <row r="77" spans="1:42" customFormat="1" x14ac:dyDescent="0.35">
      <c r="A77" s="49" t="s">
        <v>113</v>
      </c>
      <c r="B77" s="25" t="s">
        <v>186</v>
      </c>
      <c r="C77" s="59" t="s">
        <v>200</v>
      </c>
      <c r="D77" s="41" t="s">
        <v>278</v>
      </c>
      <c r="E77" s="19">
        <v>29909172101701</v>
      </c>
      <c r="F77" s="14" t="s">
        <v>36</v>
      </c>
      <c r="G77" s="30">
        <v>4000</v>
      </c>
      <c r="H77" s="30">
        <v>3000</v>
      </c>
      <c r="I77" s="30">
        <v>0</v>
      </c>
      <c r="J77" s="53">
        <v>1</v>
      </c>
      <c r="K77" s="9">
        <f t="shared" si="32"/>
        <v>3000</v>
      </c>
      <c r="L77" s="9">
        <v>0</v>
      </c>
      <c r="M77" s="9">
        <f t="shared" si="33"/>
        <v>30</v>
      </c>
      <c r="N77" s="9">
        <f t="shared" si="26"/>
        <v>0</v>
      </c>
      <c r="O77" s="10">
        <f t="shared" si="27"/>
        <v>133.33333333333334</v>
      </c>
      <c r="P77" s="10">
        <f t="shared" si="28"/>
        <v>100</v>
      </c>
      <c r="Q77" s="10">
        <f t="shared" si="29"/>
        <v>233.33333333333334</v>
      </c>
      <c r="R77" s="10">
        <f t="shared" si="30"/>
        <v>16.666666666666668</v>
      </c>
      <c r="S77" s="9">
        <v>16</v>
      </c>
      <c r="T77" s="9">
        <f t="shared" si="34"/>
        <v>266.66666666666669</v>
      </c>
      <c r="U77" s="9">
        <v>0</v>
      </c>
      <c r="V77" s="15">
        <f t="shared" si="35"/>
        <v>7266.666666666667</v>
      </c>
      <c r="W77" s="52">
        <v>0</v>
      </c>
      <c r="X77" s="29">
        <f t="shared" si="36"/>
        <v>0</v>
      </c>
      <c r="Y77" s="43">
        <v>0</v>
      </c>
      <c r="Z77" s="29">
        <f t="shared" si="24"/>
        <v>0</v>
      </c>
      <c r="AA77" s="29">
        <v>0</v>
      </c>
      <c r="AB77" s="29">
        <f t="shared" si="37"/>
        <v>0</v>
      </c>
      <c r="AC77" s="11">
        <f t="shared" si="38"/>
        <v>0</v>
      </c>
      <c r="AD77" s="4">
        <f t="shared" si="31"/>
        <v>7266.666666666667</v>
      </c>
      <c r="AE77" s="3">
        <f t="shared" si="39"/>
        <v>5384.6153846153848</v>
      </c>
      <c r="AF77" s="3">
        <f t="shared" si="40"/>
        <v>592.30769230769238</v>
      </c>
      <c r="AG77" s="1">
        <v>1666.6666666666667</v>
      </c>
      <c r="AH77" s="1">
        <f t="shared" si="41"/>
        <v>60092.307692307688</v>
      </c>
      <c r="AI77" s="1">
        <f t="shared" si="42"/>
        <v>188.6538461538461</v>
      </c>
      <c r="AJ77" s="3">
        <f t="shared" si="43"/>
        <v>3.6333333333333337</v>
      </c>
      <c r="AK77" s="4">
        <f t="shared" si="44"/>
        <v>6482.0717948717956</v>
      </c>
      <c r="AL77" s="3">
        <v>0</v>
      </c>
      <c r="AM77" s="4">
        <f t="shared" si="45"/>
        <v>6482.0717948717956</v>
      </c>
      <c r="AN77" s="1">
        <f t="shared" si="25"/>
        <v>1009.6153846153846</v>
      </c>
      <c r="AO77" s="46"/>
      <c r="AP77" s="55">
        <f t="shared" si="46"/>
        <v>8276.2820512820508</v>
      </c>
    </row>
    <row r="78" spans="1:42" customFormat="1" x14ac:dyDescent="0.35">
      <c r="A78" s="49" t="s">
        <v>114</v>
      </c>
      <c r="B78" s="25" t="s">
        <v>187</v>
      </c>
      <c r="C78" s="59" t="s">
        <v>200</v>
      </c>
      <c r="D78" s="41" t="s">
        <v>279</v>
      </c>
      <c r="E78" s="19">
        <v>29707210103355</v>
      </c>
      <c r="F78" s="14" t="s">
        <v>36</v>
      </c>
      <c r="G78" s="30">
        <v>4000</v>
      </c>
      <c r="H78" s="30">
        <v>3000</v>
      </c>
      <c r="I78" s="30">
        <v>0</v>
      </c>
      <c r="J78" s="53">
        <v>1</v>
      </c>
      <c r="K78" s="9">
        <f t="shared" si="32"/>
        <v>3000</v>
      </c>
      <c r="L78" s="9">
        <v>0</v>
      </c>
      <c r="M78" s="9">
        <f t="shared" si="33"/>
        <v>30</v>
      </c>
      <c r="N78" s="9">
        <f t="shared" si="26"/>
        <v>0</v>
      </c>
      <c r="O78" s="10">
        <f t="shared" si="27"/>
        <v>133.33333333333334</v>
      </c>
      <c r="P78" s="10">
        <f t="shared" si="28"/>
        <v>100</v>
      </c>
      <c r="Q78" s="10">
        <f t="shared" si="29"/>
        <v>233.33333333333334</v>
      </c>
      <c r="R78" s="10">
        <f t="shared" si="30"/>
        <v>16.666666666666668</v>
      </c>
      <c r="S78" s="9">
        <v>33</v>
      </c>
      <c r="T78" s="9">
        <f t="shared" si="34"/>
        <v>550</v>
      </c>
      <c r="U78" s="9">
        <v>0</v>
      </c>
      <c r="V78" s="15">
        <f t="shared" si="35"/>
        <v>7550</v>
      </c>
      <c r="W78" s="52">
        <v>0</v>
      </c>
      <c r="X78" s="29">
        <f t="shared" si="36"/>
        <v>0</v>
      </c>
      <c r="Y78" s="43">
        <v>2</v>
      </c>
      <c r="Z78" s="29">
        <f t="shared" si="24"/>
        <v>266.66666666666669</v>
      </c>
      <c r="AA78" s="29">
        <v>0</v>
      </c>
      <c r="AB78" s="29">
        <f t="shared" si="37"/>
        <v>0</v>
      </c>
      <c r="AC78" s="11">
        <f t="shared" si="38"/>
        <v>266.66666666666669</v>
      </c>
      <c r="AD78" s="4">
        <f t="shared" si="31"/>
        <v>7283.333333333333</v>
      </c>
      <c r="AE78" s="3">
        <f t="shared" si="39"/>
        <v>5384.6153846153848</v>
      </c>
      <c r="AF78" s="3">
        <f t="shared" si="40"/>
        <v>592.30769230769238</v>
      </c>
      <c r="AG78" s="1">
        <v>1666.6666666666667</v>
      </c>
      <c r="AH78" s="1">
        <f t="shared" si="41"/>
        <v>60292.307692307688</v>
      </c>
      <c r="AI78" s="1">
        <f t="shared" si="42"/>
        <v>191.1538461538461</v>
      </c>
      <c r="AJ78" s="3">
        <f t="shared" si="43"/>
        <v>3.6416666666666666</v>
      </c>
      <c r="AK78" s="4">
        <f t="shared" si="44"/>
        <v>6496.2301282051285</v>
      </c>
      <c r="AL78" s="3">
        <v>0</v>
      </c>
      <c r="AM78" s="4">
        <f t="shared" si="45"/>
        <v>6496.2301282051285</v>
      </c>
      <c r="AN78" s="1">
        <f t="shared" si="25"/>
        <v>1009.6153846153846</v>
      </c>
      <c r="AO78" s="46"/>
      <c r="AP78" s="55">
        <f t="shared" si="46"/>
        <v>8292.9487179487169</v>
      </c>
    </row>
    <row r="79" spans="1:42" customFormat="1" x14ac:dyDescent="0.35">
      <c r="A79" s="49" t="s">
        <v>115</v>
      </c>
      <c r="B79" s="25" t="s">
        <v>188</v>
      </c>
      <c r="C79" s="59" t="s">
        <v>200</v>
      </c>
      <c r="D79" s="41" t="s">
        <v>280</v>
      </c>
      <c r="E79" s="19">
        <v>30609300123553</v>
      </c>
      <c r="F79" s="14" t="s">
        <v>36</v>
      </c>
      <c r="G79" s="30">
        <v>4000</v>
      </c>
      <c r="H79" s="30">
        <v>3000</v>
      </c>
      <c r="I79" s="30">
        <v>0</v>
      </c>
      <c r="J79" s="53">
        <v>1</v>
      </c>
      <c r="K79" s="9">
        <f t="shared" si="32"/>
        <v>3000</v>
      </c>
      <c r="L79" s="9">
        <v>0</v>
      </c>
      <c r="M79" s="9">
        <f t="shared" si="33"/>
        <v>30</v>
      </c>
      <c r="N79" s="9">
        <f t="shared" si="26"/>
        <v>0</v>
      </c>
      <c r="O79" s="10">
        <f t="shared" si="27"/>
        <v>133.33333333333334</v>
      </c>
      <c r="P79" s="10">
        <f t="shared" si="28"/>
        <v>100</v>
      </c>
      <c r="Q79" s="10">
        <f t="shared" si="29"/>
        <v>233.33333333333334</v>
      </c>
      <c r="R79" s="10">
        <f t="shared" si="30"/>
        <v>16.666666666666668</v>
      </c>
      <c r="S79" s="9">
        <v>36</v>
      </c>
      <c r="T79" s="9">
        <f t="shared" si="34"/>
        <v>600</v>
      </c>
      <c r="U79" s="9">
        <v>0</v>
      </c>
      <c r="V79" s="15">
        <f t="shared" si="35"/>
        <v>7600</v>
      </c>
      <c r="W79" s="52">
        <v>0</v>
      </c>
      <c r="X79" s="29">
        <f t="shared" si="36"/>
        <v>0</v>
      </c>
      <c r="Y79" s="43">
        <v>2</v>
      </c>
      <c r="Z79" s="29">
        <f t="shared" ref="Z79:Z81" si="47">Y79*O79</f>
        <v>266.66666666666669</v>
      </c>
      <c r="AA79" s="29">
        <v>0</v>
      </c>
      <c r="AB79" s="29">
        <f t="shared" si="37"/>
        <v>0</v>
      </c>
      <c r="AC79" s="11">
        <f t="shared" si="38"/>
        <v>266.66666666666669</v>
      </c>
      <c r="AD79" s="4">
        <f t="shared" si="31"/>
        <v>7333.333333333333</v>
      </c>
      <c r="AE79" s="3">
        <f t="shared" si="39"/>
        <v>5384.6153846153848</v>
      </c>
      <c r="AF79" s="3">
        <f t="shared" si="40"/>
        <v>592.30769230769238</v>
      </c>
      <c r="AG79" s="1">
        <v>1666.6666666666667</v>
      </c>
      <c r="AH79" s="1">
        <f t="shared" si="41"/>
        <v>60892.307692307688</v>
      </c>
      <c r="AI79" s="1">
        <f t="shared" si="42"/>
        <v>198.6538461538461</v>
      </c>
      <c r="AJ79" s="3">
        <f t="shared" si="43"/>
        <v>3.6666666666666665</v>
      </c>
      <c r="AK79" s="4">
        <f t="shared" si="44"/>
        <v>6538.7051282051279</v>
      </c>
      <c r="AL79" s="3">
        <v>0</v>
      </c>
      <c r="AM79" s="4">
        <f>+AK79-AL79</f>
        <v>6538.7051282051279</v>
      </c>
      <c r="AN79" s="1">
        <f>+AE79*0.1875</f>
        <v>1009.6153846153846</v>
      </c>
      <c r="AO79" s="46"/>
      <c r="AP79" s="55">
        <f t="shared" si="46"/>
        <v>8342.9487179487169</v>
      </c>
    </row>
    <row r="80" spans="1:42" customFormat="1" x14ac:dyDescent="0.35">
      <c r="A80" s="49" t="s">
        <v>116</v>
      </c>
      <c r="B80" s="25" t="s">
        <v>199</v>
      </c>
      <c r="C80" s="40" t="s">
        <v>201</v>
      </c>
      <c r="D80" s="41" t="s">
        <v>281</v>
      </c>
      <c r="E80" s="19">
        <v>30509292105295</v>
      </c>
      <c r="F80" s="14" t="s">
        <v>36</v>
      </c>
      <c r="G80" s="30">
        <v>4000</v>
      </c>
      <c r="H80" s="30">
        <v>3000</v>
      </c>
      <c r="I80" s="30">
        <v>0</v>
      </c>
      <c r="J80" s="53">
        <v>1</v>
      </c>
      <c r="K80" s="9">
        <f t="shared" si="32"/>
        <v>3000</v>
      </c>
      <c r="L80" s="9">
        <v>0</v>
      </c>
      <c r="M80" s="9">
        <f t="shared" si="33"/>
        <v>4</v>
      </c>
      <c r="N80" s="9">
        <f t="shared" si="26"/>
        <v>0</v>
      </c>
      <c r="O80" s="10">
        <f t="shared" si="27"/>
        <v>133.33333333333334</v>
      </c>
      <c r="P80" s="10">
        <f t="shared" si="28"/>
        <v>100</v>
      </c>
      <c r="Q80" s="10">
        <f t="shared" si="29"/>
        <v>233.33333333333334</v>
      </c>
      <c r="R80" s="10">
        <f t="shared" si="30"/>
        <v>16.666666666666668</v>
      </c>
      <c r="S80" s="9">
        <v>2</v>
      </c>
      <c r="T80" s="9">
        <f t="shared" si="34"/>
        <v>33.333333333333336</v>
      </c>
      <c r="U80" s="9">
        <v>0</v>
      </c>
      <c r="V80" s="15">
        <f t="shared" si="35"/>
        <v>7033.333333333333</v>
      </c>
      <c r="W80" s="52">
        <v>26</v>
      </c>
      <c r="X80" s="29">
        <f t="shared" si="36"/>
        <v>6066.666666666667</v>
      </c>
      <c r="Y80" s="43">
        <v>0</v>
      </c>
      <c r="Z80" s="29">
        <f t="shared" si="47"/>
        <v>0</v>
      </c>
      <c r="AA80" s="29">
        <v>0</v>
      </c>
      <c r="AB80" s="29">
        <f t="shared" si="37"/>
        <v>0</v>
      </c>
      <c r="AC80" s="11">
        <f t="shared" si="38"/>
        <v>6066.666666666667</v>
      </c>
      <c r="AD80" s="4">
        <f t="shared" si="31"/>
        <v>966.66666666666606</v>
      </c>
      <c r="AE80" s="3">
        <v>0</v>
      </c>
      <c r="AF80" s="3">
        <f>+AE80*0.11</f>
        <v>0</v>
      </c>
      <c r="AG80" s="1">
        <v>1666.6666666666667</v>
      </c>
      <c r="AH80" s="1">
        <f>(AD80-AF80-AG80)*12</f>
        <v>-8400.0000000000073</v>
      </c>
      <c r="AI80" s="1">
        <f>IF(AND(AH80&gt;40000,AH80&lt;=55000),(AH80-40000)*10%,
IF(AND(AH80&gt;55000,AH80&lt;=70000),(AH80-55000)*15%+15000*10%,
IF(AND(AH80&gt;70000,AH80&lt;=200000),(AH80-70000)*20%+15000*10%+15000*15%,
IF(AND(AH80&gt;200000,AH80&lt;=400000),(AH80-200000)*22.5%+15000*10%+15000*15%+130000*20%,
IF(AND(AH80&gt;400000,AH80&lt;=600000),(AH80-400000)*25%+15000*10%+15000*15%+130000*20%+200000*22.5%,
IF(AND(AH80&gt;600000,AH80&lt;=700000),(AH80-400000)*25%+55000*10%+15000*15%+130000*20%+200000*22.5%,
IF(AND(AH80&gt;700000,AH80&lt;=800000),(AH80-400000)*25%+70000*15%+130000*20%+200000*22.5%,
IF(AND(AH80&gt;800000,AH80&lt;=900000),(AH80-400000)*25%+200000*20%+200000*22.5%,
IF(AND(AH80&gt;900000,AH80&lt;=1200000),(AH80-400000)*25%+400000*22.5%,
IF(AH80&gt;1200000,(AH80-1200000)*27.5%+1200000*25%))))))))))/12</f>
        <v>0</v>
      </c>
      <c r="AJ80" s="3">
        <f>+AD80*0.0005</f>
        <v>0.48333333333333306</v>
      </c>
      <c r="AK80" s="4">
        <f t="shared" si="44"/>
        <v>966.18333333333271</v>
      </c>
      <c r="AL80" s="3">
        <v>0</v>
      </c>
      <c r="AM80" s="4">
        <f t="shared" ref="AM80" si="48">+AK80-AL80</f>
        <v>966.18333333333271</v>
      </c>
      <c r="AN80" s="1">
        <f t="shared" ref="AN80" si="49">+AE80*0.1875</f>
        <v>0</v>
      </c>
      <c r="AO80" s="46"/>
      <c r="AP80" s="55">
        <f t="shared" si="46"/>
        <v>966.66666666666606</v>
      </c>
    </row>
    <row r="81" spans="1:42" customFormat="1" x14ac:dyDescent="0.35">
      <c r="A81" s="49" t="s">
        <v>190</v>
      </c>
      <c r="B81" s="25" t="s">
        <v>189</v>
      </c>
      <c r="C81" s="40" t="s">
        <v>33</v>
      </c>
      <c r="D81" s="41" t="s">
        <v>282</v>
      </c>
      <c r="E81" s="19">
        <v>29901110102603</v>
      </c>
      <c r="F81" s="14" t="s">
        <v>36</v>
      </c>
      <c r="G81" s="30">
        <v>4000</v>
      </c>
      <c r="H81" s="30">
        <v>3000</v>
      </c>
      <c r="I81" s="30">
        <v>900</v>
      </c>
      <c r="J81" s="53">
        <v>1</v>
      </c>
      <c r="K81" s="9">
        <f t="shared" si="32"/>
        <v>3000</v>
      </c>
      <c r="L81" s="9">
        <v>0</v>
      </c>
      <c r="M81" s="9">
        <f t="shared" si="33"/>
        <v>30</v>
      </c>
      <c r="N81" s="9">
        <f t="shared" si="26"/>
        <v>0</v>
      </c>
      <c r="O81" s="10">
        <f t="shared" si="27"/>
        <v>133.33333333333334</v>
      </c>
      <c r="P81" s="10">
        <f t="shared" si="28"/>
        <v>100</v>
      </c>
      <c r="Q81" s="10">
        <f t="shared" si="29"/>
        <v>233.33333333333334</v>
      </c>
      <c r="R81" s="10">
        <f t="shared" si="30"/>
        <v>16.666666666666668</v>
      </c>
      <c r="S81" s="9">
        <v>16</v>
      </c>
      <c r="T81" s="9">
        <f t="shared" si="34"/>
        <v>266.66666666666669</v>
      </c>
      <c r="U81" s="9">
        <v>0</v>
      </c>
      <c r="V81" s="15">
        <f t="shared" si="35"/>
        <v>8166.666666666667</v>
      </c>
      <c r="W81" s="52">
        <v>0</v>
      </c>
      <c r="X81" s="29">
        <f t="shared" si="36"/>
        <v>0</v>
      </c>
      <c r="Y81" s="43">
        <v>0</v>
      </c>
      <c r="Z81" s="29">
        <f t="shared" si="47"/>
        <v>0</v>
      </c>
      <c r="AA81" s="29">
        <v>0</v>
      </c>
      <c r="AB81" s="29">
        <f t="shared" si="37"/>
        <v>0</v>
      </c>
      <c r="AC81" s="11">
        <f t="shared" si="38"/>
        <v>0</v>
      </c>
      <c r="AD81" s="4">
        <f t="shared" si="31"/>
        <v>8166.666666666667</v>
      </c>
      <c r="AE81" s="3">
        <f t="shared" ref="AE81" si="50">7000/1.3</f>
        <v>5384.6153846153848</v>
      </c>
      <c r="AF81" s="3">
        <f t="shared" ref="AF81" si="51">+AE81*0.11</f>
        <v>592.30769230769238</v>
      </c>
      <c r="AG81" s="1">
        <v>1666.6666666666667</v>
      </c>
      <c r="AH81" s="1">
        <f t="shared" ref="AH81" si="52">(AD81-AF81-AG81)*12</f>
        <v>70892.307692307688</v>
      </c>
      <c r="AI81" s="1">
        <f t="shared" ref="AI81" si="53">IF(AND(AH81&gt;40000,AH81&lt;=55000),(AH81-40000)*10%,
IF(AND(AH81&gt;55000,AH81&lt;=70000),(AH81-55000)*15%+15000*10%,
IF(AND(AH81&gt;70000,AH81&lt;=200000),(AH81-70000)*20%+15000*10%+15000*15%,
IF(AND(AH81&gt;200000,AH81&lt;=400000),(AH81-200000)*22.5%+15000*10%+15000*15%+130000*20%,
IF(AND(AH81&gt;400000,AH81&lt;=600000),(AH81-400000)*25%+15000*10%+15000*15%+130000*20%+200000*22.5%,
IF(AND(AH81&gt;600000,AH81&lt;=700000),(AH81-400000)*25%+55000*10%+15000*15%+130000*20%+200000*22.5%,
IF(AND(AH81&gt;700000,AH81&lt;=800000),(AH81-400000)*25%+70000*15%+130000*20%+200000*22.5%,
IF(AND(AH81&gt;800000,AH81&lt;=900000),(AH81-400000)*25%+200000*20%+200000*22.5%,
IF(AND(AH81&gt;900000,AH81&lt;=1200000),(AH81-400000)*25%+400000*22.5%,
IF(AH81&gt;1200000,(AH81-1200000)*27.5%+1200000*25%))))))))))/12</f>
        <v>327.3717948717948</v>
      </c>
      <c r="AJ81" s="3">
        <f t="shared" ref="AJ81" si="54">+AD81*0.0005</f>
        <v>4.0833333333333339</v>
      </c>
      <c r="AK81" s="4">
        <f t="shared" si="44"/>
        <v>7242.9038461538466</v>
      </c>
      <c r="AL81" s="3">
        <v>0</v>
      </c>
      <c r="AM81" s="4">
        <f>+AK81-AL81</f>
        <v>7242.9038461538466</v>
      </c>
      <c r="AN81" s="1">
        <f>+AE81*0.1875</f>
        <v>1009.6153846153846</v>
      </c>
      <c r="AO81" s="46"/>
      <c r="AP81" s="55">
        <f t="shared" si="46"/>
        <v>9176.2820512820508</v>
      </c>
    </row>
    <row r="82" spans="1:42" s="13" customFormat="1" ht="18.5" x14ac:dyDescent="0.35">
      <c r="A82" s="57"/>
      <c r="B82" s="57"/>
      <c r="C82" s="57"/>
      <c r="D82" s="57"/>
      <c r="E82" s="57"/>
      <c r="F82" s="58"/>
      <c r="G82" s="31">
        <f>SUM(G3:G76)</f>
        <v>301000</v>
      </c>
      <c r="H82" s="31">
        <f>SUM(H3:H76)</f>
        <v>222000</v>
      </c>
      <c r="I82" s="31">
        <f ca="1">SUM(I3:I84)</f>
        <v>0</v>
      </c>
      <c r="J82" s="12"/>
      <c r="K82" s="12">
        <f>SUM(K3:K76)</f>
        <v>222000</v>
      </c>
      <c r="L82" s="12"/>
      <c r="M82" s="12"/>
      <c r="N82" s="12">
        <f>SUM(N3:N76)</f>
        <v>0</v>
      </c>
      <c r="O82" s="12">
        <f>SUM(O3:O76)</f>
        <v>10033.333333333332</v>
      </c>
      <c r="P82" s="12"/>
      <c r="Q82" s="12"/>
      <c r="R82" s="12"/>
      <c r="S82" s="12">
        <f>SUM(S3:S81)</f>
        <v>2312</v>
      </c>
      <c r="T82" s="12">
        <f t="shared" ref="T82:AF82" si="55">SUM(T3:T76)</f>
        <v>37387.500000000007</v>
      </c>
      <c r="U82" s="12">
        <f t="shared" si="55"/>
        <v>0</v>
      </c>
      <c r="V82" s="12">
        <f t="shared" si="55"/>
        <v>569487.50000000035</v>
      </c>
      <c r="W82" s="31">
        <f t="shared" si="55"/>
        <v>47</v>
      </c>
      <c r="X82" s="31">
        <f t="shared" si="55"/>
        <v>10966.666666666668</v>
      </c>
      <c r="Y82" s="31">
        <f t="shared" si="55"/>
        <v>33</v>
      </c>
      <c r="Z82" s="31">
        <f t="shared" si="55"/>
        <v>4466.666666666667</v>
      </c>
      <c r="AA82" s="31">
        <f t="shared" si="55"/>
        <v>0</v>
      </c>
      <c r="AB82" s="31">
        <f t="shared" si="55"/>
        <v>0</v>
      </c>
      <c r="AC82" s="12">
        <f t="shared" si="55"/>
        <v>15433.333333333334</v>
      </c>
      <c r="AD82" s="12">
        <f t="shared" si="55"/>
        <v>554054.16666666686</v>
      </c>
      <c r="AE82" s="12">
        <f t="shared" si="55"/>
        <v>387692.30769230734</v>
      </c>
      <c r="AF82" s="12">
        <f t="shared" si="55"/>
        <v>42646.153846153858</v>
      </c>
      <c r="AG82" s="12"/>
      <c r="AH82" s="12"/>
      <c r="AI82" s="12">
        <f t="shared" ref="AI82:AN82" si="56">SUM(AI3:AI76)</f>
        <v>17890.192307692298</v>
      </c>
      <c r="AJ82" s="12">
        <f t="shared" si="56"/>
        <v>277.02708333333334</v>
      </c>
      <c r="AK82" s="12">
        <f t="shared" si="56"/>
        <v>493240.79342948721</v>
      </c>
      <c r="AL82" s="12">
        <f t="shared" si="56"/>
        <v>0</v>
      </c>
      <c r="AM82" s="44">
        <f t="shared" si="56"/>
        <v>493240.79342948721</v>
      </c>
      <c r="AN82" s="12">
        <f t="shared" si="56"/>
        <v>72692.307692307659</v>
      </c>
      <c r="AO82" s="47"/>
      <c r="AP82" s="12">
        <f ca="1">SUM(AP3:AP84)</f>
        <v>73707.1875</v>
      </c>
    </row>
    <row r="83" spans="1:42" x14ac:dyDescent="0.35">
      <c r="O83" s="2"/>
    </row>
    <row r="84" spans="1:42" x14ac:dyDescent="0.35">
      <c r="O84" s="2"/>
    </row>
    <row r="85" spans="1:42" s="13" customFormat="1" ht="18.5" x14ac:dyDescent="0.35">
      <c r="B85" s="24"/>
      <c r="C85" s="24"/>
      <c r="D85" s="35"/>
      <c r="O85"/>
      <c r="AP85"/>
    </row>
    <row r="88" spans="1:42" x14ac:dyDescent="0.35">
      <c r="S88" s="60"/>
    </row>
  </sheetData>
  <protectedRanges>
    <protectedRange sqref="D55 D4 D47:D49 B3:B67" name="Range3_1_2"/>
    <protectedRange sqref="D55 D4 D47:D49 B3:B67" name="Range2_1_2"/>
    <protectedRange sqref="D3 D5:D46 D56:D67 D50:D54" name="Range1_1_2"/>
    <protectedRange sqref="E3:E67" name="Range1_2_2"/>
    <protectedRange sqref="B68:B81" name="Range3_1_2_1"/>
    <protectedRange sqref="B68:B81" name="Range2_1_2_1"/>
    <protectedRange sqref="D68:D81" name="Range1_1_2_1"/>
    <protectedRange sqref="E68:E81" name="Range1_2_2_1"/>
    <protectedRange sqref="C80:C81 C9:C10 C12:C14 C16 C18 C21 C24 C28 C32 C34:C36 C38 C42:C44 C54 C59 C63 C65 C68 C71:C72" name="Range3_1_2_3"/>
    <protectedRange sqref="C80:C81 C9:C10 C12:C14 C16 C18 C21 C24 C28 C32 C34:C36 C38 C42:C44 C54 C59 C63 C65 C68 C71:C72" name="Range2_1_2_3"/>
    <protectedRange sqref="C3:C8 C11 C15 C17 C19:C20 C22:C23 C25:C27 C29:C31 C33 C37 C39:C41 C45:C53 C56:C58 C60:C62 C64 C66:C67 C69:C70 C73:C79" name="Range3_1_2_3_1"/>
    <protectedRange sqref="C3:C8 C11 C15 C17 C19:C20 C22:C23 C25:C27 C29:C31 C33 C37 C39:C41 C45:C53 C56:C58 C60:C62 C64 C66:C67 C69:C70 C73:C79" name="Range2_1_2_3_1"/>
  </protectedRanges>
  <autoFilter ref="A2:AN82" xr:uid="{00000000-0009-0000-0000-000000000000}"/>
  <sortState xmlns:xlrd2="http://schemas.microsoft.com/office/spreadsheetml/2017/richdata2" ref="H90:H100">
    <sortCondition ref="H90"/>
  </sortState>
  <mergeCells count="1">
    <mergeCell ref="A1:C1"/>
  </mergeCells>
  <phoneticPr fontId="15" type="noConversion"/>
  <conditionalFormatting sqref="B3">
    <cfRule type="duplicateValues" dxfId="70" priority="72"/>
  </conditionalFormatting>
  <conditionalFormatting sqref="B4 D4">
    <cfRule type="duplicateValues" dxfId="69" priority="187"/>
  </conditionalFormatting>
  <conditionalFormatting sqref="B5:B49">
    <cfRule type="duplicateValues" dxfId="68" priority="143"/>
  </conditionalFormatting>
  <conditionalFormatting sqref="B51">
    <cfRule type="duplicateValues" dxfId="67" priority="28"/>
  </conditionalFormatting>
  <conditionalFormatting sqref="B68">
    <cfRule type="duplicateValues" dxfId="66" priority="35"/>
  </conditionalFormatting>
  <conditionalFormatting sqref="B69">
    <cfRule type="duplicateValues" dxfId="65" priority="38"/>
  </conditionalFormatting>
  <conditionalFormatting sqref="B70">
    <cfRule type="duplicateValues" dxfId="64" priority="41"/>
  </conditionalFormatting>
  <conditionalFormatting sqref="B71">
    <cfRule type="duplicateValues" dxfId="63" priority="44"/>
  </conditionalFormatting>
  <conditionalFormatting sqref="B72">
    <cfRule type="duplicateValues" dxfId="62" priority="47"/>
  </conditionalFormatting>
  <conditionalFormatting sqref="B73">
    <cfRule type="duplicateValues" dxfId="61" priority="50"/>
  </conditionalFormatting>
  <conditionalFormatting sqref="B74">
    <cfRule type="duplicateValues" dxfId="60" priority="53"/>
  </conditionalFormatting>
  <conditionalFormatting sqref="B75">
    <cfRule type="duplicateValues" dxfId="59" priority="56"/>
  </conditionalFormatting>
  <conditionalFormatting sqref="B76">
    <cfRule type="duplicateValues" dxfId="58" priority="62"/>
  </conditionalFormatting>
  <conditionalFormatting sqref="B79:B81">
    <cfRule type="duplicateValues" dxfId="57" priority="22"/>
  </conditionalFormatting>
  <conditionalFormatting sqref="C55">
    <cfRule type="cellIs" dxfId="56" priority="20" operator="equal">
      <formula>$AE$67</formula>
    </cfRule>
  </conditionalFormatting>
  <conditionalFormatting sqref="D3:D81">
    <cfRule type="duplicateValues" dxfId="54" priority="189"/>
    <cfRule type="duplicateValues" dxfId="53" priority="190"/>
  </conditionalFormatting>
  <conditionalFormatting sqref="D47">
    <cfRule type="duplicateValues" dxfId="52" priority="191"/>
    <cfRule type="duplicateValues" dxfId="51" priority="192"/>
    <cfRule type="duplicateValues" dxfId="50" priority="193"/>
    <cfRule type="duplicateValues" dxfId="49" priority="194"/>
  </conditionalFormatting>
  <conditionalFormatting sqref="D48">
    <cfRule type="duplicateValues" dxfId="48" priority="195"/>
    <cfRule type="duplicateValues" dxfId="47" priority="196"/>
    <cfRule type="duplicateValues" dxfId="46" priority="197"/>
    <cfRule type="duplicateValues" dxfId="45" priority="198"/>
  </conditionalFormatting>
  <conditionalFormatting sqref="D49">
    <cfRule type="duplicateValues" dxfId="44" priority="199"/>
  </conditionalFormatting>
  <conditionalFormatting sqref="D51">
    <cfRule type="duplicateValues" dxfId="43" priority="200"/>
    <cfRule type="duplicateValues" dxfId="42" priority="201"/>
    <cfRule type="duplicateValues" dxfId="41" priority="202"/>
  </conditionalFormatting>
  <conditionalFormatting sqref="D55">
    <cfRule type="duplicateValues" dxfId="40" priority="203"/>
    <cfRule type="duplicateValues" dxfId="39" priority="204"/>
    <cfRule type="duplicateValues" dxfId="38" priority="205"/>
  </conditionalFormatting>
  <conditionalFormatting sqref="D68">
    <cfRule type="duplicateValues" dxfId="37" priority="206"/>
  </conditionalFormatting>
  <conditionalFormatting sqref="D69">
    <cfRule type="duplicateValues" dxfId="36" priority="207"/>
  </conditionalFormatting>
  <conditionalFormatting sqref="D70">
    <cfRule type="duplicateValues" dxfId="35" priority="208"/>
  </conditionalFormatting>
  <conditionalFormatting sqref="D71">
    <cfRule type="duplicateValues" dxfId="34" priority="209"/>
  </conditionalFormatting>
  <conditionalFormatting sqref="D72">
    <cfRule type="duplicateValues" dxfId="33" priority="210"/>
  </conditionalFormatting>
  <conditionalFormatting sqref="D73">
    <cfRule type="duplicateValues" dxfId="32" priority="211"/>
  </conditionalFormatting>
  <conditionalFormatting sqref="D74">
    <cfRule type="duplicateValues" dxfId="31" priority="212"/>
  </conditionalFormatting>
  <conditionalFormatting sqref="D75">
    <cfRule type="duplicateValues" dxfId="30" priority="213"/>
  </conditionalFormatting>
  <conditionalFormatting sqref="D76">
    <cfRule type="duplicateValues" dxfId="29" priority="214"/>
  </conditionalFormatting>
  <conditionalFormatting sqref="D79:D81">
    <cfRule type="duplicateValues" dxfId="28" priority="215"/>
  </conditionalFormatting>
  <conditionalFormatting sqref="E4">
    <cfRule type="duplicateValues" dxfId="27" priority="81"/>
  </conditionalFormatting>
  <conditionalFormatting sqref="E47">
    <cfRule type="duplicateValues" dxfId="26" priority="128"/>
  </conditionalFormatting>
  <conditionalFormatting sqref="E48:E49">
    <cfRule type="duplicateValues" dxfId="25" priority="97"/>
  </conditionalFormatting>
  <conditionalFormatting sqref="E51">
    <cfRule type="duplicateValues" dxfId="24" priority="30"/>
    <cfRule type="duplicateValues" dxfId="23" priority="32"/>
    <cfRule type="duplicateValues" dxfId="22" priority="34"/>
  </conditionalFormatting>
  <conditionalFormatting sqref="E55">
    <cfRule type="duplicateValues" dxfId="21" priority="99"/>
  </conditionalFormatting>
  <conditionalFormatting sqref="E68">
    <cfRule type="duplicateValues" dxfId="20" priority="37"/>
  </conditionalFormatting>
  <conditionalFormatting sqref="E69">
    <cfRule type="duplicateValues" dxfId="19" priority="40"/>
  </conditionalFormatting>
  <conditionalFormatting sqref="E70">
    <cfRule type="duplicateValues" dxfId="18" priority="43"/>
  </conditionalFormatting>
  <conditionalFormatting sqref="E71">
    <cfRule type="duplicateValues" dxfId="17" priority="46"/>
  </conditionalFormatting>
  <conditionalFormatting sqref="E72">
    <cfRule type="duplicateValues" dxfId="16" priority="49"/>
  </conditionalFormatting>
  <conditionalFormatting sqref="E73">
    <cfRule type="duplicateValues" dxfId="15" priority="52"/>
  </conditionalFormatting>
  <conditionalFormatting sqref="E74">
    <cfRule type="duplicateValues" dxfId="14" priority="55"/>
  </conditionalFormatting>
  <conditionalFormatting sqref="E75">
    <cfRule type="duplicateValues" dxfId="13" priority="58"/>
  </conditionalFormatting>
  <conditionalFormatting sqref="E76">
    <cfRule type="duplicateValues" dxfId="12" priority="64"/>
  </conditionalFormatting>
  <conditionalFormatting sqref="E79:E81">
    <cfRule type="duplicateValues" dxfId="11" priority="24"/>
  </conditionalFormatting>
  <conditionalFormatting sqref="E106:E116 D3:D81">
    <cfRule type="duplicateValues" dxfId="10" priority="19"/>
  </conditionalFormatting>
  <conditionalFormatting sqref="B77:B78">
    <cfRule type="duplicateValues" dxfId="9" priority="225"/>
  </conditionalFormatting>
  <conditionalFormatting sqref="B50 B52:B67">
    <cfRule type="duplicateValues" dxfId="8" priority="226"/>
  </conditionalFormatting>
  <conditionalFormatting sqref="D77:D78">
    <cfRule type="duplicateValues" dxfId="7" priority="228"/>
  </conditionalFormatting>
  <conditionalFormatting sqref="D50 D52">
    <cfRule type="duplicateValues" dxfId="6" priority="229"/>
    <cfRule type="duplicateValues" dxfId="5" priority="230"/>
  </conditionalFormatting>
  <conditionalFormatting sqref="D50 D56:D67 D3 D5:D46 D52:D54">
    <cfRule type="duplicateValues" dxfId="4" priority="233"/>
  </conditionalFormatting>
  <conditionalFormatting sqref="E77:E78">
    <cfRule type="duplicateValues" dxfId="3" priority="238"/>
  </conditionalFormatting>
  <conditionalFormatting sqref="E50 E52">
    <cfRule type="duplicateValues" dxfId="2" priority="239"/>
    <cfRule type="duplicateValues" dxfId="1" priority="240"/>
  </conditionalFormatting>
  <conditionalFormatting sqref="E50 E56:E67 E5:E46 E3 E52:E54">
    <cfRule type="duplicateValues" dxfId="0" priority="243"/>
  </conditionalFormatting>
  <dataValidations count="1">
    <dataValidation allowBlank="1" showInputMessage="1" sqref="I2 O2:O81 O85:O1048576" xr:uid="{00000000-0002-0000-0000-000000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" operator="equal" id="{4E1CD57B-27BD-47B0-B989-84B66E778D3F}">
            <xm:f>'\Users\moham\AppData\Local\Microsoft\Windows\INetCache\IE\FU2YU0TA\[CIB Attend October.xlsx]Resignation'!#REF!</xm:f>
            <x14:dxf>
              <fill>
                <patternFill>
                  <bgColor rgb="FF00B050"/>
                </patternFill>
              </fill>
            </x14:dxf>
          </x14:cfRule>
          <xm:sqref>C55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Mohamed Abdelaziz</cp:lastModifiedBy>
  <dcterms:created xsi:type="dcterms:W3CDTF">2015-06-05T18:17:20Z</dcterms:created>
  <dcterms:modified xsi:type="dcterms:W3CDTF">2026-02-25T12:37:38Z</dcterms:modified>
</cp:coreProperties>
</file>